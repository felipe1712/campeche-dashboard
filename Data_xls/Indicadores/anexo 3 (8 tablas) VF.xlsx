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LL\Desktop\Campeche\Data_xls\Indicadores\"/>
    </mc:Choice>
  </mc:AlternateContent>
  <xr:revisionPtr revIDLastSave="0" documentId="8_{1C1704FD-E0AB-4A2A-8ABA-61A7F491C786}" xr6:coauthVersionLast="47" xr6:coauthVersionMax="47" xr10:uidLastSave="{00000000-0000-0000-0000-000000000000}"/>
  <bookViews>
    <workbookView xWindow="20640" yWindow="0" windowWidth="20640" windowHeight="16680" activeTab="1" xr2:uid="{E1F4B7D4-B666-40C4-8E86-66F878F82803}"/>
  </bookViews>
  <sheets>
    <sheet name="INDICE" sheetId="1" r:id="rId1"/>
    <sheet name="M3-045" sheetId="46" r:id="rId2"/>
    <sheet name="M3-058" sheetId="59" r:id="rId3"/>
    <sheet name="M3-065" sheetId="66" r:id="rId4"/>
    <sheet name="M3-068" sheetId="69" r:id="rId5"/>
    <sheet name="M3-073" sheetId="74" state="hidden" r:id="rId6"/>
    <sheet name="M3-077" sheetId="78" state="hidden" r:id="rId7"/>
    <sheet name="M3-078" sheetId="79" state="hidden" r:id="rId8"/>
    <sheet name="M3-086" sheetId="87" state="hidden" r:id="rId9"/>
    <sheet name="M3-089" sheetId="90" r:id="rId10"/>
    <sheet name="M3-095" sheetId="96" r:id="rId11"/>
    <sheet name="M3-100" sheetId="101" r:id="rId12"/>
    <sheet name="M3-104" sheetId="105" r:id="rId13"/>
  </sheets>
  <definedNames>
    <definedName name="_xlnm._FilterDatabase" localSheetId="0" hidden="1">INDICE!$A$1:$N$9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90" l="1"/>
  <c r="M16" i="69"/>
  <c r="L16" i="69"/>
  <c r="K16" i="69"/>
  <c r="D29" i="105"/>
  <c r="C29" i="105"/>
  <c r="B29" i="105"/>
  <c r="C26" i="96"/>
  <c r="B26" i="96"/>
  <c r="C10" i="66"/>
  <c r="D10" i="66"/>
  <c r="E10" i="66"/>
  <c r="F10" i="66"/>
  <c r="B10" i="66"/>
  <c r="K11" i="105"/>
  <c r="I11" i="105"/>
  <c r="H14" i="101"/>
  <c r="J12" i="96"/>
  <c r="I12" i="96"/>
  <c r="B39" i="90"/>
  <c r="E24" i="59"/>
  <c r="D24" i="59"/>
  <c r="C24" i="59"/>
  <c r="B24" i="59"/>
  <c r="D36" i="46"/>
  <c r="C36" i="46"/>
  <c r="B36" i="46"/>
  <c r="E9" i="1"/>
  <c r="E8" i="1"/>
  <c r="E7" i="1"/>
  <c r="E6" i="1"/>
  <c r="E5" i="1"/>
  <c r="E4" i="1"/>
  <c r="E3" i="1"/>
  <c r="E2" i="1"/>
</calcChain>
</file>

<file path=xl/sharedStrings.xml><?xml version="1.0" encoding="utf-8"?>
<sst xmlns="http://schemas.openxmlformats.org/spreadsheetml/2006/main" count="567" uniqueCount="314">
  <si>
    <t>Indice</t>
  </si>
  <si>
    <t>Tema</t>
  </si>
  <si>
    <t>Mision</t>
  </si>
  <si>
    <t>ID</t>
  </si>
  <si>
    <t>Codigo</t>
  </si>
  <si>
    <t>Tipo</t>
  </si>
  <si>
    <t>Dependencia</t>
  </si>
  <si>
    <t>M3-</t>
  </si>
  <si>
    <t>Tabla</t>
  </si>
  <si>
    <t>SEDUC</t>
  </si>
  <si>
    <t>Retos del Sistema Educativo</t>
  </si>
  <si>
    <t>045</t>
  </si>
  <si>
    <t xml:space="preserve">Número de alumnos inscritos, egresados y titulados por carreras con mayor demanda, ciclo escolar 2024-2025.				</t>
  </si>
  <si>
    <t>Formación Jaguar</t>
  </si>
  <si>
    <t>058</t>
  </si>
  <si>
    <t xml:space="preserve">Número de localidades, escuelas y beneficiados por el Proyecto Útiles Jaguar por municipio, 2024.				</t>
  </si>
  <si>
    <t>BIENESTAR</t>
  </si>
  <si>
    <t>CODESVI</t>
  </si>
  <si>
    <t>Vivienda Por Fuente De Financiamiento</t>
  </si>
  <si>
    <t>065</t>
  </si>
  <si>
    <t xml:space="preserve">Viviendas edificadas en el Estado por organismo que otorga el financiamiento, 2021-2024.			 			</t>
  </si>
  <si>
    <t>Fortalecer La Formación Para Talentos Deportivos, Enriqueciendo Su Programa Educativo Y Deportivo</t>
  </si>
  <si>
    <t>068</t>
  </si>
  <si>
    <t>Medallas obtenidas en Nacionales y Paranacionales CONADE, por tipo de deporte, según tipo de medalla, 2024.</t>
  </si>
  <si>
    <t>INDECAM</t>
  </si>
  <si>
    <t>Inversión en programas de INDECAM, por programa, según nivel de Gobierno, Julio de 2024 a junio de 2025.</t>
  </si>
  <si>
    <t>Servicios otorgados por los centros para el desarrollo de las mujeres (CDM) por municipio, 2024.</t>
  </si>
  <si>
    <t>Servicios otorgados por el Programa PAIMEF, por área y según tipo de servicio, 2024.</t>
  </si>
  <si>
    <t>Derecho A Una Familia Digna</t>
  </si>
  <si>
    <t>089</t>
  </si>
  <si>
    <t>Número de raciones alimentarias, Espacios de Alimentación, Encuentro y Desarrollo Comunitario (EAEDC) y sus beneficiarios por municipio, 2024.</t>
  </si>
  <si>
    <t>DIF</t>
  </si>
  <si>
    <t>Derechos De Las Niñas, Niños Y Adolescentes</t>
  </si>
  <si>
    <t>095</t>
  </si>
  <si>
    <t>Número de acciones y beneficiarios del Centro de Atención Psicosocial a Niñas, Niños y Adolescentes (CAPANNA) por tema, 2024.</t>
  </si>
  <si>
    <t>Derecho A La Vida Digna De Los Adultos Mayores</t>
  </si>
  <si>
    <t>100</t>
  </si>
  <si>
    <t>Resumen de beneficiarios de centros y programas del DIF estatal por programa-centro, 2024.</t>
  </si>
  <si>
    <t>CULTURA</t>
  </si>
  <si>
    <t>Convenios Culturales Suscritos</t>
  </si>
  <si>
    <t>104</t>
  </si>
  <si>
    <t>Convenios en materia cultural, Julio 2024 a Junio 2025.</t>
  </si>
  <si>
    <t>TOTAL</t>
  </si>
  <si>
    <t>FEDERAL</t>
  </si>
  <si>
    <t>INVERSIÓN (PESOS)</t>
  </si>
  <si>
    <t>ESTADO</t>
  </si>
  <si>
    <t>Tenabo</t>
  </si>
  <si>
    <t>Seybaplaya</t>
  </si>
  <si>
    <t>Palizada</t>
  </si>
  <si>
    <t>Hopelchén</t>
  </si>
  <si>
    <t>Hecelchakán</t>
  </si>
  <si>
    <t>Escárcega</t>
  </si>
  <si>
    <t>Dzitbalché</t>
  </si>
  <si>
    <t>Champotón</t>
  </si>
  <si>
    <t>Carmen</t>
  </si>
  <si>
    <t>Candelaria</t>
  </si>
  <si>
    <t>Campeche</t>
  </si>
  <si>
    <t>Calkiní</t>
  </si>
  <si>
    <t>Calakmul</t>
  </si>
  <si>
    <t>MUNICIPIO</t>
  </si>
  <si>
    <t>Talleres</t>
  </si>
  <si>
    <t>ACCIONES</t>
  </si>
  <si>
    <t xml:space="preserve">Dzitbalché                          </t>
  </si>
  <si>
    <t>Fuente: Secretaría de Educación del Estado de Campeche. Subsecretaría de Planeación, Programación y Estadística. Dirección de Planeación y Programación. Departamento de Sistemas de Información Estadística. 2025.</t>
  </si>
  <si>
    <t>ESCUELAS</t>
  </si>
  <si>
    <t>ALUMNOS</t>
  </si>
  <si>
    <t xml:space="preserve">a/ Se contemplan 252 carreras.
</t>
  </si>
  <si>
    <t>Otras a/</t>
  </si>
  <si>
    <t>Ingeniería en Administración</t>
  </si>
  <si>
    <t>Licenciatura en Fisioterapia</t>
  </si>
  <si>
    <t>Licenciatura en Nutrición</t>
  </si>
  <si>
    <t>Licenciatura en Administración de Empresas</t>
  </si>
  <si>
    <t>Licenciatura en Administración</t>
  </si>
  <si>
    <t>Ingeniería en Sistemas Computacionales</t>
  </si>
  <si>
    <t>Licenciatura en Contaduría</t>
  </si>
  <si>
    <t>Licenciatura en Enfermería</t>
  </si>
  <si>
    <t>Licenciatura en Psicología</t>
  </si>
  <si>
    <t>Licenciatura en Derecho</t>
  </si>
  <si>
    <t>TITULADOS</t>
  </si>
  <si>
    <t>EGRESADOS</t>
  </si>
  <si>
    <t xml:space="preserve"> INSCRITOS</t>
  </si>
  <si>
    <t>CARRERAS</t>
  </si>
  <si>
    <t xml:space="preserve">Número de alumnos inscritos, egresados y titulados por carreras con mayor demanda, ciclo escolar 2024/2025.				</t>
  </si>
  <si>
    <t>CAMPECHE</t>
  </si>
  <si>
    <t>Fuente: Gobierno del Estado de Campeche. Secretaría de Bienestar. 2025.</t>
  </si>
  <si>
    <t>NIÑOS</t>
  </si>
  <si>
    <t>NIÑAS</t>
  </si>
  <si>
    <t xml:space="preserve">BENEFICIARIOS </t>
  </si>
  <si>
    <t>LOCALIDADES</t>
  </si>
  <si>
    <t xml:space="preserve"> HOMBRES</t>
  </si>
  <si>
    <t>MUJERES</t>
  </si>
  <si>
    <t>BENEFICIARIOS</t>
  </si>
  <si>
    <t>PROGRAMAS</t>
  </si>
  <si>
    <t>ESTRATEGIA</t>
  </si>
  <si>
    <t>BANJERCITO</t>
  </si>
  <si>
    <t>CONAVI</t>
  </si>
  <si>
    <t>BANCA</t>
  </si>
  <si>
    <t>FOVISSSTE</t>
  </si>
  <si>
    <t>ORGANISMO</t>
  </si>
  <si>
    <t>Fuente: Gobierno del Estado de Campeche. Secretaria de Bienestar. Instituto del Deporte del Estado de Campeche. 2025.</t>
  </si>
  <si>
    <t>Parapowerlifting</t>
  </si>
  <si>
    <t>Paratletismo</t>
  </si>
  <si>
    <t>Paranatación</t>
  </si>
  <si>
    <t xml:space="preserve">Paranacionales </t>
  </si>
  <si>
    <t>Atletismo</t>
  </si>
  <si>
    <t>Gimnasia de Trampolín</t>
  </si>
  <si>
    <t>Triatlón</t>
  </si>
  <si>
    <t>Luchas Asociadas</t>
  </si>
  <si>
    <t>Karate</t>
  </si>
  <si>
    <t>Taekwondo</t>
  </si>
  <si>
    <t>Judo</t>
  </si>
  <si>
    <t>Levantamiento de Pesas</t>
  </si>
  <si>
    <t>Nacionales</t>
  </si>
  <si>
    <t>BRONCE</t>
  </si>
  <si>
    <t>PLATA</t>
  </si>
  <si>
    <t>ORO</t>
  </si>
  <si>
    <t xml:space="preserve">TIPO DE MEDALLA </t>
  </si>
  <si>
    <t>DEPORTE</t>
  </si>
  <si>
    <t>CATEGORÍA</t>
  </si>
  <si>
    <t xml:space="preserve">Fuente: Fuente: Gobierno del Estado de Campeche. Secretaría de Bienestar. Instituto del Deporte del Estado de Campeche.2025
</t>
  </si>
  <si>
    <t>Nota: Con esta inversión se llevo a cabo el Encuentro Nacional Deportivo Indígena 2024.</t>
  </si>
  <si>
    <t>Programa de Cultura Física y Deporte (CONADE) 2024</t>
  </si>
  <si>
    <t>HOMBRES</t>
  </si>
  <si>
    <t>Fuente: Gobierno del Estado de Campeche. Secretaria de Bienestar. Instituto de la Mujer del Estado de Campeche. 2025.</t>
  </si>
  <si>
    <t xml:space="preserve">Acción C.II.6 Fortalecimiento del "Centro de Atención a la violencia contra las Mujeres del PAIMEF-IMEC de Campeche"
</t>
  </si>
  <si>
    <t xml:space="preserve">Acción C.II.5 Fortalecimiento del Centro de Atención a la Violencia contra las Mujeres del PAIMEF-IMEC ubicado en el municipio de Palizada.
</t>
  </si>
  <si>
    <t xml:space="preserve">Acción C.II.4 Centro de Atención a la Violencia contra las Mujeres del PAIMEF-IMEC ubicado en la localidad de Dzibalchén.
</t>
  </si>
  <si>
    <t xml:space="preserve">Acción C.II.3 Fortalecimiento de la Unidad Itinerante "3" del PAIMEF- IMEC. Fortalecimiento de la Unidad Itinerante de Atención del municipio de Candelaria
</t>
  </si>
  <si>
    <t xml:space="preserve">Acción C.II.2 Fortalecimiento de la Unidad Itinerante "2" del PAIMEF- IMEC. Fortalecimiento de la Unidad Itinerante de Atención del municipio de Escárcega.
</t>
  </si>
  <si>
    <t xml:space="preserve">Acción C.II.1 Fortalecimiento de la Unidad Itinerante "1" del PAIMEF- IMEC. Fortalecimiento de la Unidad Itinerante de Atención del municipio de Calkiní.
</t>
  </si>
  <si>
    <t xml:space="preserve">Acción C.I.1 Fortalecimiento de la Línea Telefónica del "IMEC" 
</t>
  </si>
  <si>
    <t>DERIVACIÓN MÉDICA 
(EXPLORACIÓN DE MAMA)</t>
  </si>
  <si>
    <t>DERIVACIÓN MÉDICA 
(ULTRASONIDO PÉLVICO Y OBSTÉTRICO)</t>
  </si>
  <si>
    <t>REPRESENTACIÓN LEGAL</t>
  </si>
  <si>
    <t>JURÍDICO</t>
  </si>
  <si>
    <t>PSICOLOGÍA</t>
  </si>
  <si>
    <t>TRABAJO SOCIAL</t>
  </si>
  <si>
    <t>ÁREA</t>
  </si>
  <si>
    <t xml:space="preserve"> MUJERES</t>
  </si>
  <si>
    <t>EMPODERAMIENTO</t>
  </si>
  <si>
    <t>CDM 2024</t>
  </si>
  <si>
    <t>Crecimiento de comunicación en redes sociales, 2024-2025.</t>
  </si>
  <si>
    <t>Fuente: Gobierno del Estado de Campeche. Secretaría de Inclusión. Elaboración con datos del archivo de Comunicación Social. 2025.</t>
  </si>
  <si>
    <t>a/ Las publicaciones son realizadas a través de las redes sociales (Facebook, X e Instagram).</t>
  </si>
  <si>
    <t>Alcance de publicaciones</t>
  </si>
  <si>
    <t>Publicaciones realizadas a/</t>
  </si>
  <si>
    <t>Crecimiento de seguidores</t>
  </si>
  <si>
    <t>Fuente: Gobierno del Estado de Campeche. Sistema para el Desarrollo Integral de la Familia del Estado de Campeche. 2025.</t>
  </si>
  <si>
    <t>b/ Incluye 60 beneficiarios del Centro Asistencial "María Palmira Lavalle", 125 del Centro de Desarrollo Comunitario Siglo XXI, 50 del Centro de Desarrollo Comunitario Ampliación Polvorín y 50 del Centro de Desarrollo Comunitario Kanisté.</t>
  </si>
  <si>
    <t xml:space="preserve">a/ Se incluyen tres Centros de Desarrollo Comunitario (Ampliación Polvorín, Kaniste y Siglo XXI) que, aunque no son considerados Espacios de Alimentación, Encuentro y Desarrollo Comunitario, reciben insumos para el servicio de alimentación. Asi como el Albergue "María Palmira Lavalle" se contempla como Centro Asistencial. </t>
  </si>
  <si>
    <t>37 a/</t>
  </si>
  <si>
    <t>NÚMERO DE BENEFICIARIOS</t>
  </si>
  <si>
    <t>NÚMERO DE ESPACIOS DE ALIMENTACIÓN</t>
  </si>
  <si>
    <t>RACIONES DISTRIBUIDAS</t>
  </si>
  <si>
    <t>Terapia psicológica</t>
  </si>
  <si>
    <t>Niñas, Niños y Adolescentes en acogimiento familiar</t>
  </si>
  <si>
    <t>Ingresos a servicios de atención psicológica</t>
  </si>
  <si>
    <t>Dictámenes psicológicas de adopción, reintegración y familias de acogida.</t>
  </si>
  <si>
    <t>Dictámenes psicológicos</t>
  </si>
  <si>
    <t>Canalizaciones</t>
  </si>
  <si>
    <t>Atención a niñas, niños y adolescentes en adopción, reintegración y familias de acogida</t>
  </si>
  <si>
    <t>TEMAS</t>
  </si>
  <si>
    <t>c/ El total de 43,645 beneficiarios resulta de la suma de: 29,220 beneficiarios del Programa Alimentación Escolar y del Programa de Atención Alimentaria a Grupos Prioritaria: 2,038 de Menores de 5 años en Riesgo, No Escolarizados, 10,724 de Sujetos Vulnerables y 1,663 de la Red de Comedor del Adulto Mayor.</t>
  </si>
  <si>
    <t>b/ Incluye a 58 beneficiarios del Centro Asistencial "María Palmira Lavalle"; 489 del Centro de Asistencia Social para Migrantes "In Wotoch" y 2,464 del Centro de Atención Integral al Adulto Mayor.</t>
  </si>
  <si>
    <t xml:space="preserve">a/ El dato corresponde a familias beneficiadas. </t>
  </si>
  <si>
    <t>Programa de Salud y Bienestar Comunitario (PSBC)</t>
  </si>
  <si>
    <t>Programa de Cirugías Extramuros</t>
  </si>
  <si>
    <t>Programa de Asistencia Social Alimentaria en los Primeros 1000 Días</t>
  </si>
  <si>
    <t xml:space="preserve">Programa de Asistencia Social a Personas en situación de Vulnerabilidad </t>
  </si>
  <si>
    <t>Espacios de Alimentación, Encuentro y Desarrollo Comunitario (EAEDC) c/</t>
  </si>
  <si>
    <t>Cuaresma de Todos</t>
  </si>
  <si>
    <t>Centros de Rehabilitación (CREE y  CRACN)</t>
  </si>
  <si>
    <t>Centros Asistenciales DIF Estatal b/</t>
  </si>
  <si>
    <t xml:space="preserve">Centros Asistenciales (CAIC y CADI) </t>
  </si>
  <si>
    <t>Asistencia Social Alimentaria a Personas en Situación de Emergencia o Desastre a/</t>
  </si>
  <si>
    <t>PROGRAMAS/CENTROS</t>
  </si>
  <si>
    <t>Resumen de beneficiarios de centros y programas del DIF estatal por programa/centro, 2024.</t>
  </si>
  <si>
    <t>Programa Nacional de Salas de Lectura (PNSL)</t>
  </si>
  <si>
    <t>Apoyo a Instituciones Estatales de Cultura (AIEC)</t>
  </si>
  <si>
    <t>Fuente: Gobierno del Estado de Campeche. Instituto de Cultura y Artes del Estado de Campeche. Departamento de Evaluación y Seguimiento de Programas. 2025.</t>
  </si>
  <si>
    <t>Programa Estimulo a la Creación y Desarrollo Artístico (PECDA)</t>
  </si>
  <si>
    <t>Programa de Acciones Culturales Multilingües y Comunitarias (PACMYC)</t>
  </si>
  <si>
    <t>Programa de Apoyo a Festivales Culturales y Artísticos (PROFEST)</t>
  </si>
  <si>
    <t xml:space="preserve">FEDERAL </t>
  </si>
  <si>
    <t xml:space="preserve"> ESTATAL</t>
  </si>
  <si>
    <t>CONVENIOS</t>
  </si>
  <si>
    <t>Paratriatlón</t>
  </si>
  <si>
    <t>Boxeo</t>
  </si>
  <si>
    <t>Levantamiento de pesas</t>
  </si>
  <si>
    <t>Luchas asociadas</t>
  </si>
  <si>
    <t>Crecimiento de la comunicación en redes sociales, 2024-2025.</t>
  </si>
  <si>
    <t>Nota: El recurso federal del Programa de Estímulo a la Creación y Desarrollo Artístico (PECDA) por un millón de pesos es ministrada por la Federación.
Programa de Estímulo a la Creación y Desarrollo Artístico (PECDA) incluye $ 50,112 del convenio 2023 y $ 999,348 del convenio 2024.</t>
  </si>
  <si>
    <t>2023-2024</t>
  </si>
  <si>
    <t>Titulados 4,737</t>
  </si>
  <si>
    <t>Titulados 4,827</t>
  </si>
  <si>
    <t>Beneficiarios:17,177</t>
  </si>
  <si>
    <t>Total: 279</t>
  </si>
  <si>
    <t>Total: 206</t>
  </si>
  <si>
    <t>NÚMERO DE BENEFICIARIOS: 41,982</t>
  </si>
  <si>
    <t>NÚMERO DE BENEFICIARIOS: 40,260</t>
  </si>
  <si>
    <t>Beneficiarios:6,806</t>
  </si>
  <si>
    <t>Beneficiarios: 6,315</t>
  </si>
  <si>
    <t>Beneficiarios: 162,521</t>
  </si>
  <si>
    <t>Beneficiarios: 132,646</t>
  </si>
  <si>
    <t>Inversión Total: 7,490,016</t>
  </si>
  <si>
    <t>Inversión Total: 8,630,378</t>
  </si>
  <si>
    <t>SEMAFORO</t>
  </si>
  <si>
    <t>2024-2025</t>
  </si>
  <si>
    <t>Notas</t>
  </si>
  <si>
    <t xml:space="preserve">Nacionales CONADE </t>
  </si>
  <si>
    <t>Gimnasia</t>
  </si>
  <si>
    <t xml:space="preserve">Paranacionales CONADE </t>
  </si>
  <si>
    <t>Fuente: Gobierno del Estado de Campeche, Secretaria de Bienestar, Instituto del Deporte del Estado de Campeche, 2026</t>
  </si>
  <si>
    <t>2025-2026</t>
  </si>
  <si>
    <t>Inversión Total:9,401,305.54</t>
  </si>
  <si>
    <t>Programa de Formación de Recursos Humanos de Alto Nivel en Arte y Cultura (Fundación Pablo García)</t>
  </si>
  <si>
    <t>Programa "Talleres y Actividades formativas para poblaciones prioritarias del Estado de Campeche"</t>
  </si>
  <si>
    <t>Programa impartición de Talleres en Materia de Cultura en el Estado de Campeche</t>
  </si>
  <si>
    <t xml:space="preserve">El recurso federal del Programa de Estímulo a la Creación y Desarrollo Artístico (PECDA) por un millón de pesos es ministrada por la Federación
Programa de Acciones Culturales Multilingües y Comunitarias (PACMYC) incluye $80,344.33 del convenio 2024 y $ 823,005.61 del convenio 2025
</t>
  </si>
  <si>
    <r>
      <t xml:space="preserve">Convenios en materia cultural, </t>
    </r>
    <r>
      <rPr>
        <b/>
        <sz val="12"/>
        <color theme="6" tint="0.39997558519241921"/>
        <rFont val="Calibri"/>
        <family val="2"/>
      </rPr>
      <t>Julio 2025 a Junio 2026.</t>
    </r>
  </si>
  <si>
    <t>CALAKMUL</t>
  </si>
  <si>
    <t>CALKINI</t>
  </si>
  <si>
    <t>CANDELARIA</t>
  </si>
  <si>
    <t>CARMEN</t>
  </si>
  <si>
    <t>CHAMPOTON</t>
  </si>
  <si>
    <t>DZITBALCHE</t>
  </si>
  <si>
    <t>ESCARCEGA</t>
  </si>
  <si>
    <t>HECELCHAKAN</t>
  </si>
  <si>
    <t>HOPELCHEN</t>
  </si>
  <si>
    <t>PALIZADA</t>
  </si>
  <si>
    <t>SEYBAPLAYA</t>
  </si>
  <si>
    <t>TENABO</t>
  </si>
  <si>
    <t>Fuente: Gobierno del Estado de Campeche, Secretaría de Bienestar</t>
  </si>
  <si>
    <t>Beneficiarios:25,843</t>
  </si>
  <si>
    <t>TOTAL BENEFICIARIOS</t>
  </si>
  <si>
    <t>Fuente: Gobierno del Estado de Campeche. Sistema para el Desarrollo Integral de la Familia del Estado de Campeche. 2026.</t>
  </si>
  <si>
    <t>a/ Se incluyen tres Centros de Desarrollo Comunitario DIF PILARES (Ampliación Polvorín, Kaniste y Siglo XXI) que, aunque no son considerados Espacios de Alimentación, Encuentro y Desarrollo Comunitario, reciben insumos para el servicio de alimentación. Así como el Albergue "María Palmira Lavalle" se contempla como Centro Asistencial. (La llamada es de la línea de Campeche, Columna Número de Espacios de Alimentación)
b/ Incluye 55 beneficiarios del Centro Asistencial "María Palmira Lavalle" y 200 de los Centros de Desarrollo Comunitario DIF PILARES Siglo XXI, Ampliación Polvorín y Kaniste. (La llamada corresponde a la Línea de Campeche, columna Número de Beneficiarios)</t>
  </si>
  <si>
    <t xml:space="preserve">a/ Se incluyen tres Centros de Desarrollo Comunitario DIF PILARES (Ampliación Polvorín, Kaniste y Siglo XXI) que, aunque no son considerados Espacios de Alimentación, Encuentro y Desarrollo Comunitario, reciben insumos para el servicio de alimentación. Así como el Albergue "María Palmira Lavalle" se contempla como Centro Asistencial. (La llamada es de la línea de Campeche, Columna Número de Espacios de Alimentación)
b/ Incluye 55 beneficiarios del Centro Asistencial "María Palmira Lavalle" y 200 de los Centros de Desarrollo Comunitario DIF PILARES Siglo XXI, Ampliación Polvorín y Kaniste. (La llamada corresponde a la Línea de Campeche, columna Número de Beneficiarios).
"NOTA ACLARATORIA PARA SOLVENTAR OBSERVACIÓN DE SECONT:
En cuanto al Formato sobre el uso de comas ("","") en las cifras de la tabla, al momento de capturar las cifras en sistema, las comas se generan en automático, aunque se capturen sin coma, el sistema las agrega."
</t>
  </si>
  <si>
    <t>NÚMERO DE BENEFICIARIOS: 42,013</t>
  </si>
  <si>
    <t xml:space="preserve">Asistencia Social Alimentaria a Personas en Situación de Emergencia o Desastre a/
</t>
  </si>
  <si>
    <t xml:space="preserve">Centros Asistenciales (CAIC y CADI) 
</t>
  </si>
  <si>
    <t xml:space="preserve">Centros Asistenciales DIF Estatal b/
</t>
  </si>
  <si>
    <t xml:space="preserve">Centros de Rehabilitación (CREE, CRRI  y  CRACN)
</t>
  </si>
  <si>
    <t xml:space="preserve">Cuaresma de Todos
</t>
  </si>
  <si>
    <t xml:space="preserve">Espacios de Alimentación, Encuentro y Desarrollo Comunitario (EAEDC) c/
</t>
  </si>
  <si>
    <t xml:space="preserve">Programa de Asistencia Social a Personas en situación de Vulnerabilidad 
</t>
  </si>
  <si>
    <t xml:space="preserve">Programa de Asistencia Social Alimentaria en los Primeros 1000 Días
</t>
  </si>
  <si>
    <t xml:space="preserve">Programa de Cirugías Extramuros
</t>
  </si>
  <si>
    <t xml:space="preserve">Programa de Salud y Bienestar Comunitario (PSBC)
</t>
  </si>
  <si>
    <t xml:space="preserve">"""NOTA ACLARATORIA PARA SOLVENTAR OBSERVACIÓN DE SECONT:
En cuanto al Formato sobre el uso de comas ("""","""") en las cifras de la tabla, al momento de capturar las cifras en sistema, las comas se generan en automático, aunque se capturen sin coma, el sistema las agrega."""
</t>
  </si>
  <si>
    <t>Beneficiarios: 170,458</t>
  </si>
  <si>
    <t>Dictámenes psicológicos de adopción, reintegración y familias de acogida</t>
  </si>
  <si>
    <t>Ingresos a servicio de atención psicológica</t>
  </si>
  <si>
    <t>Beneficiarios:8,491</t>
  </si>
  <si>
    <t xml:space="preserve">INFONAVIT </t>
  </si>
  <si>
    <t>Fuente: Secretaría de Desarrollo Agrario, Territorial y Urbano. Sistema Nacional de Información de Indicadores de Vivienda (SNIIV) 2026.</t>
  </si>
  <si>
    <t>Total: 1,030</t>
  </si>
  <si>
    <t xml:space="preserve">                                                                                                                                                                                                                                                                                                                                                                                                                                                                                                                                                                                                                                                                                                                                                                                                                                                                            </t>
  </si>
  <si>
    <t>ALUMNOS INSCRITOS</t>
  </si>
  <si>
    <t>ALUMNOS EGRESADOS</t>
  </si>
  <si>
    <t>ALUMNOS TITULADOS</t>
  </si>
  <si>
    <t>LICENCIATURA EN DERECHO</t>
  </si>
  <si>
    <t>LICENCIATURA EN PSICOLOGÍA</t>
  </si>
  <si>
    <t>LICENCIATURA EN ENFERMERÍA</t>
  </si>
  <si>
    <t>LICENCIATURA EN CONTADURÍA</t>
  </si>
  <si>
    <t>INGENIERÍA EN SISTEMAS COMPUTACIONALES</t>
  </si>
  <si>
    <t>LICENCIATURA EN ADMINISTRACIÓN</t>
  </si>
  <si>
    <t>LICENCIATURA EN ADMINISTRACIÓN DE EMPRESAS</t>
  </si>
  <si>
    <t>INGENIERÍA EN ADMINISTRACIÓN</t>
  </si>
  <si>
    <t>MÉDICO CIRUJANO</t>
  </si>
  <si>
    <t>Fuente: Secretaría de Educación del Estado de Campeche, Subsecretaría de Planeación, Programación y Estadística. Dirección de Planeación y Programación. Departamento de Sistemas de Información Estadística. 2026.</t>
  </si>
  <si>
    <t>a/ Se contemplan 253 carreras.</t>
  </si>
  <si>
    <t>Titulados 4,939</t>
  </si>
  <si>
    <r>
      <t xml:space="preserve">Número de raciones alimentarias, Espacios de Alimentación, Encuentro y Desarrollo Comunitario (EAEDC) y sus beneficiarios por municipio, </t>
    </r>
    <r>
      <rPr>
        <b/>
        <sz val="12"/>
        <color theme="7" tint="0.39997558519241921"/>
        <rFont val="Calibri"/>
        <family val="2"/>
      </rPr>
      <t>2025.</t>
    </r>
  </si>
  <si>
    <t xml:space="preserve">Número de alumnos inscritos, egresados y titulados por carreras con mayor demanda, ciclo escolar 2023/2024.				</t>
  </si>
  <si>
    <t>c/Se contemplan 233 carreras.</t>
  </si>
  <si>
    <t>Fuente: Gobierno del Estado de Campeche. Secretaría de Educación. Departamento de Sistemas de Información Estadística. Cuestionario 911 del ciclo escolar 2023-2024.2024.</t>
  </si>
  <si>
    <t>Útiles Jaguar</t>
  </si>
  <si>
    <t>Carreras con mayor demanda</t>
  </si>
  <si>
    <t xml:space="preserve">Número de localidades, escuelas, inversión y beneficiados por el Proyecto Útiles Jaguar por municipio, 2023.				</t>
  </si>
  <si>
    <t>Viviendas Edificadas</t>
  </si>
  <si>
    <t>Medallas obtenidas</t>
  </si>
  <si>
    <t>Total: 98</t>
  </si>
  <si>
    <t>Total: 104</t>
  </si>
  <si>
    <t>Total: 82</t>
  </si>
  <si>
    <t>Medallas obtenidas en Nacionales y Paranacionales CONADE, por tipo de deporte, según tipo de medalla, 2023.</t>
  </si>
  <si>
    <t>Gimnasia Ritmica</t>
  </si>
  <si>
    <t>Ajedrez</t>
  </si>
  <si>
    <t>Fuente: Gobierno del Estado de Campeche. Secretaria de Bienestar. Instituto del Deporte del Estado de Campeche. 2024.</t>
  </si>
  <si>
    <t>Raciones alimentarias</t>
  </si>
  <si>
    <t>35 a/</t>
  </si>
  <si>
    <t>2,551 b/</t>
  </si>
  <si>
    <t>b/ Incluye 44 beneficiarios del Centro Asistencial "María Palmira Lavalle", 119 del Centro de Desarrollo Comunitario Siglo XXI.</t>
  </si>
  <si>
    <t>Fuente: Gobierno del Estado de Campeche. Sistema para el Desarrollo Integral de la Familia del Estado de Campeche. 2024.</t>
  </si>
  <si>
    <t xml:space="preserve">a/ Incluye al Centro Asistencial "María Palmira Lavalle" y al  Centro de Desarrollo Comunitario  Siglo XXI que, aunque no son considerados Espacios de Alimentación, Encuentro y Desarrollo Comunitario, reciben insumos para el servicio de alimentación. </t>
  </si>
  <si>
    <t>Beneficiarios CAPANNA</t>
  </si>
  <si>
    <t>Número de acciones y beneficiarios del Centro de Atención Psicosocial a Niñas, Niños y Adolescentes (CAPANNA) por tema, 2023.</t>
  </si>
  <si>
    <t>Beneficiarios DIF Estatal</t>
  </si>
  <si>
    <t>Centros de Rehabilitación (CREE, CRI y  CRACN)</t>
  </si>
  <si>
    <t>b/ Incluye a 55 beneficiarios del Centro Asistencial "María Palmira Lavalle"; 74 del Centro de Asistencia Social para Migrantes "In Wotoch" y 1,170 del Centro de Atención Integral al Adulto Mayor.</t>
  </si>
  <si>
    <t>c/ El total de 41,500 beneficiarios resulta de la suma de: 28,269 beneficiarios del Programa Desayunos Escolares Modalidad Caliente, 1,935 del Programa de Asistencia Social Alimentaria a Personas de Atención Prioritaria a Menores de 5 años en Riesgo, No Escolarizados. 10,058 de Sujetos Vulnerables y 1,238 de la Red de Comedor del Adulto Mayor.</t>
  </si>
  <si>
    <t>Inversión en materia cultural</t>
  </si>
  <si>
    <t>Programa Alas y Raíces</t>
  </si>
  <si>
    <t>Programa de Formación de recursos humanos de alto nivel en arte y cultura (Fundación Pablo García)</t>
  </si>
  <si>
    <t>Convenios en materia cultural, Julio 2023 a Junio 2024.</t>
  </si>
  <si>
    <t>Fuente: Gobierno del Estado de Campeche. Instituto de Cultura y Artes del Estado de Campeche. Departamento de Evaluación y Seguimiento de Programas. 2024.</t>
  </si>
  <si>
    <t xml:space="preserve">Título de la tabla </t>
  </si>
  <si>
    <t>Número de alumnos inscritos, egresados y titulados por carreras con mayor demanda, ciclo escolar 2025-2026.</t>
  </si>
  <si>
    <t>Número de localidades, escuelas y beneficiarios por el Proyecto "Útiles Jaguar" por municipio, 2025.</t>
  </si>
  <si>
    <t xml:space="preserve">Viviendas edificadas en el Estado por organismo que otorga el financiamiento, 2021-2025.	</t>
  </si>
  <si>
    <t>Medallas obtenidas en Nacionales y Paranacionales CONADE, por tipo de deporte, según tipo de medalla, 2025.</t>
  </si>
  <si>
    <t>Número de acciones y beneficiarios del Centro de Atención Psicosocial a Niñas, Niños y Adolescentes (CAPANNA) por tema, 2025.</t>
  </si>
  <si>
    <t>Resumen de beneficiarios de centros y programas del DIF estatal por programa-centro, 2025.</t>
  </si>
  <si>
    <t>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</si>
</sst>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quot;$&quot;* #,##0.00_-;\-&quot;$&quot;* #,##0.00_-;_-&quot;$&quot;* &quot;-&quot;??_-;_-@_-"/>
    <numFmt numFmtId="165" formatCode="_-* #,##0.00_-;\-* #,##0.00_-;_-* &quot;-&quot;??_-;_-@_-"/>
    <numFmt numFmtId="169" formatCode="_(* #,##0_);_(* \(#,##0\);_(* &quot;-&quot;??_);_(@_)"/>
  </numFmts>
  <fonts count="21" x14ac:knownFonts="1">
    <font>
      <sz val="11"/>
      <color rgb="FF000000"/>
      <name val="Calibri"/>
      <family val="2"/>
    </font>
    <font>
      <sz val="11"/>
      <color rgb="FF000000"/>
      <name val="Calibri"/>
      <family val="2"/>
    </font>
    <font>
      <sz val="9"/>
      <color rgb="FF000000"/>
      <name val="Calibri"/>
      <family val="2"/>
    </font>
    <font>
      <b/>
      <sz val="11"/>
      <name val="Calibri"/>
      <family val="2"/>
    </font>
    <font>
      <sz val="12"/>
      <color rgb="FF000000"/>
      <name val="Calibri"/>
      <family val="2"/>
    </font>
    <font>
      <b/>
      <sz val="12"/>
      <color rgb="FF000000"/>
      <name val="Calibri"/>
      <family val="2"/>
    </font>
    <font>
      <b/>
      <sz val="11"/>
      <color theme="1"/>
      <name val="Calibri"/>
      <family val="2"/>
    </font>
    <font>
      <b/>
      <sz val="11"/>
      <color rgb="FF000000"/>
      <name val="Calibri"/>
      <family val="2"/>
    </font>
    <font>
      <sz val="11"/>
      <name val="Calibri"/>
      <family val="2"/>
    </font>
    <font>
      <sz val="12"/>
      <color theme="1"/>
      <name val="Aptos Narrow"/>
      <family val="2"/>
      <scheme val="minor"/>
    </font>
    <font>
      <b/>
      <sz val="10"/>
      <color theme="1"/>
      <name val="Calibri"/>
      <family val="2"/>
    </font>
    <font>
      <sz val="8"/>
      <name val="Calibri"/>
      <family val="2"/>
    </font>
    <font>
      <sz val="11"/>
      <color rgb="FF000000"/>
      <name val="Calibri"/>
      <family val="2"/>
    </font>
    <font>
      <b/>
      <sz val="9"/>
      <color theme="1"/>
      <name val="Calibri"/>
      <family val="2"/>
    </font>
    <font>
      <b/>
      <sz val="10"/>
      <color rgb="FF000000"/>
      <name val="Calibri"/>
      <family val="2"/>
    </font>
    <font>
      <b/>
      <sz val="12"/>
      <color rgb="FF000000"/>
      <name val="Calibri"/>
      <family val="2"/>
    </font>
    <font>
      <b/>
      <sz val="12"/>
      <color theme="6" tint="0.39997558519241921"/>
      <name val="Calibri"/>
      <family val="2"/>
    </font>
    <font>
      <b/>
      <sz val="12"/>
      <color rgb="FF000000"/>
      <name val="Calibri"/>
    </font>
    <font>
      <b/>
      <sz val="12"/>
      <color theme="7" tint="0.39997558519241921"/>
      <name val="Calibri"/>
      <family val="2"/>
    </font>
    <font>
      <sz val="11"/>
      <color theme="0"/>
      <name val="Calibri"/>
      <family val="2"/>
    </font>
    <font>
      <b/>
      <sz val="12"/>
      <name val="Calibri"/>
      <family val="2"/>
    </font>
  </fonts>
  <fills count="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rgb="FF00B050"/>
        <bgColor indexed="64"/>
      </patternFill>
    </fill>
    <fill>
      <patternFill patternType="solid">
        <fgColor theme="1"/>
        <bgColor indexed="64"/>
      </patternFill>
    </fill>
  </fills>
  <borders count="23">
    <border>
      <left/>
      <right/>
      <top/>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9" fillId="0" borderId="0"/>
    <xf numFmtId="9" fontId="1" fillId="0" borderId="0" applyFont="0" applyFill="0" applyBorder="0" applyAlignment="0" applyProtection="0"/>
    <xf numFmtId="165" fontId="9" fillId="0" borderId="0" applyFont="0" applyFill="0" applyBorder="0" applyAlignment="0" applyProtection="0"/>
    <xf numFmtId="0" fontId="12" fillId="0" borderId="0"/>
    <xf numFmtId="165" fontId="9" fillId="0" borderId="0" applyFont="0" applyFill="0" applyBorder="0" applyAlignment="0" applyProtection="0"/>
    <xf numFmtId="43" fontId="1" fillId="0" borderId="0" applyFont="0" applyFill="0" applyBorder="0" applyAlignment="0" applyProtection="0"/>
  </cellStyleXfs>
  <cellXfs count="148">
    <xf numFmtId="0" fontId="0" fillId="0" borderId="0" xfId="0"/>
    <xf numFmtId="0" fontId="1" fillId="0" borderId="0" xfId="0" applyFont="1"/>
    <xf numFmtId="49" fontId="1" fillId="0" borderId="0" xfId="0" applyNumberFormat="1" applyFont="1" applyAlignment="1">
      <alignment horizontal="right"/>
    </xf>
    <xf numFmtId="0" fontId="0" fillId="0" borderId="0" xfId="0" applyAlignment="1">
      <alignment horizontal="center"/>
    </xf>
    <xf numFmtId="0" fontId="0" fillId="2" borderId="0" xfId="0" applyFill="1"/>
    <xf numFmtId="49" fontId="0" fillId="0" borderId="0" xfId="0" applyNumberFormat="1" applyAlignment="1">
      <alignment horizontal="right"/>
    </xf>
    <xf numFmtId="0" fontId="2" fillId="0" borderId="0" xfId="0" applyFont="1"/>
    <xf numFmtId="3" fontId="0" fillId="0" borderId="0" xfId="0" applyNumberFormat="1"/>
    <xf numFmtId="0" fontId="1" fillId="0" borderId="2" xfId="0" applyFont="1" applyBorder="1" applyAlignment="1">
      <alignment horizontal="center"/>
    </xf>
    <xf numFmtId="0" fontId="5" fillId="0" borderId="0" xfId="0" applyFont="1"/>
    <xf numFmtId="0" fontId="1" fillId="0" borderId="1" xfId="0" applyFont="1" applyBorder="1" applyAlignment="1">
      <alignment horizontal="center"/>
    </xf>
    <xf numFmtId="3" fontId="0" fillId="0" borderId="1" xfId="0" applyNumberFormat="1" applyBorder="1"/>
    <xf numFmtId="0" fontId="0" fillId="0" borderId="1" xfId="0" applyBorder="1"/>
    <xf numFmtId="0" fontId="8" fillId="0" borderId="0" xfId="2" applyFont="1"/>
    <xf numFmtId="0" fontId="2" fillId="0" borderId="0" xfId="0" applyFont="1" applyAlignment="1">
      <alignment horizontal="left"/>
    </xf>
    <xf numFmtId="0" fontId="2" fillId="0" borderId="0" xfId="2" applyFont="1" applyAlignment="1">
      <alignment horizontal="left" vertical="center"/>
    </xf>
    <xf numFmtId="0" fontId="12" fillId="0" borderId="0" xfId="5"/>
    <xf numFmtId="0" fontId="2" fillId="0" borderId="0" xfId="5" applyFont="1"/>
    <xf numFmtId="3" fontId="12" fillId="0" borderId="0" xfId="5" applyNumberFormat="1"/>
    <xf numFmtId="0" fontId="12" fillId="0" borderId="1" xfId="5" applyBorder="1" applyAlignment="1">
      <alignment horizontal="center"/>
    </xf>
    <xf numFmtId="0" fontId="5" fillId="0" borderId="0" xfId="5" applyFont="1"/>
    <xf numFmtId="3" fontId="12" fillId="0" borderId="1" xfId="5" applyNumberFormat="1" applyBorder="1"/>
    <xf numFmtId="0" fontId="1" fillId="0" borderId="2" xfId="5" applyFont="1" applyBorder="1" applyAlignment="1">
      <alignment horizontal="center"/>
    </xf>
    <xf numFmtId="0" fontId="1" fillId="0" borderId="2" xfId="5" applyFont="1" applyBorder="1"/>
    <xf numFmtId="3" fontId="13" fillId="0" borderId="1" xfId="5" applyNumberFormat="1" applyFont="1" applyBorder="1" applyAlignment="1">
      <alignment horizontal="right" vertical="center" wrapText="1"/>
    </xf>
    <xf numFmtId="0" fontId="6" fillId="0" borderId="1" xfId="5" applyFont="1" applyBorder="1" applyAlignment="1">
      <alignment horizontal="left" vertical="center" wrapText="1"/>
    </xf>
    <xf numFmtId="0" fontId="1" fillId="0" borderId="1" xfId="5" applyFont="1" applyBorder="1" applyAlignment="1">
      <alignment horizontal="center" vertical="center" wrapText="1"/>
    </xf>
    <xf numFmtId="0" fontId="1" fillId="0" borderId="1" xfId="5" applyFont="1" applyBorder="1" applyAlignment="1">
      <alignment horizontal="center" vertical="center"/>
    </xf>
    <xf numFmtId="0" fontId="12" fillId="0" borderId="1" xfId="5" applyBorder="1" applyAlignment="1">
      <alignment horizontal="center" vertical="center"/>
    </xf>
    <xf numFmtId="3" fontId="14" fillId="0" borderId="1" xfId="5" applyNumberFormat="1" applyFont="1" applyBorder="1" applyAlignment="1">
      <alignment horizontal="right" vertical="center" wrapText="1"/>
    </xf>
    <xf numFmtId="3" fontId="10" fillId="0" borderId="1" xfId="5" applyNumberFormat="1" applyFont="1" applyBorder="1" applyAlignment="1">
      <alignment horizontal="right" vertical="center" wrapText="1"/>
    </xf>
    <xf numFmtId="0" fontId="7" fillId="0" borderId="1" xfId="5" applyFont="1" applyBorder="1" applyAlignment="1">
      <alignment horizontal="left" vertical="center" wrapText="1"/>
    </xf>
    <xf numFmtId="0" fontId="1" fillId="0" borderId="0" xfId="5" applyFont="1" applyAlignment="1">
      <alignment horizontal="left" vertical="center" wrapText="1"/>
    </xf>
    <xf numFmtId="0" fontId="1" fillId="0" borderId="0" xfId="5" applyFont="1"/>
    <xf numFmtId="0" fontId="5" fillId="0" borderId="3" xfId="5" applyFont="1" applyBorder="1" applyAlignment="1">
      <alignment horizontal="center"/>
    </xf>
    <xf numFmtId="0" fontId="12" fillId="0" borderId="0" xfId="5" applyAlignment="1">
      <alignment horizontal="left"/>
    </xf>
    <xf numFmtId="0" fontId="12" fillId="0" borderId="1" xfId="5" applyBorder="1"/>
    <xf numFmtId="3" fontId="2" fillId="0" borderId="0" xfId="5" applyNumberFormat="1" applyFont="1"/>
    <xf numFmtId="0" fontId="7" fillId="0" borderId="0" xfId="2" applyFont="1" applyAlignment="1">
      <alignment horizontal="left" vertical="center" wrapText="1"/>
    </xf>
    <xf numFmtId="3" fontId="6" fillId="0" borderId="1" xfId="2" applyNumberFormat="1" applyFont="1" applyBorder="1" applyAlignment="1">
      <alignment horizontal="right"/>
    </xf>
    <xf numFmtId="0" fontId="3" fillId="0" borderId="1" xfId="2" applyFont="1" applyBorder="1" applyAlignment="1">
      <alignment horizontal="left"/>
    </xf>
    <xf numFmtId="0" fontId="2" fillId="0" borderId="0" xfId="5" applyFont="1" applyAlignment="1">
      <alignment wrapText="1"/>
    </xf>
    <xf numFmtId="0" fontId="0" fillId="0" borderId="0" xfId="5" applyFont="1"/>
    <xf numFmtId="0" fontId="1" fillId="0" borderId="5" xfId="0" applyFont="1" applyBorder="1"/>
    <xf numFmtId="49" fontId="1" fillId="0" borderId="5" xfId="0" applyNumberFormat="1" applyFont="1" applyBorder="1" applyAlignment="1">
      <alignment horizontal="right"/>
    </xf>
    <xf numFmtId="0" fontId="0" fillId="2" borderId="6" xfId="0" applyFill="1" applyBorder="1"/>
    <xf numFmtId="0" fontId="0" fillId="0" borderId="7" xfId="0" applyBorder="1"/>
    <xf numFmtId="0" fontId="0" fillId="0" borderId="6" xfId="0" applyBorder="1"/>
    <xf numFmtId="0" fontId="1" fillId="0" borderId="9" xfId="0" applyFont="1" applyBorder="1"/>
    <xf numFmtId="49" fontId="1" fillId="0" borderId="9" xfId="0" applyNumberFormat="1" applyFont="1" applyBorder="1" applyAlignment="1">
      <alignment horizontal="right"/>
    </xf>
    <xf numFmtId="0" fontId="0" fillId="0" borderId="9" xfId="0" applyBorder="1" applyAlignment="1">
      <alignment horizontal="center"/>
    </xf>
    <xf numFmtId="0" fontId="0" fillId="0" borderId="9" xfId="0" applyBorder="1"/>
    <xf numFmtId="0" fontId="0" fillId="0" borderId="8" xfId="0" applyBorder="1"/>
    <xf numFmtId="0" fontId="0" fillId="0" borderId="4" xfId="0" applyBorder="1"/>
    <xf numFmtId="0" fontId="0" fillId="0" borderId="5" xfId="0" applyBorder="1"/>
    <xf numFmtId="0" fontId="0" fillId="3" borderId="0" xfId="0" applyFill="1" applyAlignment="1">
      <alignment horizontal="center"/>
    </xf>
    <xf numFmtId="0" fontId="0" fillId="3" borderId="0" xfId="0" applyFill="1"/>
    <xf numFmtId="0" fontId="0" fillId="3" borderId="10" xfId="0" applyFill="1" applyBorder="1"/>
    <xf numFmtId="0" fontId="0" fillId="0" borderId="13" xfId="0" applyBorder="1"/>
    <xf numFmtId="0" fontId="0" fillId="0" borderId="14" xfId="0" applyBorder="1"/>
    <xf numFmtId="0" fontId="0" fillId="0" borderId="15" xfId="0" applyBorder="1"/>
    <xf numFmtId="0" fontId="0" fillId="0" borderId="19" xfId="0" applyBorder="1"/>
    <xf numFmtId="4" fontId="0" fillId="0" borderId="13" xfId="0" applyNumberFormat="1" applyBorder="1"/>
    <xf numFmtId="0" fontId="5" fillId="0" borderId="13" xfId="0" applyFont="1" applyBorder="1"/>
    <xf numFmtId="0" fontId="16" fillId="0" borderId="0" xfId="0" applyFont="1"/>
    <xf numFmtId="0" fontId="17" fillId="0" borderId="13" xfId="0" applyFont="1" applyBorder="1"/>
    <xf numFmtId="3" fontId="0" fillId="3" borderId="13" xfId="0" applyNumberFormat="1" applyFill="1" applyBorder="1"/>
    <xf numFmtId="3" fontId="0" fillId="0" borderId="13" xfId="0" applyNumberFormat="1" applyBorder="1"/>
    <xf numFmtId="0" fontId="0" fillId="4" borderId="7" xfId="0" applyFill="1" applyBorder="1"/>
    <xf numFmtId="0" fontId="0" fillId="0" borderId="11" xfId="0" applyBorder="1" applyAlignment="1">
      <alignment horizontal="center"/>
    </xf>
    <xf numFmtId="0" fontId="0" fillId="0" borderId="12" xfId="0" applyBorder="1"/>
    <xf numFmtId="0" fontId="0" fillId="0" borderId="20" xfId="0" applyBorder="1"/>
    <xf numFmtId="0" fontId="0" fillId="0" borderId="12" xfId="0" applyBorder="1" applyAlignment="1">
      <alignment horizontal="left"/>
    </xf>
    <xf numFmtId="0" fontId="0" fillId="0" borderId="11" xfId="0" applyBorder="1"/>
    <xf numFmtId="0" fontId="0" fillId="4" borderId="0" xfId="0" applyFill="1"/>
    <xf numFmtId="0" fontId="7" fillId="0" borderId="0" xfId="0" applyFont="1"/>
    <xf numFmtId="0" fontId="2" fillId="0" borderId="0" xfId="5" applyFont="1" applyAlignment="1">
      <alignment vertical="top"/>
    </xf>
    <xf numFmtId="0" fontId="0" fillId="0" borderId="21" xfId="0" applyBorder="1" applyAlignment="1">
      <alignment horizontal="center"/>
    </xf>
    <xf numFmtId="0" fontId="0" fillId="0" borderId="20" xfId="0" applyBorder="1" applyAlignment="1">
      <alignment horizontal="center"/>
    </xf>
    <xf numFmtId="0" fontId="0" fillId="0" borderId="21" xfId="0" applyBorder="1"/>
    <xf numFmtId="0" fontId="0" fillId="0" borderId="20" xfId="0" applyBorder="1" applyAlignment="1">
      <alignment horizontal="left"/>
    </xf>
    <xf numFmtId="0" fontId="0" fillId="0" borderId="16" xfId="0" applyBorder="1"/>
    <xf numFmtId="0" fontId="15" fillId="0" borderId="13" xfId="0" applyFont="1" applyBorder="1"/>
    <xf numFmtId="0" fontId="19" fillId="5" borderId="11" xfId="0" applyFont="1" applyFill="1" applyBorder="1" applyAlignment="1">
      <alignment horizontal="center"/>
    </xf>
    <xf numFmtId="0" fontId="20" fillId="0" borderId="13" xfId="0" applyFont="1" applyBorder="1"/>
    <xf numFmtId="0" fontId="5" fillId="0" borderId="22" xfId="5" applyFont="1" applyBorder="1"/>
    <xf numFmtId="0" fontId="1" fillId="0" borderId="22" xfId="5" applyFont="1" applyBorder="1" applyAlignment="1">
      <alignment horizontal="center"/>
    </xf>
    <xf numFmtId="0" fontId="12" fillId="0" borderId="22" xfId="5" applyBorder="1"/>
    <xf numFmtId="0" fontId="0" fillId="0" borderId="22" xfId="0" applyBorder="1"/>
    <xf numFmtId="3" fontId="0" fillId="0" borderId="22" xfId="0" applyNumberFormat="1" applyBorder="1"/>
    <xf numFmtId="0" fontId="0" fillId="0" borderId="22" xfId="5" applyFont="1" applyBorder="1"/>
    <xf numFmtId="0" fontId="0" fillId="0" borderId="22" xfId="5" applyFont="1" applyBorder="1" applyAlignment="1">
      <alignment wrapText="1"/>
    </xf>
    <xf numFmtId="0" fontId="3" fillId="0" borderId="22" xfId="2" applyFont="1" applyBorder="1" applyAlignment="1">
      <alignment horizontal="left"/>
    </xf>
    <xf numFmtId="3" fontId="3" fillId="0" borderId="22" xfId="2" applyNumberFormat="1" applyFont="1" applyBorder="1" applyAlignment="1">
      <alignment horizontal="right"/>
    </xf>
    <xf numFmtId="0" fontId="12" fillId="0" borderId="22" xfId="5" applyBorder="1" applyAlignment="1">
      <alignment horizontal="center"/>
    </xf>
    <xf numFmtId="3" fontId="12" fillId="0" borderId="22" xfId="5" applyNumberFormat="1" applyBorder="1"/>
    <xf numFmtId="0" fontId="6" fillId="0" borderId="22" xfId="2" applyFont="1" applyBorder="1" applyAlignment="1">
      <alignment horizontal="left"/>
    </xf>
    <xf numFmtId="3" fontId="7" fillId="0" borderId="22" xfId="5" applyNumberFormat="1" applyFont="1" applyBorder="1"/>
    <xf numFmtId="0" fontId="0" fillId="0" borderId="22" xfId="5" applyFont="1" applyBorder="1" applyAlignment="1">
      <alignment horizontal="center"/>
    </xf>
    <xf numFmtId="0" fontId="1" fillId="0" borderId="22" xfId="2" applyFont="1" applyBorder="1" applyAlignment="1">
      <alignment horizontal="left" vertical="center" wrapText="1"/>
    </xf>
    <xf numFmtId="3" fontId="1" fillId="0" borderId="22" xfId="5" applyNumberFormat="1" applyFont="1" applyBorder="1" applyAlignment="1">
      <alignment horizontal="right"/>
    </xf>
    <xf numFmtId="0" fontId="7" fillId="0" borderId="22" xfId="2" applyFont="1" applyBorder="1" applyAlignment="1">
      <alignment horizontal="left" vertical="center" wrapText="1"/>
    </xf>
    <xf numFmtId="3" fontId="6" fillId="0" borderId="22" xfId="2" applyNumberFormat="1" applyFont="1" applyBorder="1"/>
    <xf numFmtId="0" fontId="6" fillId="0" borderId="22" xfId="2" applyFont="1" applyBorder="1"/>
    <xf numFmtId="0" fontId="5" fillId="0" borderId="22" xfId="0" applyFont="1" applyBorder="1"/>
    <xf numFmtId="0" fontId="1" fillId="0" borderId="22" xfId="0" applyFont="1" applyBorder="1" applyAlignment="1">
      <alignment horizontal="center"/>
    </xf>
    <xf numFmtId="0" fontId="6" fillId="0" borderId="22" xfId="2" applyFont="1" applyBorder="1" applyAlignment="1">
      <alignment horizontal="left" vertical="center"/>
    </xf>
    <xf numFmtId="0" fontId="7" fillId="0" borderId="22" xfId="0" applyFont="1" applyBorder="1"/>
    <xf numFmtId="0" fontId="10" fillId="0" borderId="22" xfId="2" applyFont="1" applyBorder="1" applyAlignment="1">
      <alignment horizontal="left" vertical="center"/>
    </xf>
    <xf numFmtId="0" fontId="6" fillId="0" borderId="22" xfId="2" applyFont="1" applyBorder="1" applyAlignment="1">
      <alignment vertical="center"/>
    </xf>
    <xf numFmtId="0" fontId="10" fillId="0" borderId="22" xfId="2" applyFont="1" applyBorder="1" applyAlignment="1">
      <alignment horizontal="center" vertical="center"/>
    </xf>
    <xf numFmtId="0" fontId="10" fillId="0" borderId="22" xfId="2" applyFont="1" applyBorder="1" applyAlignment="1">
      <alignment vertical="center"/>
    </xf>
    <xf numFmtId="0" fontId="3" fillId="0" borderId="22" xfId="0" applyFont="1" applyBorder="1" applyAlignment="1">
      <alignment horizontal="left" vertical="center"/>
    </xf>
    <xf numFmtId="0" fontId="8" fillId="0" borderId="22" xfId="0" applyFont="1" applyBorder="1" applyAlignment="1">
      <alignment horizontal="left" vertical="center"/>
    </xf>
    <xf numFmtId="0" fontId="3" fillId="0" borderId="22" xfId="0" applyFont="1" applyBorder="1"/>
    <xf numFmtId="3" fontId="3" fillId="0" borderId="22" xfId="0" applyNumberFormat="1" applyFont="1" applyBorder="1"/>
    <xf numFmtId="0" fontId="1" fillId="0" borderId="22" xfId="0" applyFont="1" applyBorder="1"/>
    <xf numFmtId="0" fontId="3" fillId="0" borderId="22" xfId="0" applyFont="1" applyBorder="1" applyAlignment="1">
      <alignment horizontal="left"/>
    </xf>
    <xf numFmtId="3" fontId="6" fillId="0" borderId="22" xfId="0" applyNumberFormat="1" applyFont="1" applyBorder="1" applyAlignment="1">
      <alignment horizontal="right" vertical="center"/>
    </xf>
    <xf numFmtId="0" fontId="0" fillId="0" borderId="22" xfId="0" applyBorder="1" applyAlignment="1">
      <alignment horizontal="center" vertical="center"/>
    </xf>
    <xf numFmtId="0" fontId="4" fillId="0" borderId="22" xfId="0" applyFont="1" applyBorder="1" applyAlignment="1">
      <alignment horizontal="center"/>
    </xf>
    <xf numFmtId="0" fontId="0" fillId="0" borderId="13" xfId="0" applyBorder="1"/>
    <xf numFmtId="0" fontId="2" fillId="0" borderId="0" xfId="0" applyFont="1"/>
    <xf numFmtId="0" fontId="1" fillId="0" borderId="22" xfId="0" applyFont="1" applyBorder="1" applyAlignment="1">
      <alignment horizontal="center" vertical="center"/>
    </xf>
    <xf numFmtId="0" fontId="1" fillId="0" borderId="22" xfId="0" applyFont="1" applyBorder="1" applyAlignment="1">
      <alignment horizontal="center"/>
    </xf>
    <xf numFmtId="0" fontId="0" fillId="0" borderId="22" xfId="0" applyBorder="1" applyAlignment="1">
      <alignment horizontal="center"/>
    </xf>
    <xf numFmtId="0" fontId="20" fillId="0" borderId="13" xfId="0" applyFont="1" applyBorder="1"/>
    <xf numFmtId="0" fontId="0" fillId="0" borderId="3" xfId="0" applyBorder="1" applyAlignment="1">
      <alignment horizontal="center" vertical="center"/>
    </xf>
    <xf numFmtId="0" fontId="0" fillId="0" borderId="2" xfId="0" applyBorder="1" applyAlignment="1">
      <alignment horizontal="center" vertical="center"/>
    </xf>
    <xf numFmtId="0" fontId="2" fillId="0" borderId="0" xfId="5" applyFont="1"/>
    <xf numFmtId="0" fontId="12" fillId="0" borderId="3" xfId="5" applyBorder="1" applyAlignment="1">
      <alignment horizontal="center" vertical="center"/>
    </xf>
    <xf numFmtId="0" fontId="12" fillId="0" borderId="2" xfId="5" applyBorder="1" applyAlignment="1">
      <alignment horizontal="center" vertical="center"/>
    </xf>
    <xf numFmtId="0" fontId="4" fillId="0" borderId="1" xfId="5" applyFont="1" applyBorder="1" applyAlignment="1">
      <alignment horizontal="center"/>
    </xf>
    <xf numFmtId="0" fontId="5" fillId="0" borderId="0" xfId="5" applyFont="1"/>
    <xf numFmtId="0" fontId="5" fillId="0" borderId="13" xfId="0" applyFont="1" applyBorder="1"/>
    <xf numFmtId="0" fontId="5" fillId="0" borderId="22" xfId="5" applyFont="1" applyBorder="1"/>
    <xf numFmtId="0" fontId="2" fillId="0" borderId="22" xfId="5" applyFont="1" applyBorder="1"/>
    <xf numFmtId="0" fontId="12" fillId="0" borderId="22" xfId="5" applyBorder="1" applyAlignment="1">
      <alignment horizontal="center" vertical="center"/>
    </xf>
    <xf numFmtId="0" fontId="4" fillId="0" borderId="22" xfId="5" applyFont="1" applyBorder="1" applyAlignment="1">
      <alignment horizontal="center"/>
    </xf>
    <xf numFmtId="0" fontId="15" fillId="0" borderId="13" xfId="0" applyFont="1" applyBorder="1"/>
    <xf numFmtId="0" fontId="0" fillId="0" borderId="0" xfId="0"/>
    <xf numFmtId="0" fontId="7" fillId="0" borderId="13" xfId="0" applyFont="1" applyBorder="1"/>
    <xf numFmtId="0" fontId="0" fillId="0" borderId="13" xfId="0" applyBorder="1" applyAlignment="1"/>
    <xf numFmtId="0" fontId="0" fillId="3" borderId="13" xfId="0" applyFill="1" applyBorder="1" applyAlignment="1"/>
    <xf numFmtId="4" fontId="0" fillId="0" borderId="13" xfId="0" applyNumberFormat="1" applyBorder="1" applyAlignment="1"/>
    <xf numFmtId="0" fontId="0" fillId="0" borderId="17" xfId="0" applyBorder="1" applyAlignment="1"/>
    <xf numFmtId="0" fontId="0" fillId="0" borderId="18" xfId="0" applyBorder="1" applyAlignment="1"/>
    <xf numFmtId="169" fontId="0" fillId="0" borderId="13" xfId="7" applyNumberFormat="1" applyFont="1" applyBorder="1"/>
  </cellXfs>
  <cellStyles count="8">
    <cellStyle name="Millares" xfId="7" builtinId="3"/>
    <cellStyle name="Millares 2" xfId="4" xr:uid="{F6704742-7A99-484A-AF3A-962E76E27076}"/>
    <cellStyle name="Millares 3" xfId="6" xr:uid="{849578B5-CEFA-466A-829C-D92CCCAE921E}"/>
    <cellStyle name="Moneda 2" xfId="1" xr:uid="{75B805E8-4176-4412-A18E-D54194A38C81}"/>
    <cellStyle name="Normal" xfId="0" builtinId="0"/>
    <cellStyle name="Normal 2" xfId="5" xr:uid="{41E7FB3A-18AE-4C32-A478-3466717E8F71}"/>
    <cellStyle name="Normal 3" xfId="2" xr:uid="{43628598-D680-4784-B158-A677049D7903}"/>
    <cellStyle name="Porcentaje 2" xfId="3" xr:uid="{13198B25-A24B-4172-B198-F854FD5C94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428625</xdr:colOff>
      <xdr:row>1</xdr:row>
      <xdr:rowOff>28575</xdr:rowOff>
    </xdr:from>
    <xdr:to>
      <xdr:col>9</xdr:col>
      <xdr:colOff>428625</xdr:colOff>
      <xdr:row>1</xdr:row>
      <xdr:rowOff>133350</xdr:rowOff>
    </xdr:to>
    <xdr:cxnSp macro="">
      <xdr:nvCxnSpPr>
        <xdr:cNvPr id="25" name="Conector recto de flecha 24">
          <a:extLst>
            <a:ext uri="{FF2B5EF4-FFF2-40B4-BE49-F238E27FC236}">
              <a16:creationId xmlns:a16="http://schemas.microsoft.com/office/drawing/2014/main" id="{F18A7816-A3EE-405E-8112-1ADBEDF893AE}"/>
            </a:ext>
          </a:extLst>
        </xdr:cNvPr>
        <xdr:cNvCxnSpPr/>
      </xdr:nvCxnSpPr>
      <xdr:spPr>
        <a:xfrm flipV="1">
          <a:off x="13449300" y="8429625"/>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428625</xdr:colOff>
      <xdr:row>3</xdr:row>
      <xdr:rowOff>28575</xdr:rowOff>
    </xdr:from>
    <xdr:to>
      <xdr:col>9</xdr:col>
      <xdr:colOff>428625</xdr:colOff>
      <xdr:row>3</xdr:row>
      <xdr:rowOff>133350</xdr:rowOff>
    </xdr:to>
    <xdr:cxnSp macro="">
      <xdr:nvCxnSpPr>
        <xdr:cNvPr id="46" name="Conector recto de flecha 45">
          <a:extLst>
            <a:ext uri="{FF2B5EF4-FFF2-40B4-BE49-F238E27FC236}">
              <a16:creationId xmlns:a16="http://schemas.microsoft.com/office/drawing/2014/main" id="{1841DA1B-F0FE-4267-838F-198C3FD4F272}"/>
            </a:ext>
          </a:extLst>
        </xdr:cNvPr>
        <xdr:cNvCxnSpPr/>
      </xdr:nvCxnSpPr>
      <xdr:spPr>
        <a:xfrm flipV="1">
          <a:off x="13449300" y="9953625"/>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428625</xdr:colOff>
      <xdr:row>4</xdr:row>
      <xdr:rowOff>28575</xdr:rowOff>
    </xdr:from>
    <xdr:to>
      <xdr:col>9</xdr:col>
      <xdr:colOff>428625</xdr:colOff>
      <xdr:row>4</xdr:row>
      <xdr:rowOff>133350</xdr:rowOff>
    </xdr:to>
    <xdr:cxnSp macro="">
      <xdr:nvCxnSpPr>
        <xdr:cNvPr id="51" name="Conector recto de flecha 50">
          <a:extLst>
            <a:ext uri="{FF2B5EF4-FFF2-40B4-BE49-F238E27FC236}">
              <a16:creationId xmlns:a16="http://schemas.microsoft.com/office/drawing/2014/main" id="{E1E4C0ED-DD84-4CBF-8BA5-DF8B94C2F224}"/>
            </a:ext>
          </a:extLst>
        </xdr:cNvPr>
        <xdr:cNvCxnSpPr/>
      </xdr:nvCxnSpPr>
      <xdr:spPr>
        <a:xfrm flipV="1">
          <a:off x="13449300" y="12258675"/>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428625</xdr:colOff>
      <xdr:row>7</xdr:row>
      <xdr:rowOff>28575</xdr:rowOff>
    </xdr:from>
    <xdr:to>
      <xdr:col>9</xdr:col>
      <xdr:colOff>428625</xdr:colOff>
      <xdr:row>7</xdr:row>
      <xdr:rowOff>133350</xdr:rowOff>
    </xdr:to>
    <xdr:cxnSp macro="">
      <xdr:nvCxnSpPr>
        <xdr:cNvPr id="77" name="Conector recto de flecha 76">
          <a:extLst>
            <a:ext uri="{FF2B5EF4-FFF2-40B4-BE49-F238E27FC236}">
              <a16:creationId xmlns:a16="http://schemas.microsoft.com/office/drawing/2014/main" id="{016C3860-4DB4-4D04-913D-6A04036197C2}"/>
            </a:ext>
          </a:extLst>
        </xdr:cNvPr>
        <xdr:cNvCxnSpPr/>
      </xdr:nvCxnSpPr>
      <xdr:spPr>
        <a:xfrm flipV="1">
          <a:off x="13449300" y="18021300"/>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428625</xdr:colOff>
      <xdr:row>8</xdr:row>
      <xdr:rowOff>28575</xdr:rowOff>
    </xdr:from>
    <xdr:to>
      <xdr:col>9</xdr:col>
      <xdr:colOff>428625</xdr:colOff>
      <xdr:row>8</xdr:row>
      <xdr:rowOff>133350</xdr:rowOff>
    </xdr:to>
    <xdr:cxnSp macro="">
      <xdr:nvCxnSpPr>
        <xdr:cNvPr id="83" name="Conector recto de flecha 82">
          <a:extLst>
            <a:ext uri="{FF2B5EF4-FFF2-40B4-BE49-F238E27FC236}">
              <a16:creationId xmlns:a16="http://schemas.microsoft.com/office/drawing/2014/main" id="{DC98F270-16CE-4C72-9AC9-6B83BD19DF43}"/>
            </a:ext>
          </a:extLst>
        </xdr:cNvPr>
        <xdr:cNvCxnSpPr/>
      </xdr:nvCxnSpPr>
      <xdr:spPr>
        <a:xfrm flipV="1">
          <a:off x="13449300" y="19745325"/>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428625</xdr:colOff>
      <xdr:row>2</xdr:row>
      <xdr:rowOff>28575</xdr:rowOff>
    </xdr:from>
    <xdr:to>
      <xdr:col>9</xdr:col>
      <xdr:colOff>428625</xdr:colOff>
      <xdr:row>2</xdr:row>
      <xdr:rowOff>133350</xdr:rowOff>
    </xdr:to>
    <xdr:cxnSp macro="">
      <xdr:nvCxnSpPr>
        <xdr:cNvPr id="85" name="Conector recto de flecha 84">
          <a:extLst>
            <a:ext uri="{FF2B5EF4-FFF2-40B4-BE49-F238E27FC236}">
              <a16:creationId xmlns:a16="http://schemas.microsoft.com/office/drawing/2014/main" id="{3DC72033-3EE9-417F-960A-2F0AFF71CAC7}"/>
            </a:ext>
          </a:extLst>
        </xdr:cNvPr>
        <xdr:cNvCxnSpPr/>
      </xdr:nvCxnSpPr>
      <xdr:spPr>
        <a:xfrm flipV="1">
          <a:off x="13449300" y="11296650"/>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428625</xdr:colOff>
      <xdr:row>5</xdr:row>
      <xdr:rowOff>28575</xdr:rowOff>
    </xdr:from>
    <xdr:to>
      <xdr:col>9</xdr:col>
      <xdr:colOff>428625</xdr:colOff>
      <xdr:row>5</xdr:row>
      <xdr:rowOff>133350</xdr:rowOff>
    </xdr:to>
    <xdr:cxnSp macro="">
      <xdr:nvCxnSpPr>
        <xdr:cNvPr id="90" name="Conector recto de flecha 89">
          <a:extLst>
            <a:ext uri="{FF2B5EF4-FFF2-40B4-BE49-F238E27FC236}">
              <a16:creationId xmlns:a16="http://schemas.microsoft.com/office/drawing/2014/main" id="{3B41E32D-A18B-481A-8AE6-0503FAD74545}"/>
            </a:ext>
          </a:extLst>
        </xdr:cNvPr>
        <xdr:cNvCxnSpPr/>
      </xdr:nvCxnSpPr>
      <xdr:spPr>
        <a:xfrm flipV="1">
          <a:off x="12763500" y="17259300"/>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428625</xdr:colOff>
      <xdr:row>6</xdr:row>
      <xdr:rowOff>28575</xdr:rowOff>
    </xdr:from>
    <xdr:to>
      <xdr:col>9</xdr:col>
      <xdr:colOff>428625</xdr:colOff>
      <xdr:row>6</xdr:row>
      <xdr:rowOff>133350</xdr:rowOff>
    </xdr:to>
    <xdr:cxnSp macro="">
      <xdr:nvCxnSpPr>
        <xdr:cNvPr id="92" name="Conector recto de flecha 91">
          <a:extLst>
            <a:ext uri="{FF2B5EF4-FFF2-40B4-BE49-F238E27FC236}">
              <a16:creationId xmlns:a16="http://schemas.microsoft.com/office/drawing/2014/main" id="{7C3123DB-CE76-4207-973A-C970533D2F08}"/>
            </a:ext>
          </a:extLst>
        </xdr:cNvPr>
        <xdr:cNvCxnSpPr/>
      </xdr:nvCxnSpPr>
      <xdr:spPr>
        <a:xfrm flipV="1">
          <a:off x="12763500" y="18021300"/>
          <a:ext cx="0" cy="1047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2</xdr:col>
      <xdr:colOff>362713</xdr:colOff>
      <xdr:row>24</xdr:row>
      <xdr:rowOff>95609</xdr:rowOff>
    </xdr:to>
    <xdr:pic>
      <xdr:nvPicPr>
        <xdr:cNvPr id="2" name="Imagen 1">
          <a:extLst>
            <a:ext uri="{FF2B5EF4-FFF2-40B4-BE49-F238E27FC236}">
              <a16:creationId xmlns:a16="http://schemas.microsoft.com/office/drawing/2014/main" id="{6FE87C44-7B32-45D3-83D2-A62DF9AF87FE}"/>
            </a:ext>
          </a:extLst>
        </xdr:cNvPr>
        <xdr:cNvPicPr>
          <a:picLocks noChangeAspect="1"/>
        </xdr:cNvPicPr>
      </xdr:nvPicPr>
      <xdr:blipFill>
        <a:blip xmlns:r="http://schemas.openxmlformats.org/officeDocument/2006/relationships" r:embed="rId1"/>
        <a:stretch>
          <a:fillRect/>
        </a:stretch>
      </xdr:blipFill>
      <xdr:spPr>
        <a:xfrm>
          <a:off x="0" y="2114550"/>
          <a:ext cx="5468113" cy="25721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5544324</xdr:colOff>
      <xdr:row>34</xdr:row>
      <xdr:rowOff>19584</xdr:rowOff>
    </xdr:to>
    <xdr:pic>
      <xdr:nvPicPr>
        <xdr:cNvPr id="2" name="Imagen 1">
          <a:extLst>
            <a:ext uri="{FF2B5EF4-FFF2-40B4-BE49-F238E27FC236}">
              <a16:creationId xmlns:a16="http://schemas.microsoft.com/office/drawing/2014/main" id="{48924573-ACD9-445E-B15B-8106EAFA3C1E}"/>
            </a:ext>
          </a:extLst>
        </xdr:cNvPr>
        <xdr:cNvPicPr>
          <a:picLocks noChangeAspect="1"/>
        </xdr:cNvPicPr>
      </xdr:nvPicPr>
      <xdr:blipFill>
        <a:blip xmlns:r="http://schemas.openxmlformats.org/officeDocument/2006/relationships" r:embed="rId1"/>
        <a:stretch>
          <a:fillRect/>
        </a:stretch>
      </xdr:blipFill>
      <xdr:spPr>
        <a:xfrm>
          <a:off x="0" y="3915833"/>
          <a:ext cx="5544324" cy="3829584"/>
        </a:xfrm>
        <a:prstGeom prst="rect">
          <a:avLst/>
        </a:prstGeom>
      </xdr:spPr>
    </xdr:pic>
    <xdr:clientData/>
  </xdr:twoCellAnchor>
  <xdr:twoCellAnchor editAs="oneCell">
    <xdr:from>
      <xdr:col>0</xdr:col>
      <xdr:colOff>5598584</xdr:colOff>
      <xdr:row>14</xdr:row>
      <xdr:rowOff>10584</xdr:rowOff>
    </xdr:from>
    <xdr:to>
      <xdr:col>2</xdr:col>
      <xdr:colOff>552148</xdr:colOff>
      <xdr:row>35</xdr:row>
      <xdr:rowOff>68300</xdr:rowOff>
    </xdr:to>
    <xdr:pic>
      <xdr:nvPicPr>
        <xdr:cNvPr id="3" name="Imagen 2">
          <a:extLst>
            <a:ext uri="{FF2B5EF4-FFF2-40B4-BE49-F238E27FC236}">
              <a16:creationId xmlns:a16="http://schemas.microsoft.com/office/drawing/2014/main" id="{5596501F-DAAA-4FC5-A4D4-842B3B2DA0CB}"/>
            </a:ext>
          </a:extLst>
        </xdr:cNvPr>
        <xdr:cNvPicPr>
          <a:picLocks noChangeAspect="1"/>
        </xdr:cNvPicPr>
      </xdr:nvPicPr>
      <xdr:blipFill>
        <a:blip xmlns:r="http://schemas.openxmlformats.org/officeDocument/2006/relationships" r:embed="rId2"/>
        <a:stretch>
          <a:fillRect/>
        </a:stretch>
      </xdr:blipFill>
      <xdr:spPr>
        <a:xfrm>
          <a:off x="5598584" y="3926417"/>
          <a:ext cx="5420481" cy="40582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17</xdr:col>
      <xdr:colOff>143639</xdr:colOff>
      <xdr:row>23</xdr:row>
      <xdr:rowOff>168914</xdr:rowOff>
    </xdr:to>
    <xdr:pic>
      <xdr:nvPicPr>
        <xdr:cNvPr id="2" name="Imagen 1">
          <a:extLst>
            <a:ext uri="{FF2B5EF4-FFF2-40B4-BE49-F238E27FC236}">
              <a16:creationId xmlns:a16="http://schemas.microsoft.com/office/drawing/2014/main" id="{3BB3FD6F-D0B2-4B0E-BD77-43BFFBB24B30}"/>
            </a:ext>
          </a:extLst>
        </xdr:cNvPr>
        <xdr:cNvPicPr>
          <a:picLocks noChangeAspect="1"/>
        </xdr:cNvPicPr>
      </xdr:nvPicPr>
      <xdr:blipFill>
        <a:blip xmlns:r="http://schemas.openxmlformats.org/officeDocument/2006/relationships" r:embed="rId1"/>
        <a:stretch>
          <a:fillRect/>
        </a:stretch>
      </xdr:blipFill>
      <xdr:spPr>
        <a:xfrm>
          <a:off x="7355417" y="0"/>
          <a:ext cx="5477639" cy="45821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367A-B02A-4A5F-AD90-1DE55D8E8D58}">
  <dimension ref="A1:M15"/>
  <sheetViews>
    <sheetView topLeftCell="E1" workbookViewId="0">
      <selection activeCell="N20" sqref="N20"/>
    </sheetView>
  </sheetViews>
  <sheetFormatPr baseColWidth="10" defaultRowHeight="14.4" x14ac:dyDescent="0.3"/>
  <cols>
    <col min="1" max="1" width="5.88671875" hidden="1" customWidth="1"/>
    <col min="2" max="2" width="40.6640625" hidden="1" customWidth="1"/>
    <col min="3" max="3" width="6.44140625" hidden="1" customWidth="1"/>
    <col min="4" max="4" width="3.88671875" style="5" hidden="1" customWidth="1"/>
    <col min="5" max="5" width="9.88671875" style="3" customWidth="1"/>
    <col min="6" max="6" width="116.109375" customWidth="1"/>
    <col min="7" max="7" width="9.33203125" hidden="1" customWidth="1"/>
    <col min="8" max="8" width="14" customWidth="1"/>
    <col min="9" max="9" width="26.88671875" customWidth="1"/>
    <col min="10" max="11" width="12.44140625" customWidth="1"/>
    <col min="12" max="12" width="19.109375" customWidth="1"/>
    <col min="13" max="13" width="33" customWidth="1"/>
  </cols>
  <sheetData>
    <row r="1" spans="1:13" ht="15" thickBot="1" x14ac:dyDescent="0.35">
      <c r="A1" t="s">
        <v>0</v>
      </c>
      <c r="B1" t="s">
        <v>1</v>
      </c>
      <c r="C1" s="1" t="s">
        <v>2</v>
      </c>
      <c r="D1" s="2" t="s">
        <v>3</v>
      </c>
      <c r="E1" s="55" t="s">
        <v>4</v>
      </c>
      <c r="F1" s="56" t="s">
        <v>306</v>
      </c>
      <c r="G1" s="56" t="s">
        <v>5</v>
      </c>
      <c r="H1" s="56" t="s">
        <v>6</v>
      </c>
      <c r="I1" s="56" t="s">
        <v>1</v>
      </c>
      <c r="J1" s="57" t="s">
        <v>206</v>
      </c>
      <c r="K1" s="83" t="s">
        <v>192</v>
      </c>
      <c r="L1" s="83" t="s">
        <v>207</v>
      </c>
      <c r="M1" s="83" t="s">
        <v>213</v>
      </c>
    </row>
    <row r="2" spans="1:13" ht="15" thickBot="1" x14ac:dyDescent="0.35">
      <c r="A2">
        <v>2.1</v>
      </c>
      <c r="B2" s="47" t="s">
        <v>10</v>
      </c>
      <c r="C2" s="1" t="s">
        <v>7</v>
      </c>
      <c r="D2" s="2" t="s">
        <v>11</v>
      </c>
      <c r="E2" s="3" t="str">
        <f t="shared" ref="E2:E4" si="0">_xlfn.CONCAT(C2:D2)</f>
        <v>M3-045</v>
      </c>
      <c r="F2" s="71" t="s">
        <v>12</v>
      </c>
      <c r="G2" t="s">
        <v>8</v>
      </c>
      <c r="H2" s="73" t="s">
        <v>9</v>
      </c>
      <c r="I2" s="71" t="s">
        <v>278</v>
      </c>
      <c r="J2" s="68"/>
      <c r="K2" s="46" t="s">
        <v>194</v>
      </c>
      <c r="L2" s="46" t="s">
        <v>193</v>
      </c>
      <c r="M2" s="46" t="s">
        <v>272</v>
      </c>
    </row>
    <row r="3" spans="1:13" ht="15" thickBot="1" x14ac:dyDescent="0.35">
      <c r="A3">
        <v>3.1</v>
      </c>
      <c r="B3" s="53" t="s">
        <v>13</v>
      </c>
      <c r="C3" s="43" t="s">
        <v>7</v>
      </c>
      <c r="D3" s="44" t="s">
        <v>14</v>
      </c>
      <c r="E3" s="69" t="str">
        <f t="shared" si="0"/>
        <v>M3-058</v>
      </c>
      <c r="F3" s="71" t="s">
        <v>15</v>
      </c>
      <c r="G3" s="54" t="s">
        <v>8</v>
      </c>
      <c r="H3" s="73" t="s">
        <v>16</v>
      </c>
      <c r="I3" s="71" t="s">
        <v>277</v>
      </c>
      <c r="J3" s="68"/>
      <c r="K3" s="70" t="s">
        <v>195</v>
      </c>
      <c r="L3" s="70" t="s">
        <v>195</v>
      </c>
      <c r="M3" s="72" t="s">
        <v>233</v>
      </c>
    </row>
    <row r="4" spans="1:13" ht="15" thickBot="1" x14ac:dyDescent="0.35">
      <c r="A4">
        <v>4.2</v>
      </c>
      <c r="B4" s="52" t="s">
        <v>18</v>
      </c>
      <c r="C4" s="48" t="s">
        <v>7</v>
      </c>
      <c r="D4" s="49" t="s">
        <v>19</v>
      </c>
      <c r="E4" s="50" t="str">
        <f t="shared" si="0"/>
        <v>M3-065</v>
      </c>
      <c r="F4" s="71" t="s">
        <v>20</v>
      </c>
      <c r="G4" s="51" t="s">
        <v>8</v>
      </c>
      <c r="H4" s="73" t="s">
        <v>17</v>
      </c>
      <c r="I4" s="71" t="s">
        <v>280</v>
      </c>
      <c r="J4" s="68"/>
      <c r="K4" s="71" t="s">
        <v>197</v>
      </c>
      <c r="L4" s="71" t="s">
        <v>196</v>
      </c>
      <c r="M4" s="72" t="s">
        <v>256</v>
      </c>
    </row>
    <row r="5" spans="1:13" ht="15" thickBot="1" x14ac:dyDescent="0.35">
      <c r="A5">
        <v>6.1</v>
      </c>
      <c r="B5" s="47" t="s">
        <v>21</v>
      </c>
      <c r="C5" s="1" t="s">
        <v>7</v>
      </c>
      <c r="D5" s="2" t="s">
        <v>22</v>
      </c>
      <c r="E5" s="3" t="str">
        <f t="shared" ref="E5:E9" si="1">_xlfn.CONCAT(C5:D5)</f>
        <v>M3-068</v>
      </c>
      <c r="F5" s="71" t="s">
        <v>23</v>
      </c>
      <c r="G5" t="s">
        <v>8</v>
      </c>
      <c r="H5" s="73" t="s">
        <v>24</v>
      </c>
      <c r="I5" s="79" t="s">
        <v>281</v>
      </c>
      <c r="J5" s="68"/>
      <c r="K5" s="80" t="s">
        <v>284</v>
      </c>
      <c r="L5" s="80" t="s">
        <v>282</v>
      </c>
      <c r="M5" s="72" t="s">
        <v>283</v>
      </c>
    </row>
    <row r="6" spans="1:13" ht="15" thickBot="1" x14ac:dyDescent="0.35">
      <c r="A6">
        <v>10.1</v>
      </c>
      <c r="B6" s="53" t="s">
        <v>28</v>
      </c>
      <c r="C6" s="43" t="s">
        <v>7</v>
      </c>
      <c r="D6" s="44" t="s">
        <v>29</v>
      </c>
      <c r="E6" s="78" t="str">
        <f t="shared" si="1"/>
        <v>M3-089</v>
      </c>
      <c r="F6" s="71" t="s">
        <v>30</v>
      </c>
      <c r="G6" s="54" t="s">
        <v>8</v>
      </c>
      <c r="H6" s="73" t="s">
        <v>31</v>
      </c>
      <c r="I6" s="71" t="s">
        <v>289</v>
      </c>
      <c r="J6" s="68"/>
      <c r="K6" s="70" t="s">
        <v>199</v>
      </c>
      <c r="L6" s="70" t="s">
        <v>198</v>
      </c>
      <c r="M6" s="72" t="s">
        <v>238</v>
      </c>
    </row>
    <row r="7" spans="1:13" ht="15" thickBot="1" x14ac:dyDescent="0.35">
      <c r="A7">
        <v>10.199999999999999</v>
      </c>
      <c r="B7" s="47" t="s">
        <v>32</v>
      </c>
      <c r="C7" s="1" t="s">
        <v>7</v>
      </c>
      <c r="D7" s="2" t="s">
        <v>33</v>
      </c>
      <c r="E7" s="78" t="str">
        <f t="shared" si="1"/>
        <v>M3-095</v>
      </c>
      <c r="F7" s="71" t="s">
        <v>34</v>
      </c>
      <c r="G7" t="s">
        <v>8</v>
      </c>
      <c r="H7" s="73" t="s">
        <v>31</v>
      </c>
      <c r="I7" s="71" t="s">
        <v>295</v>
      </c>
      <c r="J7" s="68"/>
      <c r="K7" s="70" t="s">
        <v>201</v>
      </c>
      <c r="L7" s="71" t="s">
        <v>200</v>
      </c>
      <c r="M7" s="80" t="s">
        <v>253</v>
      </c>
    </row>
    <row r="8" spans="1:13" ht="15" thickBot="1" x14ac:dyDescent="0.35">
      <c r="A8">
        <v>10.5</v>
      </c>
      <c r="B8" s="52" t="s">
        <v>35</v>
      </c>
      <c r="C8" s="48" t="s">
        <v>7</v>
      </c>
      <c r="D8" s="49" t="s">
        <v>36</v>
      </c>
      <c r="E8" s="77" t="str">
        <f t="shared" si="1"/>
        <v>M3-100</v>
      </c>
      <c r="F8" s="71" t="s">
        <v>37</v>
      </c>
      <c r="G8" s="51" t="s">
        <v>8</v>
      </c>
      <c r="H8" s="73" t="s">
        <v>31</v>
      </c>
      <c r="I8" s="71" t="s">
        <v>297</v>
      </c>
      <c r="J8" s="68"/>
      <c r="K8" s="70" t="s">
        <v>203</v>
      </c>
      <c r="L8" s="71" t="s">
        <v>202</v>
      </c>
      <c r="M8" s="80" t="s">
        <v>250</v>
      </c>
    </row>
    <row r="9" spans="1:13" ht="15" thickBot="1" x14ac:dyDescent="0.35">
      <c r="A9" s="4">
        <v>11.4</v>
      </c>
      <c r="B9" s="45" t="s">
        <v>39</v>
      </c>
      <c r="C9" s="1" t="s">
        <v>7</v>
      </c>
      <c r="D9" s="2" t="s">
        <v>40</v>
      </c>
      <c r="E9" s="77" t="str">
        <f t="shared" si="1"/>
        <v>M3-104</v>
      </c>
      <c r="F9" s="70" t="s">
        <v>41</v>
      </c>
      <c r="G9" s="4" t="s">
        <v>8</v>
      </c>
      <c r="H9" s="73" t="s">
        <v>38</v>
      </c>
      <c r="I9" s="79" t="s">
        <v>301</v>
      </c>
      <c r="J9" s="74"/>
      <c r="K9" s="71" t="s">
        <v>205</v>
      </c>
      <c r="L9" s="70" t="s">
        <v>204</v>
      </c>
      <c r="M9" s="72" t="s">
        <v>214</v>
      </c>
    </row>
    <row r="10" spans="1:13" x14ac:dyDescent="0.3">
      <c r="D10" s="2"/>
    </row>
    <row r="15" spans="1:13" x14ac:dyDescent="0.3">
      <c r="F15" t="s">
        <v>257</v>
      </c>
    </row>
  </sheetData>
  <autoFilter ref="A1:N9" xr:uid="{7580367A-B02A-4A5F-AD90-1DE55D8E8D58}">
    <filterColumn colId="11" showButton="0"/>
    <filterColumn colId="12" showButton="0"/>
  </autoFilter>
  <phoneticPr fontId="11" type="noConversion"/>
  <pageMargins left="0.7" right="0.7" top="0.75" bottom="0.75" header="0.3" footer="0.3"/>
  <pageSetup orientation="portrait" verticalDpi="0" r:id="rId1"/>
  <ignoredErrors>
    <ignoredError sqref="D11:D1048576 D1 D2 D3 D4 D5 D6 D7 D8 D9 D10"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8BC51-1265-43E9-93FB-0309911B0EBA}">
  <dimension ref="A1:O39"/>
  <sheetViews>
    <sheetView showGridLines="0" tabSelected="1" zoomScale="90" zoomScaleNormal="90" workbookViewId="0">
      <selection activeCell="E13" sqref="E13"/>
    </sheetView>
  </sheetViews>
  <sheetFormatPr baseColWidth="10" defaultColWidth="8.88671875" defaultRowHeight="14.4" x14ac:dyDescent="0.3"/>
  <cols>
    <col min="1" max="1" width="50.44140625" bestFit="1" customWidth="1"/>
    <col min="2" max="4" width="21.109375" bestFit="1" customWidth="1"/>
    <col min="11" max="11" width="46.109375" customWidth="1"/>
  </cols>
  <sheetData>
    <row r="1" spans="1:15" ht="15.6" x14ac:dyDescent="0.3">
      <c r="A1" s="104" t="s">
        <v>82</v>
      </c>
      <c r="B1" s="104"/>
      <c r="C1" s="104"/>
      <c r="D1" s="104"/>
      <c r="K1" s="84" t="s">
        <v>307</v>
      </c>
      <c r="L1" s="63"/>
      <c r="M1" s="63"/>
      <c r="N1" s="63"/>
      <c r="O1" s="63"/>
    </row>
    <row r="2" spans="1:15" ht="15.6" x14ac:dyDescent="0.3">
      <c r="A2" s="104"/>
      <c r="B2" s="104"/>
      <c r="C2" s="104"/>
      <c r="D2" s="104"/>
      <c r="K2" s="58" t="s">
        <v>81</v>
      </c>
      <c r="L2" s="58" t="s">
        <v>258</v>
      </c>
      <c r="M2" s="58" t="s">
        <v>259</v>
      </c>
      <c r="N2" s="58" t="s">
        <v>260</v>
      </c>
      <c r="O2" s="58" t="s">
        <v>208</v>
      </c>
    </row>
    <row r="3" spans="1:15" ht="15.6" x14ac:dyDescent="0.3">
      <c r="A3" s="119" t="s">
        <v>81</v>
      </c>
      <c r="B3" s="120" t="s">
        <v>65</v>
      </c>
      <c r="C3" s="120"/>
      <c r="D3" s="120"/>
      <c r="K3" s="58" t="s">
        <v>261</v>
      </c>
      <c r="L3" s="67">
        <v>2132</v>
      </c>
      <c r="M3" s="58">
        <v>413</v>
      </c>
      <c r="N3" s="58">
        <v>358</v>
      </c>
      <c r="O3" s="58"/>
    </row>
    <row r="4" spans="1:15" x14ac:dyDescent="0.3">
      <c r="A4" s="119"/>
      <c r="B4" s="105" t="s">
        <v>80</v>
      </c>
      <c r="C4" s="105" t="s">
        <v>79</v>
      </c>
      <c r="D4" s="105" t="s">
        <v>78</v>
      </c>
      <c r="K4" s="58" t="s">
        <v>262</v>
      </c>
      <c r="L4" s="67">
        <v>1819</v>
      </c>
      <c r="M4" s="58">
        <v>195</v>
      </c>
      <c r="N4" s="58">
        <v>158</v>
      </c>
      <c r="O4" s="58"/>
    </row>
    <row r="5" spans="1:15" x14ac:dyDescent="0.3">
      <c r="A5" s="88" t="s">
        <v>77</v>
      </c>
      <c r="B5" s="89">
        <v>2212</v>
      </c>
      <c r="C5" s="88">
        <v>379</v>
      </c>
      <c r="D5" s="88">
        <v>396</v>
      </c>
      <c r="K5" s="58" t="s">
        <v>263</v>
      </c>
      <c r="L5" s="67">
        <v>1803</v>
      </c>
      <c r="M5" s="58">
        <v>289</v>
      </c>
      <c r="N5" s="58">
        <v>204</v>
      </c>
      <c r="O5" s="58"/>
    </row>
    <row r="6" spans="1:15" x14ac:dyDescent="0.3">
      <c r="A6" s="88" t="s">
        <v>76</v>
      </c>
      <c r="B6" s="89">
        <v>1816</v>
      </c>
      <c r="C6" s="88">
        <v>149</v>
      </c>
      <c r="D6" s="88">
        <v>106</v>
      </c>
      <c r="K6" s="58" t="s">
        <v>264</v>
      </c>
      <c r="L6" s="67">
        <v>1340</v>
      </c>
      <c r="M6" s="58">
        <v>259</v>
      </c>
      <c r="N6" s="58">
        <v>226</v>
      </c>
      <c r="O6" s="58"/>
    </row>
    <row r="7" spans="1:15" x14ac:dyDescent="0.3">
      <c r="A7" s="88" t="s">
        <v>75</v>
      </c>
      <c r="B7" s="89">
        <v>1710</v>
      </c>
      <c r="C7" s="88">
        <v>260</v>
      </c>
      <c r="D7" s="88">
        <v>225</v>
      </c>
      <c r="K7" s="58" t="s">
        <v>265</v>
      </c>
      <c r="L7" s="67">
        <v>1266</v>
      </c>
      <c r="M7" s="58">
        <v>145</v>
      </c>
      <c r="N7" s="58">
        <v>148</v>
      </c>
      <c r="O7" s="58"/>
    </row>
    <row r="8" spans="1:15" x14ac:dyDescent="0.3">
      <c r="A8" s="88" t="s">
        <v>74</v>
      </c>
      <c r="B8" s="89">
        <v>1303</v>
      </c>
      <c r="C8" s="88">
        <v>264</v>
      </c>
      <c r="D8" s="88">
        <v>276</v>
      </c>
      <c r="K8" s="58" t="s">
        <v>266</v>
      </c>
      <c r="L8" s="67">
        <v>1132</v>
      </c>
      <c r="M8" s="58">
        <v>148</v>
      </c>
      <c r="N8" s="58">
        <v>105</v>
      </c>
      <c r="O8" s="58"/>
    </row>
    <row r="9" spans="1:15" x14ac:dyDescent="0.3">
      <c r="A9" s="88" t="s">
        <v>73</v>
      </c>
      <c r="B9" s="89">
        <v>1149</v>
      </c>
      <c r="C9" s="88">
        <v>158</v>
      </c>
      <c r="D9" s="88">
        <v>75</v>
      </c>
      <c r="K9" s="58" t="s">
        <v>267</v>
      </c>
      <c r="L9" s="58">
        <v>646</v>
      </c>
      <c r="M9" s="58">
        <v>134</v>
      </c>
      <c r="N9" s="58">
        <v>115</v>
      </c>
      <c r="O9" s="58"/>
    </row>
    <row r="10" spans="1:15" x14ac:dyDescent="0.3">
      <c r="A10" s="88" t="s">
        <v>72</v>
      </c>
      <c r="B10" s="89">
        <v>1122</v>
      </c>
      <c r="C10" s="88">
        <v>145</v>
      </c>
      <c r="D10" s="88">
        <v>44</v>
      </c>
      <c r="K10" s="58" t="s">
        <v>268</v>
      </c>
      <c r="L10" s="58">
        <v>636</v>
      </c>
      <c r="M10" s="58">
        <v>98</v>
      </c>
      <c r="N10" s="58">
        <v>115</v>
      </c>
      <c r="O10" s="58"/>
    </row>
    <row r="11" spans="1:15" x14ac:dyDescent="0.3">
      <c r="A11" s="88" t="s">
        <v>71</v>
      </c>
      <c r="B11" s="88">
        <v>805</v>
      </c>
      <c r="C11" s="88">
        <v>134</v>
      </c>
      <c r="D11" s="88">
        <v>112</v>
      </c>
      <c r="K11" s="58" t="s">
        <v>269</v>
      </c>
      <c r="L11" s="58">
        <v>636</v>
      </c>
      <c r="M11" s="58">
        <v>94</v>
      </c>
      <c r="N11" s="58">
        <v>36</v>
      </c>
      <c r="O11" s="58"/>
    </row>
    <row r="12" spans="1:15" x14ac:dyDescent="0.3">
      <c r="A12" s="88" t="s">
        <v>70</v>
      </c>
      <c r="B12" s="88">
        <v>721</v>
      </c>
      <c r="C12" s="88">
        <v>111</v>
      </c>
      <c r="D12" s="88">
        <v>90</v>
      </c>
      <c r="K12" s="58" t="s">
        <v>67</v>
      </c>
      <c r="L12" s="67">
        <v>24929</v>
      </c>
      <c r="M12" s="67">
        <v>4119</v>
      </c>
      <c r="N12" s="67">
        <v>3474</v>
      </c>
      <c r="O12" s="58"/>
    </row>
    <row r="13" spans="1:15" x14ac:dyDescent="0.3">
      <c r="A13" s="88" t="s">
        <v>69</v>
      </c>
      <c r="B13" s="88">
        <v>685</v>
      </c>
      <c r="C13" s="88">
        <v>51</v>
      </c>
      <c r="D13" s="88">
        <v>58</v>
      </c>
      <c r="K13" s="58" t="s">
        <v>42</v>
      </c>
      <c r="L13" s="67">
        <v>36339</v>
      </c>
      <c r="M13" s="67">
        <v>5894</v>
      </c>
      <c r="N13" s="67">
        <v>4939</v>
      </c>
      <c r="O13" s="58"/>
    </row>
    <row r="14" spans="1:15" x14ac:dyDescent="0.3">
      <c r="A14" s="88" t="s">
        <v>68</v>
      </c>
      <c r="B14" s="88">
        <v>646</v>
      </c>
      <c r="C14" s="88">
        <v>126</v>
      </c>
      <c r="D14" s="88">
        <v>90</v>
      </c>
      <c r="K14" s="121" t="s">
        <v>270</v>
      </c>
      <c r="L14" s="121"/>
      <c r="M14" s="121"/>
      <c r="N14" s="121"/>
      <c r="O14" s="121"/>
    </row>
    <row r="15" spans="1:15" x14ac:dyDescent="0.3">
      <c r="A15" s="116" t="s">
        <v>67</v>
      </c>
      <c r="B15" s="89">
        <v>23458</v>
      </c>
      <c r="C15" s="89">
        <v>3825</v>
      </c>
      <c r="D15" s="89">
        <v>3265</v>
      </c>
      <c r="K15" s="121" t="s">
        <v>271</v>
      </c>
      <c r="L15" s="121"/>
      <c r="M15" s="121"/>
      <c r="N15" s="121"/>
      <c r="O15" s="121"/>
    </row>
    <row r="16" spans="1:15" x14ac:dyDescent="0.3">
      <c r="A16" s="117" t="s">
        <v>42</v>
      </c>
      <c r="B16" s="118">
        <v>35627</v>
      </c>
      <c r="C16" s="118">
        <v>5602</v>
      </c>
      <c r="D16" s="118">
        <v>4737</v>
      </c>
    </row>
    <row r="17" spans="1:4" x14ac:dyDescent="0.3">
      <c r="B17" s="7"/>
      <c r="C17" s="7"/>
      <c r="D17" s="7"/>
    </row>
    <row r="18" spans="1:4" x14ac:dyDescent="0.3">
      <c r="A18" s="14" t="s">
        <v>66</v>
      </c>
      <c r="B18" s="7"/>
      <c r="C18" s="7"/>
      <c r="D18" s="7"/>
    </row>
    <row r="19" spans="1:4" x14ac:dyDescent="0.3">
      <c r="A19" s="6" t="s">
        <v>63</v>
      </c>
    </row>
    <row r="20" spans="1:4" ht="14.4" customHeight="1" x14ac:dyDescent="0.3"/>
    <row r="22" spans="1:4" ht="15.6" x14ac:dyDescent="0.3">
      <c r="A22" s="104" t="s">
        <v>274</v>
      </c>
      <c r="B22" s="104"/>
      <c r="C22" s="104"/>
      <c r="D22" s="104"/>
    </row>
    <row r="23" spans="1:4" ht="15.6" x14ac:dyDescent="0.3">
      <c r="A23" s="104"/>
      <c r="B23" s="104"/>
      <c r="C23" s="104"/>
      <c r="D23" s="104"/>
    </row>
    <row r="24" spans="1:4" ht="15.6" x14ac:dyDescent="0.3">
      <c r="A24" s="119" t="s">
        <v>81</v>
      </c>
      <c r="B24" s="120" t="s">
        <v>65</v>
      </c>
      <c r="C24" s="120"/>
      <c r="D24" s="120"/>
    </row>
    <row r="25" spans="1:4" x14ac:dyDescent="0.3">
      <c r="A25" s="119"/>
      <c r="B25" s="105" t="s">
        <v>80</v>
      </c>
      <c r="C25" s="105" t="s">
        <v>79</v>
      </c>
      <c r="D25" s="105" t="s">
        <v>78</v>
      </c>
    </row>
    <row r="26" spans="1:4" x14ac:dyDescent="0.3">
      <c r="A26" s="88" t="s">
        <v>77</v>
      </c>
      <c r="B26" s="89">
        <v>2147</v>
      </c>
      <c r="C26" s="88">
        <v>316</v>
      </c>
      <c r="D26" s="88">
        <v>493</v>
      </c>
    </row>
    <row r="27" spans="1:4" x14ac:dyDescent="0.3">
      <c r="A27" s="88" t="s">
        <v>75</v>
      </c>
      <c r="B27" s="89">
        <v>1876</v>
      </c>
      <c r="C27" s="88">
        <v>226</v>
      </c>
      <c r="D27" s="88">
        <v>225</v>
      </c>
    </row>
    <row r="28" spans="1:4" x14ac:dyDescent="0.3">
      <c r="A28" s="88" t="s">
        <v>76</v>
      </c>
      <c r="B28" s="89">
        <v>1704</v>
      </c>
      <c r="C28" s="88">
        <v>141</v>
      </c>
      <c r="D28" s="88">
        <v>117</v>
      </c>
    </row>
    <row r="29" spans="1:4" x14ac:dyDescent="0.3">
      <c r="A29" s="88" t="s">
        <v>74</v>
      </c>
      <c r="B29" s="89">
        <v>1363</v>
      </c>
      <c r="C29" s="88">
        <v>225</v>
      </c>
      <c r="D29" s="88">
        <v>152</v>
      </c>
    </row>
    <row r="30" spans="1:4" x14ac:dyDescent="0.3">
      <c r="A30" s="88" t="s">
        <v>72</v>
      </c>
      <c r="B30" s="89">
        <v>1176</v>
      </c>
      <c r="C30" s="88">
        <v>158</v>
      </c>
      <c r="D30" s="88">
        <v>202</v>
      </c>
    </row>
    <row r="31" spans="1:4" x14ac:dyDescent="0.3">
      <c r="A31" s="88" t="s">
        <v>73</v>
      </c>
      <c r="B31" s="89">
        <v>1141</v>
      </c>
      <c r="C31" s="88">
        <v>127</v>
      </c>
      <c r="D31" s="88">
        <v>128</v>
      </c>
    </row>
    <row r="32" spans="1:4" x14ac:dyDescent="0.3">
      <c r="A32" s="88" t="s">
        <v>71</v>
      </c>
      <c r="B32" s="89">
        <v>844</v>
      </c>
      <c r="C32" s="88">
        <v>110</v>
      </c>
      <c r="D32" s="88">
        <v>137</v>
      </c>
    </row>
    <row r="33" spans="1:4" x14ac:dyDescent="0.3">
      <c r="A33" s="88" t="s">
        <v>70</v>
      </c>
      <c r="B33" s="88">
        <v>718</v>
      </c>
      <c r="C33" s="88">
        <v>88</v>
      </c>
      <c r="D33" s="88">
        <v>42</v>
      </c>
    </row>
    <row r="34" spans="1:4" x14ac:dyDescent="0.3">
      <c r="A34" s="88" t="s">
        <v>68</v>
      </c>
      <c r="B34" s="88">
        <v>715</v>
      </c>
      <c r="C34" s="88">
        <v>112</v>
      </c>
      <c r="D34" s="88">
        <v>77</v>
      </c>
    </row>
    <row r="35" spans="1:4" x14ac:dyDescent="0.3">
      <c r="A35" s="116" t="s">
        <v>67</v>
      </c>
      <c r="B35" s="89">
        <v>22974</v>
      </c>
      <c r="C35" s="89">
        <v>3655</v>
      </c>
      <c r="D35" s="89">
        <v>3254</v>
      </c>
    </row>
    <row r="36" spans="1:4" x14ac:dyDescent="0.3">
      <c r="A36" s="117" t="s">
        <v>42</v>
      </c>
      <c r="B36" s="118">
        <f>SUM(B26:B35)</f>
        <v>34658</v>
      </c>
      <c r="C36" s="118">
        <f>SUM(C26:C35)</f>
        <v>5158</v>
      </c>
      <c r="D36" s="118">
        <f>SUM(D26:D35)</f>
        <v>4827</v>
      </c>
    </row>
    <row r="38" spans="1:4" x14ac:dyDescent="0.3">
      <c r="A38" t="s">
        <v>275</v>
      </c>
    </row>
    <row r="39" spans="1:4" x14ac:dyDescent="0.3">
      <c r="A39" t="s">
        <v>276</v>
      </c>
    </row>
  </sheetData>
  <mergeCells count="6">
    <mergeCell ref="A24:A25"/>
    <mergeCell ref="B24:D24"/>
    <mergeCell ref="K15:O15"/>
    <mergeCell ref="A3:A4"/>
    <mergeCell ref="B3:D3"/>
    <mergeCell ref="K14:O1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250F-7466-42BF-A299-F0D6FC487077}">
  <dimension ref="A1:O26"/>
  <sheetViews>
    <sheetView showGridLines="0" zoomScale="90" workbookViewId="0">
      <selection activeCell="B15" sqref="B15:B16"/>
    </sheetView>
  </sheetViews>
  <sheetFormatPr baseColWidth="10" defaultColWidth="8.88671875" defaultRowHeight="14.4" x14ac:dyDescent="0.3"/>
  <cols>
    <col min="1" max="1" width="12.88671875" bestFit="1" customWidth="1"/>
    <col min="2" max="2" width="14" bestFit="1" customWidth="1"/>
    <col min="3" max="3" width="10.44140625" bestFit="1" customWidth="1"/>
    <col min="4" max="4" width="10.44140625" customWidth="1"/>
    <col min="5" max="6" width="23.44140625" bestFit="1" customWidth="1"/>
    <col min="10" max="10" width="15.33203125" customWidth="1"/>
    <col min="11" max="11" width="12" customWidth="1"/>
    <col min="13" max="13" width="20" customWidth="1"/>
    <col min="14" max="14" width="20.33203125" customWidth="1"/>
  </cols>
  <sheetData>
    <row r="1" spans="1:15" ht="15.6" x14ac:dyDescent="0.3">
      <c r="A1" s="104" t="s">
        <v>15</v>
      </c>
      <c r="B1" s="104"/>
      <c r="C1" s="104"/>
      <c r="D1" s="104"/>
      <c r="E1" s="104"/>
      <c r="F1" s="104"/>
      <c r="J1" s="84" t="s">
        <v>308</v>
      </c>
      <c r="K1" s="63"/>
      <c r="L1" s="63"/>
      <c r="M1" s="63"/>
      <c r="N1" s="63"/>
      <c r="O1" s="63"/>
    </row>
    <row r="2" spans="1:15" ht="15.6" x14ac:dyDescent="0.3">
      <c r="A2" s="104"/>
      <c r="B2" s="104"/>
      <c r="C2" s="104"/>
      <c r="D2" s="104"/>
      <c r="E2" s="104"/>
    </row>
    <row r="3" spans="1:15" ht="15.6" x14ac:dyDescent="0.3">
      <c r="A3" s="119" t="s">
        <v>59</v>
      </c>
      <c r="B3" s="119" t="s">
        <v>88</v>
      </c>
      <c r="C3" s="119" t="s">
        <v>64</v>
      </c>
      <c r="D3" s="120" t="s">
        <v>87</v>
      </c>
      <c r="E3" s="120"/>
      <c r="J3" s="119" t="s">
        <v>59</v>
      </c>
      <c r="K3" s="119" t="s">
        <v>88</v>
      </c>
      <c r="L3" s="119" t="s">
        <v>64</v>
      </c>
      <c r="M3" s="120" t="s">
        <v>87</v>
      </c>
      <c r="N3" s="120"/>
      <c r="O3" s="58" t="s">
        <v>208</v>
      </c>
    </row>
    <row r="4" spans="1:15" x14ac:dyDescent="0.3">
      <c r="A4" s="119"/>
      <c r="B4" s="119"/>
      <c r="C4" s="119"/>
      <c r="D4" s="105" t="s">
        <v>86</v>
      </c>
      <c r="E4" s="105" t="s">
        <v>85</v>
      </c>
      <c r="J4" s="119"/>
      <c r="K4" s="119"/>
      <c r="L4" s="119"/>
      <c r="M4" s="105" t="s">
        <v>86</v>
      </c>
      <c r="N4" s="105" t="s">
        <v>85</v>
      </c>
      <c r="O4" s="58"/>
    </row>
    <row r="5" spans="1:15" x14ac:dyDescent="0.3">
      <c r="A5" s="113" t="s">
        <v>58</v>
      </c>
      <c r="B5" s="88">
        <v>58</v>
      </c>
      <c r="C5" s="88">
        <v>62</v>
      </c>
      <c r="D5" s="89">
        <v>2003</v>
      </c>
      <c r="E5" s="89">
        <v>2133</v>
      </c>
      <c r="J5" s="58" t="s">
        <v>221</v>
      </c>
      <c r="K5" s="58">
        <v>11</v>
      </c>
      <c r="L5" s="58">
        <v>13</v>
      </c>
      <c r="M5" s="58">
        <v>437</v>
      </c>
      <c r="N5" s="58">
        <v>441</v>
      </c>
      <c r="O5" s="58"/>
    </row>
    <row r="6" spans="1:15" x14ac:dyDescent="0.3">
      <c r="A6" s="113" t="s">
        <v>56</v>
      </c>
      <c r="B6" s="88">
        <v>8</v>
      </c>
      <c r="C6" s="88">
        <v>11</v>
      </c>
      <c r="D6" s="89">
        <v>1005</v>
      </c>
      <c r="E6" s="89">
        <v>1002</v>
      </c>
      <c r="J6" s="58" t="s">
        <v>83</v>
      </c>
      <c r="K6" s="58">
        <v>33</v>
      </c>
      <c r="L6" s="58">
        <v>45</v>
      </c>
      <c r="M6" s="67">
        <v>1992</v>
      </c>
      <c r="N6" s="67">
        <v>2065</v>
      </c>
      <c r="O6" s="58"/>
    </row>
    <row r="7" spans="1:15" x14ac:dyDescent="0.3">
      <c r="A7" s="113" t="s">
        <v>55</v>
      </c>
      <c r="B7" s="88">
        <v>124</v>
      </c>
      <c r="C7" s="88">
        <v>130</v>
      </c>
      <c r="D7" s="89">
        <v>3422</v>
      </c>
      <c r="E7" s="89">
        <v>3411</v>
      </c>
      <c r="J7" s="58" t="s">
        <v>222</v>
      </c>
      <c r="K7" s="58">
        <v>115</v>
      </c>
      <c r="L7" s="58">
        <v>115</v>
      </c>
      <c r="M7" s="67">
        <v>2128</v>
      </c>
      <c r="N7" s="67">
        <v>2274</v>
      </c>
      <c r="O7" s="58"/>
    </row>
    <row r="8" spans="1:15" x14ac:dyDescent="0.3">
      <c r="A8" s="113" t="s">
        <v>49</v>
      </c>
      <c r="B8" s="88">
        <v>32</v>
      </c>
      <c r="C8" s="88">
        <v>39</v>
      </c>
      <c r="D8" s="89">
        <v>2110</v>
      </c>
      <c r="E8" s="89">
        <v>2091</v>
      </c>
      <c r="J8" s="58" t="s">
        <v>223</v>
      </c>
      <c r="K8" s="58">
        <v>47</v>
      </c>
      <c r="L8" s="58">
        <v>49</v>
      </c>
      <c r="M8" s="67">
        <v>1528</v>
      </c>
      <c r="N8" s="67">
        <v>1670</v>
      </c>
      <c r="O8" s="58"/>
    </row>
    <row r="9" spans="1:15" x14ac:dyDescent="0.3">
      <c r="A9" s="112" t="s">
        <v>45</v>
      </c>
      <c r="B9" s="114">
        <v>222</v>
      </c>
      <c r="C9" s="114">
        <v>242</v>
      </c>
      <c r="D9" s="115">
        <v>8540</v>
      </c>
      <c r="E9" s="115">
        <v>8637</v>
      </c>
      <c r="J9" s="58" t="s">
        <v>224</v>
      </c>
      <c r="K9" s="58">
        <v>45</v>
      </c>
      <c r="L9" s="58">
        <v>45</v>
      </c>
      <c r="M9" s="67">
        <v>1554</v>
      </c>
      <c r="N9" s="67">
        <v>1614</v>
      </c>
      <c r="O9" s="58"/>
    </row>
    <row r="10" spans="1:15" x14ac:dyDescent="0.3">
      <c r="J10" s="58" t="s">
        <v>225</v>
      </c>
      <c r="K10" s="58">
        <v>2</v>
      </c>
      <c r="L10" s="58">
        <v>3</v>
      </c>
      <c r="M10" s="58">
        <v>297</v>
      </c>
      <c r="N10" s="58">
        <v>295</v>
      </c>
      <c r="O10" s="58"/>
    </row>
    <row r="11" spans="1:15" x14ac:dyDescent="0.3">
      <c r="A11" s="122" t="s">
        <v>84</v>
      </c>
      <c r="B11" s="122"/>
      <c r="C11" s="122"/>
      <c r="D11" s="122"/>
      <c r="E11" s="122"/>
      <c r="F11" s="122"/>
      <c r="J11" s="58" t="s">
        <v>226</v>
      </c>
      <c r="K11" s="58">
        <v>38</v>
      </c>
      <c r="L11" s="58">
        <v>38</v>
      </c>
      <c r="M11" s="58">
        <v>956</v>
      </c>
      <c r="N11" s="67">
        <v>1063</v>
      </c>
      <c r="O11" s="58"/>
    </row>
    <row r="12" spans="1:15" x14ac:dyDescent="0.3">
      <c r="J12" s="58" t="s">
        <v>227</v>
      </c>
      <c r="K12" s="58">
        <v>10</v>
      </c>
      <c r="L12" s="58">
        <v>11</v>
      </c>
      <c r="M12" s="58">
        <v>453</v>
      </c>
      <c r="N12" s="58">
        <v>408</v>
      </c>
      <c r="O12" s="58"/>
    </row>
    <row r="13" spans="1:15" ht="15.6" x14ac:dyDescent="0.3">
      <c r="A13" s="104" t="s">
        <v>279</v>
      </c>
      <c r="B13" s="104"/>
      <c r="C13" s="104"/>
      <c r="D13" s="104"/>
      <c r="E13" s="104"/>
      <c r="F13" s="104"/>
      <c r="J13" s="58" t="s">
        <v>228</v>
      </c>
      <c r="K13" s="58">
        <v>28</v>
      </c>
      <c r="L13" s="58">
        <v>28</v>
      </c>
      <c r="M13" s="58">
        <v>914</v>
      </c>
      <c r="N13" s="58">
        <v>927</v>
      </c>
      <c r="O13" s="58"/>
    </row>
    <row r="14" spans="1:15" ht="15.6" x14ac:dyDescent="0.3">
      <c r="A14" s="104"/>
      <c r="B14" s="104"/>
      <c r="C14" s="104"/>
      <c r="D14" s="104"/>
      <c r="E14" s="104"/>
      <c r="J14" s="58" t="s">
        <v>229</v>
      </c>
      <c r="K14" s="58">
        <v>21</v>
      </c>
      <c r="L14" s="58">
        <v>21</v>
      </c>
      <c r="M14" s="58">
        <v>295</v>
      </c>
      <c r="N14" s="58">
        <v>314</v>
      </c>
      <c r="O14" s="58"/>
    </row>
    <row r="15" spans="1:15" ht="15.6" x14ac:dyDescent="0.3">
      <c r="A15" s="119" t="s">
        <v>59</v>
      </c>
      <c r="B15" s="119" t="s">
        <v>88</v>
      </c>
      <c r="C15" s="119" t="s">
        <v>64</v>
      </c>
      <c r="D15" s="120" t="s">
        <v>87</v>
      </c>
      <c r="E15" s="120"/>
      <c r="J15" s="58" t="s">
        <v>230</v>
      </c>
      <c r="K15" s="58">
        <v>2</v>
      </c>
      <c r="L15" s="58">
        <v>3</v>
      </c>
      <c r="M15" s="58">
        <v>303</v>
      </c>
      <c r="N15" s="58">
        <v>292</v>
      </c>
      <c r="O15" s="58"/>
    </row>
    <row r="16" spans="1:15" x14ac:dyDescent="0.3">
      <c r="A16" s="119"/>
      <c r="B16" s="119"/>
      <c r="C16" s="119"/>
      <c r="D16" s="105" t="s">
        <v>86</v>
      </c>
      <c r="E16" s="105" t="s">
        <v>85</v>
      </c>
      <c r="J16" s="58" t="s">
        <v>231</v>
      </c>
      <c r="K16" s="58">
        <v>3</v>
      </c>
      <c r="L16" s="58">
        <v>3</v>
      </c>
      <c r="M16" s="58">
        <v>97</v>
      </c>
      <c r="N16" s="58">
        <v>80</v>
      </c>
      <c r="O16" s="58"/>
    </row>
    <row r="17" spans="1:15" x14ac:dyDescent="0.3">
      <c r="A17" s="113" t="s">
        <v>58</v>
      </c>
      <c r="B17" s="88">
        <v>54</v>
      </c>
      <c r="C17" s="88">
        <v>57</v>
      </c>
      <c r="D17" s="89">
        <v>1870</v>
      </c>
      <c r="E17" s="89">
        <v>2032</v>
      </c>
      <c r="J17" s="58" t="s">
        <v>42</v>
      </c>
      <c r="K17" s="58">
        <v>412</v>
      </c>
      <c r="L17" s="58">
        <v>433</v>
      </c>
      <c r="M17" s="67">
        <v>12647</v>
      </c>
      <c r="N17" s="67">
        <v>13196</v>
      </c>
      <c r="O17" s="58"/>
    </row>
    <row r="18" spans="1:15" x14ac:dyDescent="0.3">
      <c r="A18" s="113" t="s">
        <v>56</v>
      </c>
      <c r="B18" s="88">
        <v>10</v>
      </c>
      <c r="C18" s="88">
        <v>10</v>
      </c>
      <c r="D18" s="89">
        <v>173</v>
      </c>
      <c r="E18" s="89">
        <v>187</v>
      </c>
      <c r="J18" s="58" t="s">
        <v>232</v>
      </c>
      <c r="K18" s="58"/>
      <c r="L18" s="58"/>
      <c r="M18" s="58"/>
      <c r="N18" s="58"/>
      <c r="O18" s="58"/>
    </row>
    <row r="19" spans="1:15" x14ac:dyDescent="0.3">
      <c r="A19" s="113" t="s">
        <v>55</v>
      </c>
      <c r="B19" s="88">
        <v>87</v>
      </c>
      <c r="C19" s="88">
        <v>92</v>
      </c>
      <c r="D19" s="89">
        <v>3161</v>
      </c>
      <c r="E19" s="89">
        <v>3133</v>
      </c>
    </row>
    <row r="20" spans="1:15" x14ac:dyDescent="0.3">
      <c r="A20" s="113" t="s">
        <v>54</v>
      </c>
      <c r="B20" s="88">
        <v>8</v>
      </c>
      <c r="C20" s="88">
        <v>8</v>
      </c>
      <c r="D20" s="89">
        <v>100</v>
      </c>
      <c r="E20" s="89">
        <v>98</v>
      </c>
    </row>
    <row r="21" spans="1:15" x14ac:dyDescent="0.3">
      <c r="A21" s="113" t="s">
        <v>51</v>
      </c>
      <c r="B21" s="88">
        <v>33</v>
      </c>
      <c r="C21" s="88">
        <v>34</v>
      </c>
      <c r="D21" s="89">
        <v>1463</v>
      </c>
      <c r="E21" s="89">
        <v>1586</v>
      </c>
    </row>
    <row r="22" spans="1:15" x14ac:dyDescent="0.3">
      <c r="A22" s="113" t="s">
        <v>49</v>
      </c>
      <c r="B22" s="88">
        <v>29</v>
      </c>
      <c r="C22" s="88">
        <v>32</v>
      </c>
      <c r="D22" s="89">
        <v>1463</v>
      </c>
      <c r="E22" s="89">
        <v>1538</v>
      </c>
    </row>
    <row r="23" spans="1:15" x14ac:dyDescent="0.3">
      <c r="A23" s="113" t="s">
        <v>48</v>
      </c>
      <c r="B23" s="88">
        <v>10</v>
      </c>
      <c r="C23" s="88">
        <v>10</v>
      </c>
      <c r="D23" s="89">
        <v>172</v>
      </c>
      <c r="E23" s="89">
        <v>201</v>
      </c>
    </row>
    <row r="24" spans="1:15" x14ac:dyDescent="0.3">
      <c r="A24" s="112" t="s">
        <v>45</v>
      </c>
      <c r="B24" s="114">
        <f>SUM(B17:B23)</f>
        <v>231</v>
      </c>
      <c r="C24" s="114">
        <f>SUM(C17:C23)</f>
        <v>243</v>
      </c>
      <c r="D24" s="115">
        <f>SUM(D17:D23)</f>
        <v>8402</v>
      </c>
      <c r="E24" s="115">
        <f>SUM(E17:E23)</f>
        <v>8775</v>
      </c>
    </row>
    <row r="26" spans="1:15" x14ac:dyDescent="0.3">
      <c r="A26" s="122" t="s">
        <v>84</v>
      </c>
      <c r="B26" s="122"/>
      <c r="C26" s="122"/>
      <c r="D26" s="122"/>
      <c r="E26" s="122"/>
      <c r="F26" s="122"/>
    </row>
  </sheetData>
  <mergeCells count="14">
    <mergeCell ref="J3:J4"/>
    <mergeCell ref="K3:K4"/>
    <mergeCell ref="L3:L4"/>
    <mergeCell ref="M3:N3"/>
    <mergeCell ref="A11:F11"/>
    <mergeCell ref="A3:A4"/>
    <mergeCell ref="B3:B4"/>
    <mergeCell ref="C3:C4"/>
    <mergeCell ref="D3:E3"/>
    <mergeCell ref="A15:A16"/>
    <mergeCell ref="B15:B16"/>
    <mergeCell ref="C15:C16"/>
    <mergeCell ref="D15:E15"/>
    <mergeCell ref="A26:F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30347-80AD-4199-BC14-8D96E080E65B}">
  <dimension ref="A2:G11"/>
  <sheetViews>
    <sheetView showGridLines="0" workbookViewId="0">
      <selection activeCell="O27" sqref="O27"/>
    </sheetView>
  </sheetViews>
  <sheetFormatPr baseColWidth="10" defaultColWidth="8.88671875" defaultRowHeight="14.4" x14ac:dyDescent="0.3"/>
  <cols>
    <col min="1" max="1" width="12" customWidth="1"/>
  </cols>
  <sheetData>
    <row r="2" spans="1:7" ht="15.6" x14ac:dyDescent="0.3">
      <c r="A2" s="84" t="s">
        <v>309</v>
      </c>
      <c r="B2" s="63"/>
      <c r="C2" s="63"/>
      <c r="D2" s="63"/>
      <c r="E2" s="63"/>
      <c r="F2" s="63"/>
      <c r="G2" s="63"/>
    </row>
    <row r="3" spans="1:7" x14ac:dyDescent="0.3">
      <c r="A3" s="141" t="s">
        <v>98</v>
      </c>
      <c r="B3" s="141">
        <v>2021</v>
      </c>
      <c r="C3" s="141">
        <v>2022</v>
      </c>
      <c r="D3" s="141">
        <v>2023</v>
      </c>
      <c r="E3" s="141">
        <v>2024</v>
      </c>
      <c r="F3" s="141">
        <v>2025</v>
      </c>
      <c r="G3" s="58" t="s">
        <v>208</v>
      </c>
    </row>
    <row r="4" spans="1:7" x14ac:dyDescent="0.3">
      <c r="A4" s="58" t="s">
        <v>254</v>
      </c>
      <c r="B4" s="58">
        <v>105</v>
      </c>
      <c r="C4" s="58">
        <v>76</v>
      </c>
      <c r="D4" s="58">
        <v>69</v>
      </c>
      <c r="E4" s="58">
        <v>81</v>
      </c>
      <c r="F4" s="58">
        <v>104</v>
      </c>
      <c r="G4" s="58"/>
    </row>
    <row r="5" spans="1:7" x14ac:dyDescent="0.3">
      <c r="A5" s="58" t="s">
        <v>17</v>
      </c>
      <c r="B5" s="58">
        <v>0</v>
      </c>
      <c r="C5" s="58">
        <v>0</v>
      </c>
      <c r="D5" s="58">
        <v>0</v>
      </c>
      <c r="E5" s="58">
        <v>0</v>
      </c>
      <c r="F5" s="58">
        <v>0</v>
      </c>
      <c r="G5" s="58"/>
    </row>
    <row r="6" spans="1:7" x14ac:dyDescent="0.3">
      <c r="A6" s="58" t="s">
        <v>97</v>
      </c>
      <c r="B6" s="58">
        <v>53</v>
      </c>
      <c r="C6" s="58">
        <v>47</v>
      </c>
      <c r="D6" s="58">
        <v>35</v>
      </c>
      <c r="E6" s="58">
        <v>35</v>
      </c>
      <c r="F6" s="58">
        <v>20</v>
      </c>
      <c r="G6" s="58"/>
    </row>
    <row r="7" spans="1:7" x14ac:dyDescent="0.3">
      <c r="A7" s="58" t="s">
        <v>96</v>
      </c>
      <c r="B7" s="58">
        <v>350</v>
      </c>
      <c r="C7" s="58">
        <v>185</v>
      </c>
      <c r="D7" s="58">
        <v>100</v>
      </c>
      <c r="E7" s="58">
        <v>109</v>
      </c>
      <c r="F7" s="58">
        <v>69</v>
      </c>
      <c r="G7" s="58"/>
    </row>
    <row r="8" spans="1:7" x14ac:dyDescent="0.3">
      <c r="A8" s="58" t="s">
        <v>95</v>
      </c>
      <c r="B8" s="58">
        <v>286</v>
      </c>
      <c r="C8" s="58">
        <v>180</v>
      </c>
      <c r="D8" s="58">
        <v>1</v>
      </c>
      <c r="E8" s="58">
        <v>54</v>
      </c>
      <c r="F8" s="58">
        <v>837</v>
      </c>
      <c r="G8" s="58"/>
    </row>
    <row r="9" spans="1:7" x14ac:dyDescent="0.3">
      <c r="A9" s="58" t="s">
        <v>94</v>
      </c>
      <c r="B9" s="58">
        <v>0</v>
      </c>
      <c r="C9" s="58">
        <v>1</v>
      </c>
      <c r="D9" s="58">
        <v>1</v>
      </c>
      <c r="E9" s="58">
        <v>0</v>
      </c>
      <c r="F9" s="58">
        <v>0</v>
      </c>
      <c r="G9" s="58"/>
    </row>
    <row r="10" spans="1:7" x14ac:dyDescent="0.3">
      <c r="A10" s="142" t="s">
        <v>313</v>
      </c>
      <c r="B10" s="142">
        <f>SUM(B4:B9)</f>
        <v>794</v>
      </c>
      <c r="C10" s="142">
        <f t="shared" ref="C10:F10" si="0">SUM(C4:C9)</f>
        <v>489</v>
      </c>
      <c r="D10" s="142">
        <f t="shared" si="0"/>
        <v>206</v>
      </c>
      <c r="E10" s="142">
        <f t="shared" si="0"/>
        <v>279</v>
      </c>
      <c r="F10" s="142">
        <f t="shared" si="0"/>
        <v>1030</v>
      </c>
      <c r="G10" s="58"/>
    </row>
    <row r="11" spans="1:7" x14ac:dyDescent="0.3">
      <c r="A11" s="121" t="s">
        <v>255</v>
      </c>
      <c r="B11" s="121"/>
      <c r="C11" s="121"/>
      <c r="D11" s="121"/>
      <c r="E11" s="121"/>
      <c r="F11" s="121"/>
      <c r="G11" s="121"/>
    </row>
  </sheetData>
  <mergeCells count="1">
    <mergeCell ref="A11:G11"/>
  </mergeCells>
  <pageMargins left="0.7" right="0.7" top="0.75" bottom="0.75" header="0.3" footer="0.3"/>
  <pageSetup orientation="portrait"/>
  <ignoredErrors>
    <ignoredError sqref="B10:F10"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6CE4-6746-461C-BC19-D262172D36C5}">
  <dimension ref="A1:O42"/>
  <sheetViews>
    <sheetView showGridLines="0" zoomScale="87" workbookViewId="0">
      <selection activeCell="M30" sqref="M30"/>
    </sheetView>
  </sheetViews>
  <sheetFormatPr baseColWidth="10" defaultColWidth="8.88671875" defaultRowHeight="14.4" x14ac:dyDescent="0.3"/>
  <cols>
    <col min="1" max="1" width="17.44140625" bestFit="1" customWidth="1"/>
    <col min="2" max="2" width="27" bestFit="1" customWidth="1"/>
    <col min="3" max="3" width="25.88671875" bestFit="1" customWidth="1"/>
    <col min="4" max="4" width="28.109375" bestFit="1" customWidth="1"/>
    <col min="5" max="5" width="29.44140625" bestFit="1" customWidth="1"/>
    <col min="6" max="6" width="7" bestFit="1" customWidth="1"/>
    <col min="9" max="9" width="25.33203125" customWidth="1"/>
    <col min="10" max="10" width="24.5546875" customWidth="1"/>
    <col min="11" max="11" width="23.109375" customWidth="1"/>
    <col min="12" max="12" width="23.44140625" customWidth="1"/>
    <col min="13" max="13" width="26" customWidth="1"/>
    <col min="14" max="14" width="16.5546875" customWidth="1"/>
  </cols>
  <sheetData>
    <row r="1" spans="1:15" ht="15.6" x14ac:dyDescent="0.3">
      <c r="A1" s="104" t="s">
        <v>23</v>
      </c>
      <c r="B1" s="104"/>
      <c r="C1" s="104"/>
      <c r="D1" s="104"/>
      <c r="E1" s="104"/>
      <c r="F1" s="104"/>
      <c r="I1" s="126" t="s">
        <v>310</v>
      </c>
      <c r="J1" s="126"/>
      <c r="K1" s="126"/>
      <c r="L1" s="126"/>
      <c r="M1" s="126"/>
      <c r="N1" s="126"/>
      <c r="O1" s="126"/>
    </row>
    <row r="2" spans="1:15" ht="15.6" x14ac:dyDescent="0.3">
      <c r="A2" s="104"/>
      <c r="B2" s="104"/>
      <c r="C2" s="104"/>
      <c r="D2" s="104"/>
      <c r="E2" s="104"/>
      <c r="F2" s="104"/>
      <c r="I2" s="123" t="s">
        <v>118</v>
      </c>
      <c r="J2" s="119" t="s">
        <v>117</v>
      </c>
      <c r="K2" s="124" t="s">
        <v>116</v>
      </c>
      <c r="L2" s="125"/>
      <c r="M2" s="125"/>
    </row>
    <row r="3" spans="1:15" x14ac:dyDescent="0.3">
      <c r="A3" s="123" t="s">
        <v>118</v>
      </c>
      <c r="B3" s="119" t="s">
        <v>117</v>
      </c>
      <c r="C3" s="124" t="s">
        <v>116</v>
      </c>
      <c r="D3" s="125"/>
      <c r="E3" s="125"/>
      <c r="F3" s="119" t="s">
        <v>42</v>
      </c>
      <c r="I3" s="119"/>
      <c r="J3" s="119"/>
      <c r="K3" s="105" t="s">
        <v>115</v>
      </c>
      <c r="L3" s="105" t="s">
        <v>114</v>
      </c>
      <c r="M3" s="105" t="s">
        <v>113</v>
      </c>
      <c r="N3" s="58" t="s">
        <v>42</v>
      </c>
      <c r="O3" s="58" t="s">
        <v>208</v>
      </c>
    </row>
    <row r="4" spans="1:15" x14ac:dyDescent="0.3">
      <c r="A4" s="119"/>
      <c r="B4" s="119"/>
      <c r="C4" s="105" t="s">
        <v>115</v>
      </c>
      <c r="D4" s="105" t="s">
        <v>114</v>
      </c>
      <c r="E4" s="105" t="s">
        <v>113</v>
      </c>
      <c r="F4" s="119"/>
      <c r="I4" s="58" t="s">
        <v>209</v>
      </c>
      <c r="J4" s="58" t="s">
        <v>104</v>
      </c>
      <c r="K4" s="58">
        <v>0</v>
      </c>
      <c r="L4" s="58">
        <v>3</v>
      </c>
      <c r="M4" s="58">
        <v>1</v>
      </c>
      <c r="N4" s="58">
        <v>4</v>
      </c>
      <c r="O4" s="58"/>
    </row>
    <row r="5" spans="1:15" x14ac:dyDescent="0.3">
      <c r="A5" s="106" t="s">
        <v>112</v>
      </c>
      <c r="B5" s="88"/>
      <c r="C5" s="88"/>
      <c r="D5" s="88"/>
      <c r="E5" s="88"/>
      <c r="F5" s="88"/>
      <c r="I5" s="58" t="s">
        <v>209</v>
      </c>
      <c r="J5" s="58" t="s">
        <v>187</v>
      </c>
      <c r="K5" s="58">
        <v>0</v>
      </c>
      <c r="L5" s="58">
        <v>0</v>
      </c>
      <c r="M5" s="58">
        <v>1</v>
      </c>
      <c r="N5" s="58">
        <v>1</v>
      </c>
      <c r="O5" s="58"/>
    </row>
    <row r="6" spans="1:15" x14ac:dyDescent="0.3">
      <c r="A6" s="108"/>
      <c r="B6" s="88" t="s">
        <v>111</v>
      </c>
      <c r="C6" s="88">
        <v>16</v>
      </c>
      <c r="D6" s="88">
        <v>11</v>
      </c>
      <c r="E6" s="88">
        <v>16</v>
      </c>
      <c r="F6" s="88">
        <v>43</v>
      </c>
      <c r="I6" s="58" t="s">
        <v>209</v>
      </c>
      <c r="J6" s="58" t="s">
        <v>210</v>
      </c>
      <c r="K6" s="58">
        <v>0</v>
      </c>
      <c r="L6" s="58">
        <v>2</v>
      </c>
      <c r="M6" s="58">
        <v>2</v>
      </c>
      <c r="N6" s="58">
        <v>4</v>
      </c>
      <c r="O6" s="58"/>
    </row>
    <row r="7" spans="1:15" x14ac:dyDescent="0.3">
      <c r="A7" s="88"/>
      <c r="B7" s="88" t="s">
        <v>110</v>
      </c>
      <c r="C7" s="88">
        <v>2</v>
      </c>
      <c r="D7" s="88">
        <v>2</v>
      </c>
      <c r="E7" s="88">
        <v>2</v>
      </c>
      <c r="F7" s="88">
        <v>6</v>
      </c>
      <c r="I7" s="58" t="s">
        <v>209</v>
      </c>
      <c r="J7" s="58" t="s">
        <v>110</v>
      </c>
      <c r="K7" s="58">
        <v>2</v>
      </c>
      <c r="L7" s="58">
        <v>5</v>
      </c>
      <c r="M7" s="58">
        <v>5</v>
      </c>
      <c r="N7" s="58">
        <v>12</v>
      </c>
      <c r="O7" s="58"/>
    </row>
    <row r="8" spans="1:15" x14ac:dyDescent="0.3">
      <c r="A8" s="88"/>
      <c r="B8" s="88" t="s">
        <v>109</v>
      </c>
      <c r="C8" s="88">
        <v>2</v>
      </c>
      <c r="D8" s="88">
        <v>2</v>
      </c>
      <c r="E8" s="88">
        <v>2</v>
      </c>
      <c r="F8" s="88">
        <v>6</v>
      </c>
      <c r="I8" s="58" t="s">
        <v>209</v>
      </c>
      <c r="J8" s="58" t="s">
        <v>189</v>
      </c>
      <c r="K8" s="58">
        <v>3</v>
      </c>
      <c r="L8" s="58">
        <v>1</v>
      </c>
      <c r="M8" s="58">
        <v>4</v>
      </c>
      <c r="N8" s="58">
        <v>8</v>
      </c>
      <c r="O8" s="58"/>
    </row>
    <row r="9" spans="1:15" x14ac:dyDescent="0.3">
      <c r="A9" s="88"/>
      <c r="B9" s="88" t="s">
        <v>108</v>
      </c>
      <c r="C9" s="88">
        <v>2</v>
      </c>
      <c r="D9" s="88">
        <v>1</v>
      </c>
      <c r="E9" s="88">
        <v>1</v>
      </c>
      <c r="F9" s="88">
        <v>4</v>
      </c>
      <c r="I9" s="58" t="s">
        <v>209</v>
      </c>
      <c r="J9" s="58" t="s">
        <v>188</v>
      </c>
      <c r="K9" s="58">
        <v>19</v>
      </c>
      <c r="L9" s="58">
        <v>7</v>
      </c>
      <c r="M9" s="58">
        <v>8</v>
      </c>
      <c r="N9" s="58">
        <v>34</v>
      </c>
      <c r="O9" s="58"/>
    </row>
    <row r="10" spans="1:15" x14ac:dyDescent="0.3">
      <c r="A10" s="88"/>
      <c r="B10" s="88" t="s">
        <v>107</v>
      </c>
      <c r="C10" s="88">
        <v>1</v>
      </c>
      <c r="D10" s="88">
        <v>1</v>
      </c>
      <c r="E10" s="88">
        <v>5</v>
      </c>
      <c r="F10" s="88">
        <v>7</v>
      </c>
      <c r="I10" s="58" t="s">
        <v>209</v>
      </c>
      <c r="J10" s="58" t="s">
        <v>109</v>
      </c>
      <c r="K10" s="58">
        <v>1</v>
      </c>
      <c r="L10" s="58">
        <v>2</v>
      </c>
      <c r="M10" s="58">
        <v>3</v>
      </c>
      <c r="N10" s="58">
        <v>6</v>
      </c>
      <c r="O10" s="58"/>
    </row>
    <row r="11" spans="1:15" x14ac:dyDescent="0.3">
      <c r="A11" s="88"/>
      <c r="B11" s="88" t="s">
        <v>106</v>
      </c>
      <c r="C11" s="88">
        <v>0</v>
      </c>
      <c r="D11" s="88">
        <v>1</v>
      </c>
      <c r="E11" s="88">
        <v>1</v>
      </c>
      <c r="F11" s="88">
        <v>2</v>
      </c>
      <c r="I11" s="58" t="s">
        <v>209</v>
      </c>
      <c r="J11" s="58" t="s">
        <v>106</v>
      </c>
      <c r="K11" s="58">
        <v>0</v>
      </c>
      <c r="L11" s="58">
        <v>2</v>
      </c>
      <c r="M11" s="58">
        <v>1</v>
      </c>
      <c r="N11" s="58">
        <v>3</v>
      </c>
      <c r="O11" s="58"/>
    </row>
    <row r="12" spans="1:15" x14ac:dyDescent="0.3">
      <c r="A12" s="88"/>
      <c r="B12" s="88" t="s">
        <v>105</v>
      </c>
      <c r="C12" s="88">
        <v>0</v>
      </c>
      <c r="D12" s="88">
        <v>1</v>
      </c>
      <c r="E12" s="88">
        <v>0</v>
      </c>
      <c r="F12" s="88">
        <v>1</v>
      </c>
      <c r="I12" s="58" t="s">
        <v>211</v>
      </c>
      <c r="J12" s="58" t="s">
        <v>101</v>
      </c>
      <c r="K12" s="58">
        <v>5</v>
      </c>
      <c r="L12" s="58">
        <v>4</v>
      </c>
      <c r="M12" s="58">
        <v>4</v>
      </c>
      <c r="N12" s="58">
        <v>13</v>
      </c>
      <c r="O12" s="58"/>
    </row>
    <row r="13" spans="1:15" x14ac:dyDescent="0.3">
      <c r="A13" s="88"/>
      <c r="B13" s="88" t="s">
        <v>104</v>
      </c>
      <c r="C13" s="88">
        <v>0</v>
      </c>
      <c r="D13" s="88">
        <v>0</v>
      </c>
      <c r="E13" s="88">
        <v>2</v>
      </c>
      <c r="F13" s="88">
        <v>2</v>
      </c>
      <c r="I13" s="58" t="s">
        <v>211</v>
      </c>
      <c r="J13" s="58" t="s">
        <v>102</v>
      </c>
      <c r="K13" s="58">
        <v>1</v>
      </c>
      <c r="L13" s="58">
        <v>6</v>
      </c>
      <c r="M13" s="58">
        <v>4</v>
      </c>
      <c r="N13" s="58">
        <v>11</v>
      </c>
      <c r="O13" s="58"/>
    </row>
    <row r="14" spans="1:15" x14ac:dyDescent="0.3">
      <c r="A14" s="106" t="s">
        <v>103</v>
      </c>
      <c r="B14" s="88"/>
      <c r="C14" s="88"/>
      <c r="D14" s="88"/>
      <c r="E14" s="88"/>
      <c r="F14" s="88"/>
      <c r="I14" s="58" t="s">
        <v>211</v>
      </c>
      <c r="J14" s="58" t="s">
        <v>100</v>
      </c>
      <c r="K14" s="58">
        <v>4</v>
      </c>
      <c r="L14" s="58">
        <v>0</v>
      </c>
      <c r="M14" s="58">
        <v>2</v>
      </c>
      <c r="N14" s="58">
        <v>6</v>
      </c>
      <c r="O14" s="58"/>
    </row>
    <row r="15" spans="1:15" ht="15" thickBot="1" x14ac:dyDescent="0.35">
      <c r="A15" s="108"/>
      <c r="B15" s="88" t="s">
        <v>102</v>
      </c>
      <c r="C15" s="88">
        <v>9</v>
      </c>
      <c r="D15" s="88">
        <v>2</v>
      </c>
      <c r="E15" s="88">
        <v>3</v>
      </c>
      <c r="F15" s="88">
        <v>14</v>
      </c>
      <c r="I15" s="60" t="s">
        <v>211</v>
      </c>
      <c r="J15" s="60" t="s">
        <v>186</v>
      </c>
      <c r="K15" s="60">
        <v>2</v>
      </c>
      <c r="L15" s="60">
        <v>0</v>
      </c>
      <c r="M15" s="60">
        <v>0</v>
      </c>
      <c r="N15" s="60">
        <v>2</v>
      </c>
      <c r="O15" s="58"/>
    </row>
    <row r="16" spans="1:15" ht="15" thickBot="1" x14ac:dyDescent="0.35">
      <c r="A16" s="88"/>
      <c r="B16" s="88" t="s">
        <v>101</v>
      </c>
      <c r="C16" s="88">
        <v>7</v>
      </c>
      <c r="D16" s="88">
        <v>2</v>
      </c>
      <c r="E16" s="88">
        <v>0</v>
      </c>
      <c r="F16" s="88">
        <v>9</v>
      </c>
      <c r="I16" s="145" t="s">
        <v>42</v>
      </c>
      <c r="J16" s="146"/>
      <c r="K16" s="146">
        <f>SUM(K4:K15)</f>
        <v>37</v>
      </c>
      <c r="L16" s="146">
        <f>SUM(L4:L15)</f>
        <v>32</v>
      </c>
      <c r="M16" s="146">
        <f>SUM(M4:M15)</f>
        <v>35</v>
      </c>
      <c r="N16" s="61"/>
      <c r="O16" s="59"/>
    </row>
    <row r="17" spans="1:15" x14ac:dyDescent="0.3">
      <c r="A17" s="88"/>
      <c r="B17" s="88" t="s">
        <v>100</v>
      </c>
      <c r="C17" s="88">
        <v>2</v>
      </c>
      <c r="D17" s="88">
        <v>0</v>
      </c>
      <c r="E17" s="88">
        <v>2</v>
      </c>
      <c r="F17" s="88">
        <v>4</v>
      </c>
      <c r="I17" s="81" t="s">
        <v>212</v>
      </c>
      <c r="J17" s="81"/>
      <c r="K17" s="81"/>
      <c r="L17" s="81"/>
      <c r="M17" s="81"/>
      <c r="N17" s="81"/>
      <c r="O17" s="59"/>
    </row>
    <row r="18" spans="1:15" x14ac:dyDescent="0.3">
      <c r="A18" s="109" t="s">
        <v>42</v>
      </c>
      <c r="B18" s="110"/>
      <c r="C18" s="111">
        <v>41</v>
      </c>
      <c r="D18" s="111">
        <v>23</v>
      </c>
      <c r="E18" s="111">
        <v>34</v>
      </c>
      <c r="F18" s="111">
        <v>98</v>
      </c>
      <c r="O18" s="59"/>
    </row>
    <row r="19" spans="1:15" x14ac:dyDescent="0.3">
      <c r="O19" s="59"/>
    </row>
    <row r="20" spans="1:15" x14ac:dyDescent="0.3">
      <c r="A20" s="122" t="s">
        <v>99</v>
      </c>
      <c r="B20" s="122"/>
      <c r="C20" s="122"/>
      <c r="D20" s="122"/>
      <c r="E20" s="122"/>
      <c r="F20" s="122"/>
      <c r="O20" s="58"/>
    </row>
    <row r="22" spans="1:15" ht="15.6" x14ac:dyDescent="0.3">
      <c r="A22" s="104" t="s">
        <v>285</v>
      </c>
      <c r="B22" s="104"/>
      <c r="C22" s="104"/>
      <c r="D22" s="104"/>
      <c r="E22" s="104"/>
      <c r="F22" s="104"/>
    </row>
    <row r="23" spans="1:15" ht="15.6" x14ac:dyDescent="0.3">
      <c r="A23" s="104"/>
      <c r="B23" s="104"/>
      <c r="C23" s="104"/>
      <c r="D23" s="104"/>
      <c r="E23" s="104"/>
      <c r="F23" s="104"/>
    </row>
    <row r="24" spans="1:15" x14ac:dyDescent="0.3">
      <c r="A24" s="123" t="s">
        <v>118</v>
      </c>
      <c r="B24" s="119" t="s">
        <v>117</v>
      </c>
      <c r="C24" s="124" t="s">
        <v>116</v>
      </c>
      <c r="D24" s="125"/>
      <c r="E24" s="125"/>
      <c r="F24" s="119" t="s">
        <v>42</v>
      </c>
    </row>
    <row r="25" spans="1:15" x14ac:dyDescent="0.3">
      <c r="A25" s="119"/>
      <c r="B25" s="119"/>
      <c r="C25" s="105" t="s">
        <v>115</v>
      </c>
      <c r="D25" s="105" t="s">
        <v>114</v>
      </c>
      <c r="E25" s="105" t="s">
        <v>113</v>
      </c>
      <c r="F25" s="119"/>
    </row>
    <row r="26" spans="1:15" x14ac:dyDescent="0.3">
      <c r="A26" s="106" t="s">
        <v>112</v>
      </c>
      <c r="B26" s="88"/>
      <c r="C26" s="107">
        <v>21</v>
      </c>
      <c r="D26" s="107">
        <v>9</v>
      </c>
      <c r="E26" s="107">
        <v>25</v>
      </c>
      <c r="F26" s="107">
        <v>55</v>
      </c>
    </row>
    <row r="27" spans="1:15" x14ac:dyDescent="0.3">
      <c r="A27" s="108"/>
      <c r="B27" s="88" t="s">
        <v>111</v>
      </c>
      <c r="C27" s="88">
        <v>13</v>
      </c>
      <c r="D27" s="88">
        <v>2</v>
      </c>
      <c r="E27" s="88">
        <v>9</v>
      </c>
      <c r="F27" s="88">
        <v>24</v>
      </c>
    </row>
    <row r="28" spans="1:15" x14ac:dyDescent="0.3">
      <c r="A28" s="108"/>
      <c r="B28" s="88" t="s">
        <v>286</v>
      </c>
      <c r="C28" s="88">
        <v>4</v>
      </c>
      <c r="D28" s="88">
        <v>0</v>
      </c>
      <c r="E28" s="88">
        <v>1</v>
      </c>
      <c r="F28" s="88">
        <v>5</v>
      </c>
    </row>
    <row r="29" spans="1:15" x14ac:dyDescent="0.3">
      <c r="A29" s="88"/>
      <c r="B29" s="88" t="s">
        <v>109</v>
      </c>
      <c r="C29" s="88">
        <v>2</v>
      </c>
      <c r="D29" s="88">
        <v>0</v>
      </c>
      <c r="E29" s="88">
        <v>2</v>
      </c>
      <c r="F29" s="88">
        <v>4</v>
      </c>
    </row>
    <row r="30" spans="1:15" x14ac:dyDescent="0.3">
      <c r="A30" s="88"/>
      <c r="B30" s="88" t="s">
        <v>110</v>
      </c>
      <c r="C30" s="88">
        <v>1</v>
      </c>
      <c r="D30" s="88">
        <v>2</v>
      </c>
      <c r="E30" s="88">
        <v>4</v>
      </c>
      <c r="F30" s="88">
        <v>7</v>
      </c>
    </row>
    <row r="31" spans="1:15" x14ac:dyDescent="0.3">
      <c r="A31" s="88"/>
      <c r="B31" s="88" t="s">
        <v>107</v>
      </c>
      <c r="C31" s="88">
        <v>0</v>
      </c>
      <c r="D31" s="88">
        <v>3</v>
      </c>
      <c r="E31" s="88">
        <v>5</v>
      </c>
      <c r="F31" s="88">
        <v>8</v>
      </c>
    </row>
    <row r="32" spans="1:15" x14ac:dyDescent="0.3">
      <c r="A32" s="88"/>
      <c r="B32" s="88" t="s">
        <v>104</v>
      </c>
      <c r="C32" s="88">
        <v>1</v>
      </c>
      <c r="D32" s="88">
        <v>1</v>
      </c>
      <c r="E32" s="88">
        <v>1</v>
      </c>
      <c r="F32" s="88">
        <v>3</v>
      </c>
    </row>
    <row r="33" spans="1:7" x14ac:dyDescent="0.3">
      <c r="A33" s="88"/>
      <c r="B33" s="88" t="s">
        <v>108</v>
      </c>
      <c r="C33" s="88">
        <v>0</v>
      </c>
      <c r="D33" s="88">
        <v>1</v>
      </c>
      <c r="E33" s="88">
        <v>2</v>
      </c>
      <c r="F33" s="88">
        <v>3</v>
      </c>
    </row>
    <row r="34" spans="1:7" x14ac:dyDescent="0.3">
      <c r="A34" s="88"/>
      <c r="B34" s="88" t="s">
        <v>287</v>
      </c>
      <c r="C34" s="88">
        <v>0</v>
      </c>
      <c r="D34" s="88">
        <v>0</v>
      </c>
      <c r="E34" s="88">
        <v>1</v>
      </c>
      <c r="F34" s="88">
        <v>1</v>
      </c>
    </row>
    <row r="35" spans="1:7" x14ac:dyDescent="0.3">
      <c r="A35" s="106" t="s">
        <v>103</v>
      </c>
      <c r="B35" s="88"/>
      <c r="C35" s="107">
        <v>13</v>
      </c>
      <c r="D35" s="107">
        <v>8</v>
      </c>
      <c r="E35" s="107">
        <v>6</v>
      </c>
      <c r="F35" s="107">
        <v>27</v>
      </c>
      <c r="G35" s="75"/>
    </row>
    <row r="36" spans="1:7" x14ac:dyDescent="0.3">
      <c r="A36" s="88"/>
      <c r="B36" s="88" t="s">
        <v>102</v>
      </c>
      <c r="C36" s="88">
        <v>4</v>
      </c>
      <c r="D36" s="88">
        <v>5</v>
      </c>
      <c r="E36" s="88">
        <v>2</v>
      </c>
      <c r="F36" s="88">
        <v>11</v>
      </c>
    </row>
    <row r="37" spans="1:7" x14ac:dyDescent="0.3">
      <c r="A37" s="108"/>
      <c r="B37" s="88" t="s">
        <v>101</v>
      </c>
      <c r="C37" s="88">
        <v>5</v>
      </c>
      <c r="D37" s="88">
        <v>2</v>
      </c>
      <c r="E37" s="88">
        <v>3</v>
      </c>
      <c r="F37" s="88">
        <v>10</v>
      </c>
    </row>
    <row r="38" spans="1:7" x14ac:dyDescent="0.3">
      <c r="A38" s="88"/>
      <c r="B38" s="88" t="s">
        <v>100</v>
      </c>
      <c r="C38" s="88">
        <v>3</v>
      </c>
      <c r="D38" s="88">
        <v>0</v>
      </c>
      <c r="E38" s="88">
        <v>1</v>
      </c>
      <c r="F38" s="88">
        <v>4</v>
      </c>
    </row>
    <row r="39" spans="1:7" x14ac:dyDescent="0.3">
      <c r="A39" s="88"/>
      <c r="B39" s="88" t="s">
        <v>186</v>
      </c>
      <c r="C39" s="88">
        <v>1</v>
      </c>
      <c r="D39" s="88">
        <v>1</v>
      </c>
      <c r="E39" s="88">
        <v>0</v>
      </c>
      <c r="F39" s="88">
        <v>2</v>
      </c>
    </row>
    <row r="40" spans="1:7" x14ac:dyDescent="0.3">
      <c r="A40" s="109" t="s">
        <v>42</v>
      </c>
      <c r="B40" s="110"/>
      <c r="C40" s="111">
        <v>34</v>
      </c>
      <c r="D40" s="111">
        <v>17</v>
      </c>
      <c r="E40" s="111">
        <v>31</v>
      </c>
      <c r="F40" s="111">
        <v>82</v>
      </c>
    </row>
    <row r="42" spans="1:7" x14ac:dyDescent="0.3">
      <c r="A42" s="122" t="s">
        <v>288</v>
      </c>
      <c r="B42" s="122"/>
      <c r="C42" s="122"/>
      <c r="D42" s="122"/>
      <c r="E42" s="122"/>
      <c r="F42" s="122"/>
    </row>
  </sheetData>
  <mergeCells count="14">
    <mergeCell ref="A24:A25"/>
    <mergeCell ref="B24:B25"/>
    <mergeCell ref="C24:E24"/>
    <mergeCell ref="F24:F25"/>
    <mergeCell ref="A42:F42"/>
    <mergeCell ref="I1:O1"/>
    <mergeCell ref="I2:I3"/>
    <mergeCell ref="J2:J3"/>
    <mergeCell ref="K2:M2"/>
    <mergeCell ref="A20:F20"/>
    <mergeCell ref="A3:A4"/>
    <mergeCell ref="B3:B4"/>
    <mergeCell ref="C3:E3"/>
    <mergeCell ref="F3:F4"/>
  </mergeCells>
  <phoneticPr fontId="1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07E5-8479-4EB9-BA8D-13A8D4483A2F}">
  <sheetPr>
    <tabColor rgb="FF002060"/>
  </sheetPr>
  <dimension ref="A1:C9"/>
  <sheetViews>
    <sheetView showGridLines="0" workbookViewId="0">
      <selection activeCell="O4" sqref="O4"/>
    </sheetView>
  </sheetViews>
  <sheetFormatPr baseColWidth="10" defaultColWidth="8.88671875" defaultRowHeight="14.4" x14ac:dyDescent="0.3"/>
  <cols>
    <col min="1" max="1" width="60.109375" bestFit="1" customWidth="1"/>
    <col min="2" max="2" width="16.44140625" bestFit="1" customWidth="1"/>
    <col min="3" max="3" width="30.44140625" bestFit="1" customWidth="1"/>
    <col min="4" max="4" width="95.44140625" bestFit="1" customWidth="1"/>
  </cols>
  <sheetData>
    <row r="1" spans="1:3" ht="15.6" x14ac:dyDescent="0.3">
      <c r="A1" s="9" t="s">
        <v>25</v>
      </c>
      <c r="B1" s="9"/>
      <c r="C1" s="9"/>
    </row>
    <row r="2" spans="1:3" ht="15.6" x14ac:dyDescent="0.3">
      <c r="A2" s="9"/>
      <c r="B2" s="9"/>
      <c r="C2" s="9"/>
    </row>
    <row r="3" spans="1:3" x14ac:dyDescent="0.3">
      <c r="A3" s="127" t="s">
        <v>92</v>
      </c>
      <c r="B3" s="127" t="s">
        <v>91</v>
      </c>
      <c r="C3" s="10" t="s">
        <v>44</v>
      </c>
    </row>
    <row r="4" spans="1:3" x14ac:dyDescent="0.3">
      <c r="A4" s="128"/>
      <c r="B4" s="128"/>
      <c r="C4" s="8" t="s">
        <v>43</v>
      </c>
    </row>
    <row r="5" spans="1:3" x14ac:dyDescent="0.3">
      <c r="A5" t="s">
        <v>121</v>
      </c>
      <c r="B5">
        <v>925</v>
      </c>
      <c r="C5" s="7">
        <v>6987250</v>
      </c>
    </row>
    <row r="6" spans="1:3" x14ac:dyDescent="0.3">
      <c r="A6" s="12"/>
      <c r="B6" s="12"/>
      <c r="C6" s="11"/>
    </row>
    <row r="7" spans="1:3" x14ac:dyDescent="0.3">
      <c r="A7" s="6"/>
      <c r="B7" s="6"/>
      <c r="C7" s="6"/>
    </row>
    <row r="8" spans="1:3" x14ac:dyDescent="0.3">
      <c r="A8" s="122" t="s">
        <v>120</v>
      </c>
      <c r="B8" s="122"/>
      <c r="C8" s="122"/>
    </row>
    <row r="9" spans="1:3" x14ac:dyDescent="0.3">
      <c r="A9" s="122" t="s">
        <v>119</v>
      </c>
      <c r="B9" s="122"/>
      <c r="C9" s="122"/>
    </row>
  </sheetData>
  <mergeCells count="4">
    <mergeCell ref="A3:A4"/>
    <mergeCell ref="B3:B4"/>
    <mergeCell ref="A8:C8"/>
    <mergeCell ref="A9:C9"/>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AAE1-97B2-4CED-ABD0-EB6492BB51B1}">
  <sheetPr>
    <tabColor rgb="FF0070C0"/>
  </sheetPr>
  <dimension ref="A1:G13"/>
  <sheetViews>
    <sheetView showGridLines="0" zoomScale="90" zoomScaleNormal="90" workbookViewId="0">
      <selection activeCell="O4" sqref="O4"/>
    </sheetView>
  </sheetViews>
  <sheetFormatPr baseColWidth="10" defaultColWidth="8.88671875" defaultRowHeight="14.4" x14ac:dyDescent="0.3"/>
  <cols>
    <col min="1" max="1" width="139.5546875" style="16" customWidth="1"/>
    <col min="2" max="2" width="17.44140625" style="16" bestFit="1" customWidth="1"/>
    <col min="3" max="3" width="12.88671875" style="16" bestFit="1" customWidth="1"/>
    <col min="4" max="4" width="10.44140625" style="16" bestFit="1" customWidth="1"/>
    <col min="5" max="5" width="24.5546875" style="16" bestFit="1" customWidth="1"/>
    <col min="6" max="6" width="34.44140625" style="16" bestFit="1" customWidth="1"/>
    <col min="7" max="7" width="23.109375" style="16" bestFit="1" customWidth="1"/>
    <col min="8" max="8" width="7" style="16" bestFit="1" customWidth="1"/>
    <col min="9" max="16384" width="8.88671875" style="16"/>
  </cols>
  <sheetData>
    <row r="1" spans="1:7" ht="15.6" x14ac:dyDescent="0.3">
      <c r="A1" s="20" t="s">
        <v>27</v>
      </c>
      <c r="B1" s="20"/>
      <c r="C1" s="20"/>
      <c r="D1" s="20"/>
      <c r="E1" s="20"/>
      <c r="F1" s="20"/>
      <c r="G1" s="20"/>
    </row>
    <row r="2" spans="1:7" ht="15.6" x14ac:dyDescent="0.3">
      <c r="A2" s="20"/>
      <c r="B2" s="20"/>
      <c r="C2" s="20"/>
      <c r="D2" s="20"/>
      <c r="E2" s="20"/>
      <c r="F2" s="20"/>
      <c r="G2" s="20"/>
    </row>
    <row r="3" spans="1:7" ht="28.8" x14ac:dyDescent="0.3">
      <c r="A3" s="28" t="s">
        <v>137</v>
      </c>
      <c r="B3" s="27" t="s">
        <v>136</v>
      </c>
      <c r="C3" s="28" t="s">
        <v>135</v>
      </c>
      <c r="D3" s="27" t="s">
        <v>134</v>
      </c>
      <c r="E3" s="27" t="s">
        <v>133</v>
      </c>
      <c r="F3" s="26" t="s">
        <v>132</v>
      </c>
      <c r="G3" s="26" t="s">
        <v>131</v>
      </c>
    </row>
    <row r="4" spans="1:7" ht="23.4" customHeight="1" x14ac:dyDescent="0.3">
      <c r="A4" s="16" t="s">
        <v>130</v>
      </c>
      <c r="B4" s="16">
        <v>0</v>
      </c>
      <c r="C4" s="16">
        <v>507</v>
      </c>
      <c r="D4" s="16">
        <v>506</v>
      </c>
      <c r="E4" s="16">
        <v>0</v>
      </c>
      <c r="F4" s="16">
        <v>0</v>
      </c>
      <c r="G4" s="16">
        <v>0</v>
      </c>
    </row>
    <row r="5" spans="1:7" ht="23.4" customHeight="1" x14ac:dyDescent="0.3">
      <c r="A5" s="16" t="s">
        <v>129</v>
      </c>
      <c r="B5" s="18">
        <v>1231</v>
      </c>
      <c r="C5" s="16">
        <v>418</v>
      </c>
      <c r="D5" s="16">
        <v>402</v>
      </c>
      <c r="E5" s="16">
        <v>0</v>
      </c>
      <c r="F5" s="16">
        <v>652</v>
      </c>
      <c r="G5" s="16">
        <v>458</v>
      </c>
    </row>
    <row r="6" spans="1:7" ht="23.4" customHeight="1" x14ac:dyDescent="0.3">
      <c r="A6" s="16" t="s">
        <v>128</v>
      </c>
      <c r="B6" s="18">
        <v>1340</v>
      </c>
      <c r="C6" s="16">
        <v>566</v>
      </c>
      <c r="D6" s="16">
        <v>574</v>
      </c>
      <c r="E6" s="16">
        <v>0</v>
      </c>
      <c r="F6" s="16">
        <v>952</v>
      </c>
      <c r="G6" s="16">
        <v>446</v>
      </c>
    </row>
    <row r="7" spans="1:7" ht="23.4" customHeight="1" x14ac:dyDescent="0.3">
      <c r="A7" s="16" t="s">
        <v>127</v>
      </c>
      <c r="B7" s="18">
        <v>1073</v>
      </c>
      <c r="C7" s="16">
        <v>510</v>
      </c>
      <c r="D7" s="16">
        <v>459</v>
      </c>
      <c r="E7" s="16">
        <v>0</v>
      </c>
      <c r="F7" s="16">
        <v>340</v>
      </c>
      <c r="G7" s="16">
        <v>310</v>
      </c>
    </row>
    <row r="8" spans="1:7" ht="23.4" customHeight="1" x14ac:dyDescent="0.3">
      <c r="A8" s="16" t="s">
        <v>126</v>
      </c>
      <c r="B8" s="16">
        <v>339</v>
      </c>
      <c r="C8" s="16">
        <v>375</v>
      </c>
      <c r="D8" s="16">
        <v>433</v>
      </c>
      <c r="E8" s="16">
        <v>16</v>
      </c>
      <c r="F8" s="16">
        <v>0</v>
      </c>
      <c r="G8" s="16">
        <v>0</v>
      </c>
    </row>
    <row r="9" spans="1:7" ht="23.4" customHeight="1" x14ac:dyDescent="0.3">
      <c r="A9" s="16" t="s">
        <v>125</v>
      </c>
      <c r="B9" s="16">
        <v>374</v>
      </c>
      <c r="C9" s="16">
        <v>929</v>
      </c>
      <c r="D9" s="16">
        <v>143</v>
      </c>
      <c r="E9" s="16">
        <v>42</v>
      </c>
      <c r="F9" s="16">
        <v>0</v>
      </c>
      <c r="G9" s="16">
        <v>0</v>
      </c>
    </row>
    <row r="10" spans="1:7" ht="23.4" customHeight="1" x14ac:dyDescent="0.3">
      <c r="A10" s="16" t="s">
        <v>124</v>
      </c>
      <c r="B10" s="16">
        <v>875</v>
      </c>
      <c r="C10" s="16">
        <v>583</v>
      </c>
      <c r="D10" s="16">
        <v>483</v>
      </c>
      <c r="E10" s="16">
        <v>84</v>
      </c>
      <c r="F10" s="16">
        <v>0</v>
      </c>
      <c r="G10" s="16">
        <v>0</v>
      </c>
    </row>
    <row r="11" spans="1:7" ht="23.4" customHeight="1" x14ac:dyDescent="0.3">
      <c r="A11" s="25" t="s">
        <v>42</v>
      </c>
      <c r="B11" s="24">
        <v>5232</v>
      </c>
      <c r="C11" s="24">
        <v>3888</v>
      </c>
      <c r="D11" s="24">
        <v>3000</v>
      </c>
      <c r="E11" s="24">
        <v>142</v>
      </c>
      <c r="F11" s="24">
        <v>1944</v>
      </c>
      <c r="G11" s="24">
        <v>1214</v>
      </c>
    </row>
    <row r="13" spans="1:7" x14ac:dyDescent="0.3">
      <c r="A13" s="129" t="s">
        <v>123</v>
      </c>
      <c r="B13" s="129"/>
      <c r="C13" s="129"/>
      <c r="D13" s="129"/>
      <c r="E13" s="129"/>
      <c r="F13" s="129"/>
      <c r="G13" s="129"/>
    </row>
  </sheetData>
  <mergeCells count="1">
    <mergeCell ref="A13:G13"/>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B5D1A-5E7B-449A-95E4-8A93DC87E3AD}">
  <sheetPr>
    <tabColor rgb="FF0070C0"/>
  </sheetPr>
  <dimension ref="A1:F18"/>
  <sheetViews>
    <sheetView showGridLines="0" zoomScale="90" zoomScaleNormal="90" workbookViewId="0">
      <selection activeCell="J33" sqref="J33"/>
    </sheetView>
  </sheetViews>
  <sheetFormatPr baseColWidth="10" defaultColWidth="8.88671875" defaultRowHeight="14.4" x14ac:dyDescent="0.3"/>
  <cols>
    <col min="1" max="1" width="14" style="16" bestFit="1" customWidth="1"/>
    <col min="2" max="3" width="20" style="16" bestFit="1" customWidth="1"/>
    <col min="4" max="4" width="2.109375" style="16" customWidth="1"/>
    <col min="5" max="5" width="27" style="16" bestFit="1" customWidth="1"/>
    <col min="6" max="6" width="9.33203125" style="16" bestFit="1" customWidth="1"/>
    <col min="7" max="16384" width="8.88671875" style="16"/>
  </cols>
  <sheetData>
    <row r="1" spans="1:6" ht="15.6" x14ac:dyDescent="0.3">
      <c r="A1" s="20" t="s">
        <v>26</v>
      </c>
      <c r="B1" s="20"/>
      <c r="C1" s="20"/>
      <c r="D1" s="20"/>
      <c r="E1" s="20"/>
      <c r="F1" s="20"/>
    </row>
    <row r="2" spans="1:6" ht="15.6" x14ac:dyDescent="0.3">
      <c r="A2" s="20"/>
      <c r="B2" s="20"/>
      <c r="C2" s="20"/>
      <c r="D2" s="20"/>
      <c r="E2" s="20"/>
      <c r="F2" s="20"/>
    </row>
    <row r="3" spans="1:6" ht="15.6" x14ac:dyDescent="0.3">
      <c r="A3" s="130" t="s">
        <v>59</v>
      </c>
      <c r="B3" s="132" t="s">
        <v>140</v>
      </c>
      <c r="C3" s="132"/>
      <c r="D3" s="34"/>
      <c r="E3" s="132" t="s">
        <v>139</v>
      </c>
      <c r="F3" s="132"/>
    </row>
    <row r="4" spans="1:6" x14ac:dyDescent="0.3">
      <c r="A4" s="131"/>
      <c r="B4" s="22" t="s">
        <v>90</v>
      </c>
      <c r="C4" s="22" t="s">
        <v>89</v>
      </c>
      <c r="D4" s="23"/>
      <c r="E4" s="22" t="s">
        <v>138</v>
      </c>
      <c r="F4" s="22" t="s">
        <v>122</v>
      </c>
    </row>
    <row r="5" spans="1:6" x14ac:dyDescent="0.3">
      <c r="A5" s="32" t="s">
        <v>58</v>
      </c>
      <c r="B5" s="18">
        <v>1079</v>
      </c>
      <c r="C5" s="18">
        <v>323</v>
      </c>
      <c r="E5" s="16">
        <v>0</v>
      </c>
      <c r="F5" s="16">
        <v>0</v>
      </c>
    </row>
    <row r="6" spans="1:6" x14ac:dyDescent="0.3">
      <c r="A6" s="32" t="s">
        <v>57</v>
      </c>
      <c r="B6" s="16">
        <v>937</v>
      </c>
      <c r="C6" s="18">
        <v>0</v>
      </c>
      <c r="E6" s="16">
        <v>316</v>
      </c>
      <c r="F6" s="16">
        <v>0</v>
      </c>
    </row>
    <row r="7" spans="1:6" x14ac:dyDescent="0.3">
      <c r="A7" s="32" t="s">
        <v>56</v>
      </c>
      <c r="B7" s="16">
        <v>901</v>
      </c>
      <c r="C7" s="18">
        <v>335</v>
      </c>
      <c r="E7" s="16">
        <v>312</v>
      </c>
      <c r="F7" s="16">
        <v>18</v>
      </c>
    </row>
    <row r="8" spans="1:6" x14ac:dyDescent="0.3">
      <c r="A8" s="33" t="s">
        <v>55</v>
      </c>
      <c r="B8" s="18">
        <v>1033</v>
      </c>
      <c r="C8" s="18">
        <v>360</v>
      </c>
      <c r="E8" s="16">
        <v>0</v>
      </c>
      <c r="F8" s="16">
        <v>0</v>
      </c>
    </row>
    <row r="9" spans="1:6" x14ac:dyDescent="0.3">
      <c r="A9" s="32" t="s">
        <v>53</v>
      </c>
      <c r="B9" s="18">
        <v>1378</v>
      </c>
      <c r="C9" s="18">
        <v>656</v>
      </c>
      <c r="E9" s="16">
        <v>372</v>
      </c>
      <c r="F9" s="16">
        <v>5</v>
      </c>
    </row>
    <row r="10" spans="1:6" x14ac:dyDescent="0.3">
      <c r="A10" s="13" t="s">
        <v>62</v>
      </c>
      <c r="B10" s="16">
        <v>863</v>
      </c>
      <c r="C10" s="18">
        <v>318</v>
      </c>
      <c r="E10" s="16">
        <v>0</v>
      </c>
      <c r="F10" s="16">
        <v>0</v>
      </c>
    </row>
    <row r="11" spans="1:6" x14ac:dyDescent="0.3">
      <c r="A11" s="32" t="s">
        <v>51</v>
      </c>
      <c r="B11" s="18">
        <v>1043</v>
      </c>
      <c r="C11" s="18">
        <v>581</v>
      </c>
      <c r="E11" s="16">
        <v>459</v>
      </c>
      <c r="F11" s="16">
        <v>0</v>
      </c>
    </row>
    <row r="12" spans="1:6" x14ac:dyDescent="0.3">
      <c r="A12" s="32" t="s">
        <v>50</v>
      </c>
      <c r="B12" s="18">
        <v>1059</v>
      </c>
      <c r="C12" s="18">
        <v>213</v>
      </c>
      <c r="E12" s="16">
        <v>0</v>
      </c>
      <c r="F12" s="16">
        <v>0</v>
      </c>
    </row>
    <row r="13" spans="1:6" x14ac:dyDescent="0.3">
      <c r="A13" s="32" t="s">
        <v>49</v>
      </c>
      <c r="B13" s="18">
        <v>1481</v>
      </c>
      <c r="C13" s="18">
        <v>556</v>
      </c>
      <c r="E13" s="16">
        <v>0</v>
      </c>
      <c r="F13" s="16">
        <v>0</v>
      </c>
    </row>
    <row r="14" spans="1:6" x14ac:dyDescent="0.3">
      <c r="A14" s="32" t="s">
        <v>47</v>
      </c>
      <c r="B14" s="16">
        <v>844</v>
      </c>
      <c r="C14" s="18">
        <v>326</v>
      </c>
      <c r="E14" s="16">
        <v>0</v>
      </c>
      <c r="F14" s="16">
        <v>0</v>
      </c>
    </row>
    <row r="15" spans="1:6" x14ac:dyDescent="0.3">
      <c r="A15" s="32" t="s">
        <v>46</v>
      </c>
      <c r="B15" s="16">
        <v>890</v>
      </c>
      <c r="C15" s="18">
        <v>375</v>
      </c>
      <c r="E15" s="16">
        <v>0</v>
      </c>
      <c r="F15" s="16">
        <v>0</v>
      </c>
    </row>
    <row r="16" spans="1:6" x14ac:dyDescent="0.3">
      <c r="A16" s="31" t="s">
        <v>45</v>
      </c>
      <c r="B16" s="30">
        <v>11508</v>
      </c>
      <c r="C16" s="30">
        <v>4043</v>
      </c>
      <c r="D16" s="30"/>
      <c r="E16" s="29">
        <v>1459</v>
      </c>
      <c r="F16" s="29">
        <v>23</v>
      </c>
    </row>
    <row r="18" spans="1:1" x14ac:dyDescent="0.3">
      <c r="A18" s="17" t="s">
        <v>123</v>
      </c>
    </row>
  </sheetData>
  <mergeCells count="3">
    <mergeCell ref="A3:A4"/>
    <mergeCell ref="B3:C3"/>
    <mergeCell ref="E3:F3"/>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BC2B2-2090-463A-9595-9B6FF10C4471}">
  <sheetPr>
    <tabColor rgb="FFFFFF00"/>
  </sheetPr>
  <dimension ref="A1:D25"/>
  <sheetViews>
    <sheetView showGridLines="0" topLeftCell="A10" workbookViewId="0">
      <selection activeCell="O4" sqref="O4"/>
    </sheetView>
  </sheetViews>
  <sheetFormatPr baseColWidth="10" defaultColWidth="8.88671875" defaultRowHeight="14.4" x14ac:dyDescent="0.3"/>
  <cols>
    <col min="1" max="1" width="30.44140625" style="16" bestFit="1" customWidth="1"/>
    <col min="2" max="2" width="11.5546875" style="16" bestFit="1" customWidth="1"/>
    <col min="3" max="3" width="9.44140625" style="16" bestFit="1" customWidth="1"/>
    <col min="4" max="4" width="28.109375" style="16" bestFit="1" customWidth="1"/>
    <col min="5" max="16384" width="8.88671875" style="16"/>
  </cols>
  <sheetData>
    <row r="1" spans="1:4" ht="15.6" x14ac:dyDescent="0.3">
      <c r="A1" s="133" t="s">
        <v>141</v>
      </c>
      <c r="B1" s="133"/>
      <c r="C1" s="133"/>
      <c r="D1" s="133"/>
    </row>
    <row r="2" spans="1:4" ht="15.6" x14ac:dyDescent="0.3">
      <c r="A2" s="20"/>
      <c r="B2" s="20"/>
      <c r="C2" s="20"/>
      <c r="D2" s="20"/>
    </row>
    <row r="3" spans="1:4" x14ac:dyDescent="0.3">
      <c r="A3" s="19" t="s">
        <v>93</v>
      </c>
      <c r="B3" s="19">
        <v>2024</v>
      </c>
      <c r="C3" s="19">
        <v>2025</v>
      </c>
    </row>
    <row r="4" spans="1:4" x14ac:dyDescent="0.3">
      <c r="A4" s="16" t="s">
        <v>146</v>
      </c>
      <c r="B4" s="18">
        <v>8700</v>
      </c>
      <c r="C4" s="18">
        <v>39000</v>
      </c>
    </row>
    <row r="5" spans="1:4" x14ac:dyDescent="0.3">
      <c r="A5" s="33" t="s">
        <v>145</v>
      </c>
      <c r="B5" s="18">
        <v>2472</v>
      </c>
      <c r="C5" s="16">
        <v>498</v>
      </c>
    </row>
    <row r="6" spans="1:4" x14ac:dyDescent="0.3">
      <c r="A6" s="16" t="s">
        <v>144</v>
      </c>
      <c r="B6" s="18">
        <v>1390629</v>
      </c>
      <c r="C6" s="18">
        <v>653100</v>
      </c>
    </row>
    <row r="7" spans="1:4" x14ac:dyDescent="0.3">
      <c r="A7" s="36"/>
      <c r="B7" s="21"/>
      <c r="C7" s="21"/>
    </row>
    <row r="8" spans="1:4" x14ac:dyDescent="0.3">
      <c r="B8" s="18"/>
      <c r="C8" s="18"/>
    </row>
    <row r="9" spans="1:4" x14ac:dyDescent="0.3">
      <c r="A9" s="17" t="s">
        <v>143</v>
      </c>
      <c r="B9" s="18"/>
      <c r="C9" s="18"/>
    </row>
    <row r="10" spans="1:4" x14ac:dyDescent="0.3">
      <c r="B10" s="18"/>
      <c r="C10" s="18"/>
    </row>
    <row r="11" spans="1:4" x14ac:dyDescent="0.3">
      <c r="A11" s="17" t="s">
        <v>142</v>
      </c>
      <c r="B11" s="17"/>
      <c r="C11" s="17"/>
      <c r="D11" s="17"/>
    </row>
    <row r="15" spans="1:4" ht="15.6" x14ac:dyDescent="0.3">
      <c r="A15" s="133" t="s">
        <v>190</v>
      </c>
      <c r="B15" s="133"/>
      <c r="C15" s="133"/>
      <c r="D15" s="133"/>
    </row>
    <row r="16" spans="1:4" ht="15.6" x14ac:dyDescent="0.3">
      <c r="A16" s="20"/>
      <c r="B16" s="20"/>
      <c r="C16" s="20"/>
      <c r="D16" s="20"/>
    </row>
    <row r="17" spans="1:4" x14ac:dyDescent="0.3">
      <c r="A17" s="19" t="s">
        <v>93</v>
      </c>
      <c r="B17" s="19">
        <v>2024</v>
      </c>
      <c r="C17" s="19">
        <v>2025</v>
      </c>
    </row>
    <row r="18" spans="1:4" x14ac:dyDescent="0.3">
      <c r="A18" s="16" t="s">
        <v>146</v>
      </c>
      <c r="B18" s="18">
        <v>11758</v>
      </c>
      <c r="C18" s="18">
        <v>21642</v>
      </c>
    </row>
    <row r="19" spans="1:4" x14ac:dyDescent="0.3">
      <c r="A19" s="33" t="s">
        <v>145</v>
      </c>
      <c r="B19" s="18">
        <v>879</v>
      </c>
      <c r="C19" s="18">
        <v>3078</v>
      </c>
    </row>
    <row r="20" spans="1:4" x14ac:dyDescent="0.3">
      <c r="A20" s="42" t="s">
        <v>144</v>
      </c>
      <c r="B20" s="18">
        <v>827818</v>
      </c>
      <c r="C20" s="18">
        <v>1424220</v>
      </c>
    </row>
    <row r="21" spans="1:4" x14ac:dyDescent="0.3">
      <c r="A21" s="36"/>
      <c r="B21" s="21"/>
      <c r="C21" s="21"/>
    </row>
    <row r="22" spans="1:4" x14ac:dyDescent="0.3">
      <c r="B22" s="18"/>
      <c r="C22" s="18"/>
    </row>
    <row r="23" spans="1:4" x14ac:dyDescent="0.3">
      <c r="A23" s="17" t="s">
        <v>143</v>
      </c>
      <c r="B23" s="18"/>
      <c r="C23" s="18"/>
    </row>
    <row r="24" spans="1:4" x14ac:dyDescent="0.3">
      <c r="B24" s="18"/>
      <c r="C24" s="18"/>
    </row>
    <row r="25" spans="1:4" x14ac:dyDescent="0.3">
      <c r="A25" s="17" t="s">
        <v>142</v>
      </c>
      <c r="B25" s="17"/>
      <c r="C25" s="17"/>
      <c r="D25" s="17"/>
    </row>
  </sheetData>
  <mergeCells count="2">
    <mergeCell ref="A1:D1"/>
    <mergeCell ref="A15:D15"/>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9B97-6DF4-4FC0-901A-AD0DB7043269}">
  <dimension ref="A1:J51"/>
  <sheetViews>
    <sheetView showGridLines="0" zoomScale="90" zoomScaleNormal="90" workbookViewId="0">
      <selection activeCell="F39" sqref="F39"/>
    </sheetView>
  </sheetViews>
  <sheetFormatPr baseColWidth="10" defaultColWidth="8.88671875" defaultRowHeight="14.4" x14ac:dyDescent="0.3"/>
  <cols>
    <col min="1" max="1" width="14" style="16" bestFit="1" customWidth="1"/>
    <col min="2" max="2" width="25.88671875" style="16" bestFit="1" customWidth="1"/>
    <col min="3" max="3" width="41.109375" style="16" bestFit="1" customWidth="1"/>
    <col min="4" max="4" width="24.88671875" style="16" customWidth="1"/>
    <col min="5" max="5" width="33.109375" style="16" customWidth="1"/>
    <col min="6" max="6" width="14" style="16" customWidth="1"/>
    <col min="7" max="7" width="22.88671875" style="16" customWidth="1"/>
    <col min="8" max="8" width="36.88671875" style="16" customWidth="1"/>
    <col min="9" max="9" width="25.109375" style="16" customWidth="1"/>
    <col min="10" max="16384" width="8.88671875" style="16"/>
  </cols>
  <sheetData>
    <row r="1" spans="1:9" ht="15.6" x14ac:dyDescent="0.3">
      <c r="A1" s="85" t="s">
        <v>30</v>
      </c>
      <c r="B1" s="85"/>
      <c r="C1" s="85"/>
      <c r="D1" s="85"/>
    </row>
    <row r="2" spans="1:9" ht="15.6" x14ac:dyDescent="0.3">
      <c r="A2" s="85"/>
      <c r="B2" s="85"/>
      <c r="C2" s="85"/>
      <c r="D2" s="85"/>
    </row>
    <row r="3" spans="1:9" ht="15.6" x14ac:dyDescent="0.3">
      <c r="A3" s="94" t="s">
        <v>59</v>
      </c>
      <c r="B3" s="98" t="s">
        <v>153</v>
      </c>
      <c r="C3" s="98" t="s">
        <v>152</v>
      </c>
      <c r="D3" s="98" t="s">
        <v>151</v>
      </c>
      <c r="E3" s="64"/>
      <c r="F3" s="64"/>
      <c r="G3" s="64"/>
      <c r="H3" s="64"/>
      <c r="I3" s="64"/>
    </row>
    <row r="4" spans="1:9" x14ac:dyDescent="0.3">
      <c r="A4" s="99" t="s">
        <v>58</v>
      </c>
      <c r="B4" s="95">
        <v>1277536</v>
      </c>
      <c r="C4" s="95">
        <v>58</v>
      </c>
      <c r="D4" s="95">
        <v>7264</v>
      </c>
      <c r="E4"/>
      <c r="F4"/>
      <c r="G4"/>
      <c r="H4"/>
      <c r="I4"/>
    </row>
    <row r="5" spans="1:9" x14ac:dyDescent="0.3">
      <c r="A5" s="99" t="s">
        <v>57</v>
      </c>
      <c r="B5" s="95">
        <v>376537</v>
      </c>
      <c r="C5" s="95">
        <v>24</v>
      </c>
      <c r="D5" s="95">
        <v>2129</v>
      </c>
      <c r="E5"/>
      <c r="F5"/>
      <c r="G5"/>
      <c r="H5"/>
      <c r="I5"/>
    </row>
    <row r="6" spans="1:9" x14ac:dyDescent="0.3">
      <c r="A6" s="99" t="s">
        <v>56</v>
      </c>
      <c r="B6" s="95">
        <v>436387</v>
      </c>
      <c r="C6" s="100" t="s">
        <v>150</v>
      </c>
      <c r="D6" s="100">
        <v>2559</v>
      </c>
      <c r="E6"/>
      <c r="F6"/>
      <c r="G6"/>
      <c r="H6"/>
      <c r="I6"/>
    </row>
    <row r="7" spans="1:9" x14ac:dyDescent="0.3">
      <c r="A7" s="99" t="s">
        <v>55</v>
      </c>
      <c r="B7" s="95">
        <v>961312</v>
      </c>
      <c r="C7" s="95">
        <v>67</v>
      </c>
      <c r="D7" s="95">
        <v>5440</v>
      </c>
      <c r="E7"/>
      <c r="F7"/>
      <c r="G7"/>
      <c r="H7"/>
      <c r="I7"/>
    </row>
    <row r="8" spans="1:9" x14ac:dyDescent="0.3">
      <c r="A8" s="99" t="s">
        <v>54</v>
      </c>
      <c r="B8" s="95">
        <v>1295619</v>
      </c>
      <c r="C8" s="95">
        <v>71</v>
      </c>
      <c r="D8" s="95">
        <v>7323</v>
      </c>
      <c r="E8"/>
      <c r="F8"/>
      <c r="G8"/>
      <c r="H8"/>
      <c r="I8"/>
    </row>
    <row r="9" spans="1:9" x14ac:dyDescent="0.3">
      <c r="A9" s="99" t="s">
        <v>53</v>
      </c>
      <c r="B9" s="95">
        <v>861815</v>
      </c>
      <c r="C9" s="95">
        <v>42</v>
      </c>
      <c r="D9" s="95">
        <v>4879</v>
      </c>
      <c r="E9"/>
      <c r="F9"/>
      <c r="G9"/>
      <c r="H9"/>
      <c r="I9"/>
    </row>
    <row r="10" spans="1:9" x14ac:dyDescent="0.3">
      <c r="A10" s="99" t="s">
        <v>52</v>
      </c>
      <c r="B10" s="95">
        <v>56817</v>
      </c>
      <c r="C10" s="95">
        <v>3</v>
      </c>
      <c r="D10" s="95">
        <v>321</v>
      </c>
      <c r="E10"/>
      <c r="F10"/>
      <c r="G10"/>
      <c r="H10"/>
      <c r="I10"/>
    </row>
    <row r="11" spans="1:9" x14ac:dyDescent="0.3">
      <c r="A11" s="99" t="s">
        <v>51</v>
      </c>
      <c r="B11" s="95">
        <v>802966</v>
      </c>
      <c r="C11" s="95">
        <v>48</v>
      </c>
      <c r="D11" s="95">
        <v>4550</v>
      </c>
      <c r="E11"/>
      <c r="F11"/>
      <c r="G11"/>
      <c r="H11"/>
      <c r="I11"/>
    </row>
    <row r="12" spans="1:9" x14ac:dyDescent="0.3">
      <c r="A12" s="99" t="s">
        <v>50</v>
      </c>
      <c r="B12" s="95">
        <v>221299</v>
      </c>
      <c r="C12" s="95">
        <v>11</v>
      </c>
      <c r="D12" s="95">
        <v>1251</v>
      </c>
      <c r="E12"/>
      <c r="F12"/>
      <c r="G12"/>
      <c r="H12"/>
      <c r="I12"/>
    </row>
    <row r="13" spans="1:9" x14ac:dyDescent="0.3">
      <c r="A13" s="99" t="s">
        <v>49</v>
      </c>
      <c r="B13" s="95">
        <v>640515</v>
      </c>
      <c r="C13" s="95">
        <v>34</v>
      </c>
      <c r="D13" s="95">
        <v>3619</v>
      </c>
      <c r="E13"/>
      <c r="F13"/>
      <c r="G13"/>
      <c r="H13"/>
      <c r="I13"/>
    </row>
    <row r="14" spans="1:9" x14ac:dyDescent="0.3">
      <c r="A14" s="99" t="s">
        <v>48</v>
      </c>
      <c r="B14" s="95">
        <v>272757</v>
      </c>
      <c r="C14" s="95">
        <v>26</v>
      </c>
      <c r="D14" s="95">
        <v>1541</v>
      </c>
      <c r="E14"/>
      <c r="F14"/>
      <c r="G14"/>
      <c r="H14"/>
      <c r="I14"/>
    </row>
    <row r="15" spans="1:9" x14ac:dyDescent="0.3">
      <c r="A15" s="99" t="s">
        <v>47</v>
      </c>
      <c r="B15" s="95">
        <v>64351</v>
      </c>
      <c r="C15" s="95">
        <v>2</v>
      </c>
      <c r="D15" s="95">
        <v>367</v>
      </c>
      <c r="E15"/>
      <c r="F15"/>
      <c r="G15"/>
      <c r="H15"/>
      <c r="I15"/>
    </row>
    <row r="16" spans="1:9" x14ac:dyDescent="0.3">
      <c r="A16" s="99" t="s">
        <v>46</v>
      </c>
      <c r="B16" s="95">
        <v>130699</v>
      </c>
      <c r="C16" s="95">
        <v>6</v>
      </c>
      <c r="D16" s="95">
        <v>739</v>
      </c>
      <c r="E16"/>
      <c r="F16"/>
      <c r="G16"/>
      <c r="H16"/>
      <c r="I16"/>
    </row>
    <row r="17" spans="1:10" x14ac:dyDescent="0.3">
      <c r="A17" s="101" t="s">
        <v>45</v>
      </c>
      <c r="B17" s="102">
        <v>7398610</v>
      </c>
      <c r="C17" s="103">
        <v>429</v>
      </c>
      <c r="D17" s="102">
        <v>41982</v>
      </c>
      <c r="E17"/>
      <c r="F17"/>
      <c r="G17"/>
      <c r="H17"/>
      <c r="I17"/>
    </row>
    <row r="18" spans="1:10" x14ac:dyDescent="0.3">
      <c r="A18" s="38"/>
      <c r="B18" s="18"/>
      <c r="E18"/>
      <c r="F18"/>
      <c r="G18"/>
      <c r="H18"/>
      <c r="I18"/>
    </row>
    <row r="19" spans="1:10" ht="10.5" customHeight="1" x14ac:dyDescent="0.3">
      <c r="A19" s="15" t="s">
        <v>149</v>
      </c>
      <c r="B19" s="37"/>
      <c r="C19" s="17"/>
      <c r="D19" s="17"/>
      <c r="E19"/>
      <c r="F19"/>
      <c r="G19"/>
      <c r="H19" s="7"/>
      <c r="I19"/>
    </row>
    <row r="20" spans="1:10" ht="12" customHeight="1" x14ac:dyDescent="0.3">
      <c r="A20" s="15" t="s">
        <v>148</v>
      </c>
      <c r="B20" s="37"/>
      <c r="C20" s="17"/>
      <c r="D20" s="17"/>
      <c r="E20"/>
      <c r="F20"/>
      <c r="G20"/>
      <c r="H20"/>
      <c r="I20"/>
    </row>
    <row r="21" spans="1:10" x14ac:dyDescent="0.3">
      <c r="A21" s="17" t="s">
        <v>147</v>
      </c>
      <c r="B21" s="17"/>
      <c r="C21" s="17"/>
      <c r="D21" s="17"/>
      <c r="E21"/>
      <c r="F21"/>
      <c r="G21"/>
      <c r="H21" s="7"/>
      <c r="I21"/>
    </row>
    <row r="22" spans="1:10" x14ac:dyDescent="0.3">
      <c r="E22"/>
      <c r="F22"/>
      <c r="G22"/>
      <c r="H22"/>
      <c r="I22"/>
    </row>
    <row r="23" spans="1:10" ht="15.6" x14ac:dyDescent="0.3">
      <c r="A23" s="85" t="s">
        <v>30</v>
      </c>
      <c r="B23" s="85"/>
      <c r="C23" s="85"/>
      <c r="D23" s="85"/>
      <c r="F23" s="63" t="s">
        <v>273</v>
      </c>
      <c r="G23" s="65"/>
      <c r="H23" s="65"/>
      <c r="I23" s="65"/>
      <c r="J23" s="65"/>
    </row>
    <row r="24" spans="1:10" ht="15.6" x14ac:dyDescent="0.3">
      <c r="A24" s="85"/>
      <c r="B24" s="85"/>
      <c r="C24" s="85"/>
      <c r="D24" s="85"/>
      <c r="F24" s="58" t="s">
        <v>59</v>
      </c>
      <c r="G24" s="58" t="s">
        <v>153</v>
      </c>
      <c r="H24" s="58" t="s">
        <v>152</v>
      </c>
      <c r="I24" s="58" t="s">
        <v>151</v>
      </c>
      <c r="J24" s="58" t="s">
        <v>208</v>
      </c>
    </row>
    <row r="25" spans="1:10" ht="15.6" x14ac:dyDescent="0.3">
      <c r="A25" s="94" t="s">
        <v>59</v>
      </c>
      <c r="B25" s="98" t="s">
        <v>153</v>
      </c>
      <c r="C25" s="98" t="s">
        <v>152</v>
      </c>
      <c r="D25" s="98" t="s">
        <v>151</v>
      </c>
      <c r="E25" s="64"/>
      <c r="F25" s="58" t="s">
        <v>220</v>
      </c>
      <c r="G25" s="67">
        <v>1284142</v>
      </c>
      <c r="H25" s="58">
        <v>58</v>
      </c>
      <c r="I25" s="67">
        <v>7264</v>
      </c>
      <c r="J25" s="58"/>
    </row>
    <row r="26" spans="1:10" x14ac:dyDescent="0.3">
      <c r="A26" s="99" t="s">
        <v>58</v>
      </c>
      <c r="B26" s="95">
        <v>1287084</v>
      </c>
      <c r="C26" s="95">
        <v>58</v>
      </c>
      <c r="D26" s="95">
        <v>7238</v>
      </c>
      <c r="E26"/>
      <c r="F26" s="58" t="s">
        <v>221</v>
      </c>
      <c r="G26" s="67">
        <v>374076</v>
      </c>
      <c r="H26" s="58">
        <v>24</v>
      </c>
      <c r="I26" s="67">
        <v>2111</v>
      </c>
      <c r="J26" s="58"/>
    </row>
    <row r="27" spans="1:10" x14ac:dyDescent="0.3">
      <c r="A27" s="99" t="s">
        <v>57</v>
      </c>
      <c r="B27" s="95">
        <v>383010</v>
      </c>
      <c r="C27" s="95">
        <v>23</v>
      </c>
      <c r="D27" s="95">
        <v>2156</v>
      </c>
      <c r="E27"/>
      <c r="F27" s="58" t="s">
        <v>83</v>
      </c>
      <c r="G27" s="67">
        <v>479701</v>
      </c>
      <c r="H27" s="58">
        <v>37</v>
      </c>
      <c r="I27" s="67">
        <v>2704</v>
      </c>
      <c r="J27" s="58" t="s">
        <v>236</v>
      </c>
    </row>
    <row r="28" spans="1:10" x14ac:dyDescent="0.3">
      <c r="A28" s="99" t="s">
        <v>56</v>
      </c>
      <c r="B28" s="95">
        <v>454578</v>
      </c>
      <c r="C28" s="100" t="s">
        <v>290</v>
      </c>
      <c r="D28" s="100" t="s">
        <v>291</v>
      </c>
      <c r="E28"/>
      <c r="F28" s="58" t="s">
        <v>222</v>
      </c>
      <c r="G28" s="67">
        <v>965519</v>
      </c>
      <c r="H28" s="58">
        <v>67</v>
      </c>
      <c r="I28" s="67">
        <v>5444</v>
      </c>
      <c r="J28" s="58"/>
    </row>
    <row r="29" spans="1:10" x14ac:dyDescent="0.3">
      <c r="A29" s="99" t="s">
        <v>55</v>
      </c>
      <c r="B29" s="95">
        <v>945186</v>
      </c>
      <c r="C29" s="95">
        <v>67</v>
      </c>
      <c r="D29" s="95">
        <v>5308</v>
      </c>
      <c r="E29"/>
      <c r="F29" s="58" t="s">
        <v>223</v>
      </c>
      <c r="G29" s="67">
        <v>1231807</v>
      </c>
      <c r="H29" s="58">
        <v>71</v>
      </c>
      <c r="I29" s="67">
        <v>6944</v>
      </c>
      <c r="J29" s="58"/>
    </row>
    <row r="30" spans="1:10" x14ac:dyDescent="0.3">
      <c r="A30" s="99" t="s">
        <v>54</v>
      </c>
      <c r="B30" s="95">
        <v>1158258</v>
      </c>
      <c r="C30" s="95">
        <v>70</v>
      </c>
      <c r="D30" s="95">
        <v>6490</v>
      </c>
      <c r="E30"/>
      <c r="F30" s="58" t="s">
        <v>224</v>
      </c>
      <c r="G30" s="67">
        <v>877222</v>
      </c>
      <c r="H30" s="58">
        <v>42</v>
      </c>
      <c r="I30" s="67">
        <v>4945</v>
      </c>
      <c r="J30" s="58"/>
    </row>
    <row r="31" spans="1:10" x14ac:dyDescent="0.3">
      <c r="A31" s="99" t="s">
        <v>53</v>
      </c>
      <c r="B31" s="95">
        <v>844452</v>
      </c>
      <c r="C31" s="95">
        <v>42</v>
      </c>
      <c r="D31" s="95">
        <v>4742</v>
      </c>
      <c r="E31"/>
      <c r="F31" s="58" t="s">
        <v>225</v>
      </c>
      <c r="G31" s="67">
        <v>61844</v>
      </c>
      <c r="H31" s="58">
        <v>3</v>
      </c>
      <c r="I31" s="58">
        <v>349</v>
      </c>
      <c r="J31" s="58"/>
    </row>
    <row r="32" spans="1:10" x14ac:dyDescent="0.3">
      <c r="A32" s="99" t="s">
        <v>52</v>
      </c>
      <c r="B32" s="95">
        <v>47208</v>
      </c>
      <c r="C32" s="95">
        <v>3</v>
      </c>
      <c r="D32" s="95">
        <v>261</v>
      </c>
      <c r="E32"/>
      <c r="F32" s="58" t="s">
        <v>226</v>
      </c>
      <c r="G32" s="67">
        <v>814691</v>
      </c>
      <c r="H32" s="58">
        <v>48</v>
      </c>
      <c r="I32" s="67">
        <v>4594</v>
      </c>
      <c r="J32" s="58"/>
    </row>
    <row r="33" spans="1:10" x14ac:dyDescent="0.3">
      <c r="A33" s="99" t="s">
        <v>51</v>
      </c>
      <c r="B33" s="95">
        <v>789828</v>
      </c>
      <c r="C33" s="95">
        <v>48</v>
      </c>
      <c r="D33" s="95">
        <v>4435</v>
      </c>
      <c r="E33"/>
      <c r="F33" s="58" t="s">
        <v>227</v>
      </c>
      <c r="G33" s="67">
        <v>219178</v>
      </c>
      <c r="H33" s="58">
        <v>10</v>
      </c>
      <c r="I33" s="67">
        <v>1232</v>
      </c>
      <c r="J33" s="58"/>
    </row>
    <row r="34" spans="1:10" x14ac:dyDescent="0.3">
      <c r="A34" s="99" t="s">
        <v>50</v>
      </c>
      <c r="B34" s="95">
        <v>231270</v>
      </c>
      <c r="C34" s="95">
        <v>11</v>
      </c>
      <c r="D34" s="95">
        <v>1286</v>
      </c>
      <c r="E34"/>
      <c r="F34" s="58" t="s">
        <v>228</v>
      </c>
      <c r="G34" s="67">
        <v>646646</v>
      </c>
      <c r="H34" s="58">
        <v>34</v>
      </c>
      <c r="I34" s="67">
        <v>3641</v>
      </c>
      <c r="J34" s="58"/>
    </row>
    <row r="35" spans="1:10" x14ac:dyDescent="0.3">
      <c r="A35" s="99" t="s">
        <v>49</v>
      </c>
      <c r="B35" s="95">
        <v>583116</v>
      </c>
      <c r="C35" s="95">
        <v>34</v>
      </c>
      <c r="D35" s="95">
        <v>3260</v>
      </c>
      <c r="E35"/>
      <c r="F35" s="58" t="s">
        <v>229</v>
      </c>
      <c r="G35" s="67">
        <v>282440</v>
      </c>
      <c r="H35" s="58">
        <v>26</v>
      </c>
      <c r="I35" s="67">
        <v>1590</v>
      </c>
      <c r="J35" s="58"/>
    </row>
    <row r="36" spans="1:10" x14ac:dyDescent="0.3">
      <c r="A36" s="99" t="s">
        <v>48</v>
      </c>
      <c r="B36" s="95">
        <v>259968</v>
      </c>
      <c r="C36" s="95">
        <v>24</v>
      </c>
      <c r="D36" s="95">
        <v>1453</v>
      </c>
      <c r="E36"/>
      <c r="F36" s="58" t="s">
        <v>230</v>
      </c>
      <c r="G36" s="67">
        <v>64442</v>
      </c>
      <c r="H36" s="58">
        <v>2</v>
      </c>
      <c r="I36" s="58">
        <v>367</v>
      </c>
      <c r="J36" s="58"/>
    </row>
    <row r="37" spans="1:10" x14ac:dyDescent="0.3">
      <c r="A37" s="99" t="s">
        <v>47</v>
      </c>
      <c r="B37" s="95">
        <v>51708</v>
      </c>
      <c r="C37" s="95">
        <v>2</v>
      </c>
      <c r="D37" s="95">
        <v>296</v>
      </c>
      <c r="E37"/>
      <c r="F37" s="58" t="s">
        <v>231</v>
      </c>
      <c r="G37" s="67">
        <v>146767</v>
      </c>
      <c r="H37" s="58">
        <v>6</v>
      </c>
      <c r="I37" s="58">
        <v>828</v>
      </c>
      <c r="J37" s="58"/>
    </row>
    <row r="38" spans="1:10" x14ac:dyDescent="0.3">
      <c r="A38" s="99" t="s">
        <v>46</v>
      </c>
      <c r="B38" s="95">
        <v>139536</v>
      </c>
      <c r="C38" s="95">
        <v>6</v>
      </c>
      <c r="D38" s="95">
        <v>782</v>
      </c>
      <c r="E38"/>
      <c r="F38" s="58" t="s">
        <v>45</v>
      </c>
      <c r="G38" s="147">
        <f>SUM(G25:G37)</f>
        <v>7448475</v>
      </c>
      <c r="H38" s="58">
        <v>428</v>
      </c>
      <c r="I38" s="67">
        <v>42013</v>
      </c>
      <c r="J38" s="58"/>
    </row>
    <row r="39" spans="1:10" x14ac:dyDescent="0.3">
      <c r="A39" s="101" t="s">
        <v>45</v>
      </c>
      <c r="B39" s="102">
        <f>SUM(B26:B38)</f>
        <v>7175202</v>
      </c>
      <c r="C39" s="102">
        <v>423</v>
      </c>
      <c r="D39" s="102">
        <v>40262</v>
      </c>
      <c r="E39"/>
      <c r="F39" s="58"/>
    </row>
    <row r="40" spans="1:10" x14ac:dyDescent="0.3">
      <c r="A40" s="38"/>
      <c r="B40" s="18"/>
      <c r="E40"/>
      <c r="F40" s="58"/>
    </row>
    <row r="41" spans="1:10" x14ac:dyDescent="0.3">
      <c r="A41" s="15" t="s">
        <v>294</v>
      </c>
      <c r="B41" s="37"/>
      <c r="C41" s="17"/>
      <c r="D41" s="17"/>
      <c r="E41"/>
      <c r="F41" s="58"/>
    </row>
    <row r="42" spans="1:10" x14ac:dyDescent="0.3">
      <c r="A42" s="15" t="s">
        <v>292</v>
      </c>
      <c r="B42" s="37"/>
      <c r="C42" s="17"/>
      <c r="D42" s="17"/>
      <c r="E42"/>
      <c r="F42" s="121" t="s">
        <v>235</v>
      </c>
      <c r="G42" s="121"/>
      <c r="H42" s="121"/>
      <c r="I42" s="121"/>
      <c r="J42" s="121"/>
    </row>
    <row r="43" spans="1:10" x14ac:dyDescent="0.3">
      <c r="A43" s="17" t="s">
        <v>293</v>
      </c>
      <c r="B43" s="17"/>
      <c r="C43" s="17"/>
      <c r="D43" s="17"/>
      <c r="E43"/>
      <c r="F43" s="121" t="s">
        <v>237</v>
      </c>
      <c r="G43" s="121"/>
      <c r="H43" s="121"/>
      <c r="I43" s="121"/>
      <c r="J43" s="121"/>
    </row>
    <row r="51" spans="8:8" x14ac:dyDescent="0.3">
      <c r="H51" s="35"/>
    </row>
  </sheetData>
  <mergeCells count="2">
    <mergeCell ref="F42:J42"/>
    <mergeCell ref="F43:J4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3A6E9-FAF2-44D1-A046-21B3AFC93654}">
  <sheetPr>
    <tabColor theme="0"/>
  </sheetPr>
  <dimension ref="A1:J27"/>
  <sheetViews>
    <sheetView showGridLines="0" workbookViewId="0">
      <selection activeCell="D21" sqref="D21"/>
    </sheetView>
  </sheetViews>
  <sheetFormatPr baseColWidth="10" defaultColWidth="8.88671875" defaultRowHeight="14.4" x14ac:dyDescent="0.3"/>
  <cols>
    <col min="1" max="1" width="103.5546875" style="16" bestFit="1" customWidth="1"/>
    <col min="2" max="2" width="10.44140625" style="16" bestFit="1" customWidth="1"/>
    <col min="3" max="3" width="16.44140625" style="16" bestFit="1" customWidth="1"/>
    <col min="4" max="4" width="7" style="16" bestFit="1" customWidth="1"/>
    <col min="5" max="7" width="8.88671875" style="16"/>
    <col min="8" max="8" width="78.33203125" style="16" customWidth="1"/>
    <col min="9" max="9" width="18.109375" style="16" customWidth="1"/>
    <col min="10" max="10" width="32.109375" style="16" customWidth="1"/>
    <col min="11" max="16384" width="8.88671875" style="16"/>
  </cols>
  <sheetData>
    <row r="1" spans="1:10" ht="15.6" x14ac:dyDescent="0.3">
      <c r="A1" s="133" t="s">
        <v>34</v>
      </c>
      <c r="B1" s="133"/>
      <c r="C1" s="133"/>
      <c r="H1" s="133" t="s">
        <v>296</v>
      </c>
      <c r="I1" s="133"/>
      <c r="J1" s="133"/>
    </row>
    <row r="2" spans="1:10" ht="15.6" x14ac:dyDescent="0.3">
      <c r="A2" s="20"/>
      <c r="B2" s="20"/>
      <c r="C2" s="20"/>
      <c r="H2" s="20"/>
      <c r="I2" s="20"/>
      <c r="J2" s="20"/>
    </row>
    <row r="3" spans="1:10" x14ac:dyDescent="0.3">
      <c r="A3" s="19" t="s">
        <v>161</v>
      </c>
      <c r="B3" s="19" t="s">
        <v>61</v>
      </c>
      <c r="C3" s="19" t="s">
        <v>91</v>
      </c>
      <c r="H3" s="19" t="s">
        <v>161</v>
      </c>
      <c r="I3" s="19" t="s">
        <v>61</v>
      </c>
      <c r="J3" s="19" t="s">
        <v>91</v>
      </c>
    </row>
    <row r="4" spans="1:10" x14ac:dyDescent="0.3">
      <c r="A4" s="16" t="s">
        <v>160</v>
      </c>
      <c r="B4" s="16">
        <v>202</v>
      </c>
      <c r="C4" s="16">
        <v>202</v>
      </c>
      <c r="H4" s="16" t="s">
        <v>160</v>
      </c>
      <c r="I4" s="16">
        <v>257</v>
      </c>
      <c r="J4" s="16">
        <v>33</v>
      </c>
    </row>
    <row r="5" spans="1:10" x14ac:dyDescent="0.3">
      <c r="A5" s="16" t="s">
        <v>159</v>
      </c>
      <c r="B5" s="16">
        <v>55</v>
      </c>
      <c r="C5" s="16">
        <v>55</v>
      </c>
      <c r="H5" s="16" t="s">
        <v>159</v>
      </c>
      <c r="I5" s="16">
        <v>93</v>
      </c>
      <c r="J5" s="16">
        <v>93</v>
      </c>
    </row>
    <row r="6" spans="1:10" x14ac:dyDescent="0.3">
      <c r="A6" s="16" t="s">
        <v>158</v>
      </c>
      <c r="B6" s="16">
        <v>42</v>
      </c>
      <c r="C6" s="16">
        <v>42</v>
      </c>
      <c r="H6" s="16" t="s">
        <v>158</v>
      </c>
      <c r="I6" s="16">
        <v>90</v>
      </c>
      <c r="J6" s="16">
        <v>90</v>
      </c>
    </row>
    <row r="7" spans="1:10" x14ac:dyDescent="0.3">
      <c r="A7" s="16" t="s">
        <v>157</v>
      </c>
      <c r="B7" s="16">
        <v>59</v>
      </c>
      <c r="C7" s="16">
        <v>59</v>
      </c>
      <c r="H7" s="16" t="s">
        <v>157</v>
      </c>
      <c r="I7" s="16">
        <v>28</v>
      </c>
      <c r="J7" s="16">
        <v>28</v>
      </c>
    </row>
    <row r="8" spans="1:10" x14ac:dyDescent="0.3">
      <c r="A8" s="16" t="s">
        <v>156</v>
      </c>
      <c r="B8" s="18">
        <v>1003</v>
      </c>
      <c r="C8" s="18">
        <v>1003</v>
      </c>
      <c r="H8" s="16" t="s">
        <v>156</v>
      </c>
      <c r="I8" s="18">
        <v>1290</v>
      </c>
      <c r="J8" s="18">
        <v>1290</v>
      </c>
    </row>
    <row r="9" spans="1:10" x14ac:dyDescent="0.3">
      <c r="A9" s="16" t="s">
        <v>155</v>
      </c>
      <c r="B9" s="16">
        <v>8</v>
      </c>
      <c r="C9" s="16">
        <v>8</v>
      </c>
      <c r="H9" s="16" t="s">
        <v>155</v>
      </c>
      <c r="I9" s="16">
        <v>7</v>
      </c>
      <c r="J9" s="16">
        <v>7</v>
      </c>
    </row>
    <row r="10" spans="1:10" x14ac:dyDescent="0.3">
      <c r="A10" s="16" t="s">
        <v>60</v>
      </c>
      <c r="B10" s="16">
        <v>115</v>
      </c>
      <c r="C10" s="18">
        <v>1093</v>
      </c>
      <c r="H10" s="16" t="s">
        <v>60</v>
      </c>
      <c r="I10" s="16">
        <v>87</v>
      </c>
      <c r="J10" s="18">
        <v>805</v>
      </c>
    </row>
    <row r="11" spans="1:10" x14ac:dyDescent="0.3">
      <c r="A11" s="16" t="s">
        <v>154</v>
      </c>
      <c r="B11" s="18">
        <v>4874</v>
      </c>
      <c r="C11" s="18">
        <v>4344</v>
      </c>
      <c r="H11" s="16" t="s">
        <v>154</v>
      </c>
      <c r="I11" s="18">
        <v>5244</v>
      </c>
      <c r="J11" s="18">
        <v>3969</v>
      </c>
    </row>
    <row r="12" spans="1:10" x14ac:dyDescent="0.3">
      <c r="A12" s="40" t="s">
        <v>42</v>
      </c>
      <c r="B12" s="39">
        <v>6358</v>
      </c>
      <c r="C12" s="39">
        <v>6806</v>
      </c>
      <c r="H12" s="40" t="s">
        <v>42</v>
      </c>
      <c r="I12" s="39">
        <f>SUM(I4:I11)</f>
        <v>7096</v>
      </c>
      <c r="J12" s="39">
        <f>SUM(J4:J11)</f>
        <v>6315</v>
      </c>
    </row>
    <row r="14" spans="1:10" x14ac:dyDescent="0.3">
      <c r="A14" s="129" t="s">
        <v>147</v>
      </c>
      <c r="B14" s="129"/>
      <c r="C14" s="129"/>
      <c r="H14" s="129" t="s">
        <v>293</v>
      </c>
      <c r="I14" s="129"/>
      <c r="J14" s="129"/>
    </row>
    <row r="16" spans="1:10" ht="15.6" x14ac:dyDescent="0.3">
      <c r="A16" s="126" t="s">
        <v>311</v>
      </c>
      <c r="B16" s="134"/>
      <c r="C16" s="134"/>
      <c r="D16" s="134"/>
    </row>
    <row r="17" spans="1:4" x14ac:dyDescent="0.3">
      <c r="A17" s="58" t="s">
        <v>161</v>
      </c>
      <c r="B17" s="58" t="s">
        <v>61</v>
      </c>
      <c r="C17" s="58" t="s">
        <v>91</v>
      </c>
      <c r="D17" s="58" t="s">
        <v>208</v>
      </c>
    </row>
    <row r="18" spans="1:4" x14ac:dyDescent="0.3">
      <c r="A18" s="58" t="s">
        <v>160</v>
      </c>
      <c r="B18" s="58">
        <v>334</v>
      </c>
      <c r="C18" s="58">
        <v>334</v>
      </c>
      <c r="D18" s="58"/>
    </row>
    <row r="19" spans="1:4" x14ac:dyDescent="0.3">
      <c r="A19" s="58" t="s">
        <v>159</v>
      </c>
      <c r="B19" s="58">
        <v>50</v>
      </c>
      <c r="C19" s="58">
        <v>50</v>
      </c>
      <c r="D19" s="58"/>
    </row>
    <row r="20" spans="1:4" x14ac:dyDescent="0.3">
      <c r="A20" s="58" t="s">
        <v>158</v>
      </c>
      <c r="B20" s="58">
        <v>143</v>
      </c>
      <c r="C20" s="58">
        <v>143</v>
      </c>
      <c r="D20" s="58"/>
    </row>
    <row r="21" spans="1:4" x14ac:dyDescent="0.3">
      <c r="A21" s="58" t="s">
        <v>251</v>
      </c>
      <c r="B21" s="58">
        <v>782</v>
      </c>
      <c r="C21" s="58">
        <v>782</v>
      </c>
      <c r="D21" s="58"/>
    </row>
    <row r="22" spans="1:4" x14ac:dyDescent="0.3">
      <c r="A22" s="58" t="s">
        <v>252</v>
      </c>
      <c r="B22" s="67">
        <v>1070</v>
      </c>
      <c r="C22" s="67">
        <v>1070</v>
      </c>
      <c r="D22" s="58"/>
    </row>
    <row r="23" spans="1:4" x14ac:dyDescent="0.3">
      <c r="A23" s="58" t="s">
        <v>155</v>
      </c>
      <c r="B23" s="58">
        <v>1</v>
      </c>
      <c r="C23" s="58">
        <v>1</v>
      </c>
      <c r="D23" s="58"/>
    </row>
    <row r="24" spans="1:4" x14ac:dyDescent="0.3">
      <c r="A24" s="58" t="s">
        <v>60</v>
      </c>
      <c r="B24" s="58">
        <v>111</v>
      </c>
      <c r="C24" s="67">
        <v>1289</v>
      </c>
      <c r="D24" s="58"/>
    </row>
    <row r="25" spans="1:4" x14ac:dyDescent="0.3">
      <c r="A25" s="58" t="s">
        <v>154</v>
      </c>
      <c r="B25" s="67">
        <v>5180</v>
      </c>
      <c r="C25" s="67">
        <v>4822</v>
      </c>
      <c r="D25" s="58"/>
    </row>
    <row r="26" spans="1:4" x14ac:dyDescent="0.3">
      <c r="A26" s="143" t="s">
        <v>42</v>
      </c>
      <c r="B26" s="143">
        <f>SUM(B18:B25)</f>
        <v>7671</v>
      </c>
      <c r="C26" s="66">
        <f>SUM(C18:C25)</f>
        <v>8491</v>
      </c>
      <c r="D26" s="58"/>
    </row>
    <row r="27" spans="1:4" x14ac:dyDescent="0.3">
      <c r="A27" s="121" t="s">
        <v>235</v>
      </c>
      <c r="B27" s="121"/>
      <c r="C27" s="121"/>
      <c r="D27" s="121"/>
    </row>
  </sheetData>
  <mergeCells count="6">
    <mergeCell ref="H1:J1"/>
    <mergeCell ref="H14:J14"/>
    <mergeCell ref="A27:D27"/>
    <mergeCell ref="A1:C1"/>
    <mergeCell ref="A14:C14"/>
    <mergeCell ref="A16:D16"/>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89F30-FA31-42C7-BCE4-F3046CBD86EA}">
  <sheetPr>
    <tabColor theme="0"/>
  </sheetPr>
  <dimension ref="A1:H35"/>
  <sheetViews>
    <sheetView showGridLines="0" workbookViewId="0">
      <selection activeCell="A33" sqref="A33"/>
    </sheetView>
  </sheetViews>
  <sheetFormatPr baseColWidth="10" defaultColWidth="8.88671875" defaultRowHeight="14.4" x14ac:dyDescent="0.3"/>
  <cols>
    <col min="1" max="1" width="96.5546875" style="16" bestFit="1" customWidth="1"/>
    <col min="2" max="2" width="16.44140625" style="16" bestFit="1" customWidth="1"/>
    <col min="3" max="6" width="8.88671875" style="16"/>
    <col min="7" max="7" width="73.33203125" style="16" customWidth="1"/>
    <col min="8" max="8" width="26" style="16" customWidth="1"/>
    <col min="9" max="16384" width="8.88671875" style="16"/>
  </cols>
  <sheetData>
    <row r="1" spans="1:8" ht="15.6" x14ac:dyDescent="0.3">
      <c r="A1" s="135" t="s">
        <v>176</v>
      </c>
      <c r="B1" s="135"/>
      <c r="G1" s="135" t="s">
        <v>176</v>
      </c>
      <c r="H1" s="135"/>
    </row>
    <row r="2" spans="1:8" ht="15.6" x14ac:dyDescent="0.3">
      <c r="A2" s="85"/>
      <c r="B2" s="85"/>
      <c r="G2" s="85"/>
      <c r="H2" s="85"/>
    </row>
    <row r="3" spans="1:8" x14ac:dyDescent="0.3">
      <c r="A3" s="94" t="s">
        <v>175</v>
      </c>
      <c r="B3" s="94" t="s">
        <v>91</v>
      </c>
      <c r="G3" s="94" t="s">
        <v>175</v>
      </c>
      <c r="H3" s="94" t="s">
        <v>91</v>
      </c>
    </row>
    <row r="4" spans="1:8" x14ac:dyDescent="0.3">
      <c r="A4" s="87" t="s">
        <v>174</v>
      </c>
      <c r="B4" s="95">
        <v>11380</v>
      </c>
      <c r="G4" s="87" t="s">
        <v>174</v>
      </c>
      <c r="H4" s="95">
        <v>11406</v>
      </c>
    </row>
    <row r="5" spans="1:8" x14ac:dyDescent="0.3">
      <c r="A5" s="87" t="s">
        <v>173</v>
      </c>
      <c r="B5" s="95">
        <v>2197</v>
      </c>
      <c r="G5" s="87" t="s">
        <v>173</v>
      </c>
      <c r="H5" s="95">
        <v>2002</v>
      </c>
    </row>
    <row r="6" spans="1:8" x14ac:dyDescent="0.3">
      <c r="A6" s="87" t="s">
        <v>172</v>
      </c>
      <c r="B6" s="95">
        <v>3011</v>
      </c>
      <c r="G6" s="87" t="s">
        <v>172</v>
      </c>
      <c r="H6" s="95">
        <v>1299</v>
      </c>
    </row>
    <row r="7" spans="1:8" x14ac:dyDescent="0.3">
      <c r="A7" s="87" t="s">
        <v>171</v>
      </c>
      <c r="B7" s="95">
        <v>3509</v>
      </c>
      <c r="G7" s="90" t="s">
        <v>298</v>
      </c>
      <c r="H7" s="95">
        <v>3538</v>
      </c>
    </row>
    <row r="8" spans="1:8" x14ac:dyDescent="0.3">
      <c r="A8" s="87" t="s">
        <v>170</v>
      </c>
      <c r="B8" s="95">
        <v>90810</v>
      </c>
      <c r="G8" s="87" t="s">
        <v>170</v>
      </c>
      <c r="H8" s="95">
        <v>69940</v>
      </c>
    </row>
    <row r="9" spans="1:8" x14ac:dyDescent="0.3">
      <c r="A9" s="87" t="s">
        <v>169</v>
      </c>
      <c r="B9" s="95">
        <v>43645</v>
      </c>
      <c r="G9" s="87" t="s">
        <v>169</v>
      </c>
      <c r="H9" s="95">
        <v>41500</v>
      </c>
    </row>
    <row r="10" spans="1:8" x14ac:dyDescent="0.3">
      <c r="A10" s="87" t="s">
        <v>168</v>
      </c>
      <c r="B10" s="95">
        <v>6233</v>
      </c>
      <c r="G10" s="87" t="s">
        <v>168</v>
      </c>
      <c r="H10" s="95">
        <v>1285</v>
      </c>
    </row>
    <row r="11" spans="1:8" x14ac:dyDescent="0.3">
      <c r="A11" s="87" t="s">
        <v>167</v>
      </c>
      <c r="B11" s="87">
        <v>642</v>
      </c>
      <c r="G11" s="87" t="s">
        <v>167</v>
      </c>
      <c r="H11" s="87">
        <v>635</v>
      </c>
    </row>
    <row r="12" spans="1:8" x14ac:dyDescent="0.3">
      <c r="A12" s="87" t="s">
        <v>166</v>
      </c>
      <c r="B12" s="87">
        <v>345</v>
      </c>
      <c r="G12" s="87" t="s">
        <v>166</v>
      </c>
      <c r="H12" s="87">
        <v>273</v>
      </c>
    </row>
    <row r="13" spans="1:8" x14ac:dyDescent="0.3">
      <c r="A13" s="87" t="s">
        <v>165</v>
      </c>
      <c r="B13" s="87">
        <v>749</v>
      </c>
      <c r="G13" s="87" t="s">
        <v>165</v>
      </c>
      <c r="H13" s="87">
        <v>768</v>
      </c>
    </row>
    <row r="14" spans="1:8" x14ac:dyDescent="0.3">
      <c r="A14" s="96" t="s">
        <v>42</v>
      </c>
      <c r="B14" s="97">
        <v>162521</v>
      </c>
      <c r="G14" s="96" t="s">
        <v>42</v>
      </c>
      <c r="H14" s="97">
        <f>SUM(H4:H13)</f>
        <v>132646</v>
      </c>
    </row>
    <row r="15" spans="1:8" x14ac:dyDescent="0.3">
      <c r="A15" s="33"/>
      <c r="B15" s="18"/>
      <c r="G15" s="33"/>
      <c r="H15" s="18"/>
    </row>
    <row r="16" spans="1:8" s="17" customFormat="1" ht="12" x14ac:dyDescent="0.25">
      <c r="A16" s="17" t="s">
        <v>164</v>
      </c>
      <c r="B16" s="37"/>
      <c r="G16" s="17" t="s">
        <v>164</v>
      </c>
      <c r="H16" s="37"/>
    </row>
    <row r="17" spans="1:8" s="17" customFormat="1" ht="12" x14ac:dyDescent="0.25">
      <c r="A17" s="17" t="s">
        <v>163</v>
      </c>
      <c r="B17" s="37"/>
      <c r="G17" s="17" t="s">
        <v>299</v>
      </c>
      <c r="H17" s="37"/>
    </row>
    <row r="18" spans="1:8" s="17" customFormat="1" ht="14.4" customHeight="1" x14ac:dyDescent="0.25">
      <c r="A18" s="17" t="s">
        <v>162</v>
      </c>
      <c r="B18" s="41"/>
      <c r="G18" s="17" t="s">
        <v>300</v>
      </c>
      <c r="H18" s="41"/>
    </row>
    <row r="19" spans="1:8" s="17" customFormat="1" ht="12" x14ac:dyDescent="0.25">
      <c r="A19" s="129" t="s">
        <v>147</v>
      </c>
      <c r="B19" s="129"/>
      <c r="G19" s="129" t="s">
        <v>293</v>
      </c>
      <c r="H19" s="129"/>
    </row>
    <row r="21" spans="1:8" ht="15.6" x14ac:dyDescent="0.3">
      <c r="A21" s="84" t="s">
        <v>312</v>
      </c>
      <c r="B21" s="65"/>
    </row>
    <row r="22" spans="1:8" x14ac:dyDescent="0.3">
      <c r="A22" s="58" t="s">
        <v>175</v>
      </c>
      <c r="B22" s="58" t="s">
        <v>91</v>
      </c>
    </row>
    <row r="23" spans="1:8" x14ac:dyDescent="0.3">
      <c r="A23" s="58" t="s">
        <v>239</v>
      </c>
      <c r="B23" s="67">
        <v>11385</v>
      </c>
    </row>
    <row r="24" spans="1:8" x14ac:dyDescent="0.3">
      <c r="A24" s="58" t="s">
        <v>240</v>
      </c>
      <c r="B24" s="67">
        <v>2235</v>
      </c>
    </row>
    <row r="25" spans="1:8" x14ac:dyDescent="0.3">
      <c r="A25" s="58" t="s">
        <v>241</v>
      </c>
      <c r="B25" s="67">
        <v>2027</v>
      </c>
    </row>
    <row r="26" spans="1:8" x14ac:dyDescent="0.3">
      <c r="A26" s="58" t="s">
        <v>242</v>
      </c>
      <c r="B26" s="67">
        <v>6346</v>
      </c>
    </row>
    <row r="27" spans="1:8" x14ac:dyDescent="0.3">
      <c r="A27" s="58" t="s">
        <v>243</v>
      </c>
      <c r="B27" s="67">
        <v>102079</v>
      </c>
    </row>
    <row r="28" spans="1:8" x14ac:dyDescent="0.3">
      <c r="A28" s="58" t="s">
        <v>244</v>
      </c>
      <c r="B28" s="67">
        <v>43639</v>
      </c>
    </row>
    <row r="29" spans="1:8" x14ac:dyDescent="0.3">
      <c r="A29" s="58" t="s">
        <v>245</v>
      </c>
      <c r="B29" s="67">
        <v>1013</v>
      </c>
    </row>
    <row r="30" spans="1:8" x14ac:dyDescent="0.3">
      <c r="A30" s="58" t="s">
        <v>246</v>
      </c>
      <c r="B30" s="58">
        <v>692</v>
      </c>
    </row>
    <row r="31" spans="1:8" x14ac:dyDescent="0.3">
      <c r="A31" s="58" t="s">
        <v>247</v>
      </c>
      <c r="B31" s="58">
        <v>310</v>
      </c>
    </row>
    <row r="32" spans="1:8" x14ac:dyDescent="0.3">
      <c r="A32" s="58" t="s">
        <v>248</v>
      </c>
      <c r="B32" s="58">
        <v>732</v>
      </c>
    </row>
    <row r="33" spans="1:2" x14ac:dyDescent="0.3">
      <c r="A33" s="58" t="s">
        <v>234</v>
      </c>
      <c r="B33" s="67">
        <v>170458</v>
      </c>
    </row>
    <row r="34" spans="1:2" x14ac:dyDescent="0.3">
      <c r="A34" s="58" t="s">
        <v>235</v>
      </c>
      <c r="B34" s="58"/>
    </row>
    <row r="35" spans="1:2" x14ac:dyDescent="0.3">
      <c r="A35" s="58" t="s">
        <v>249</v>
      </c>
      <c r="B35" s="58"/>
    </row>
  </sheetData>
  <mergeCells count="4">
    <mergeCell ref="A19:B19"/>
    <mergeCell ref="A1:B1"/>
    <mergeCell ref="G1:H1"/>
    <mergeCell ref="G19:H19"/>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8F80-E458-4F3F-B7CD-6C53DC4B37BA}">
  <sheetPr>
    <tabColor theme="0"/>
  </sheetPr>
  <dimension ref="A1:K31"/>
  <sheetViews>
    <sheetView showGridLines="0" workbookViewId="0">
      <selection activeCell="E14" sqref="E14"/>
    </sheetView>
  </sheetViews>
  <sheetFormatPr baseColWidth="10" defaultColWidth="8.88671875" defaultRowHeight="14.4" x14ac:dyDescent="0.3"/>
  <cols>
    <col min="1" max="1" width="81.44140625" style="16" bestFit="1" customWidth="1"/>
    <col min="2" max="2" width="21.109375" style="16" bestFit="1" customWidth="1"/>
    <col min="3" max="3" width="22.44140625" style="16" bestFit="1" customWidth="1"/>
    <col min="4" max="4" width="18.5546875" style="16" bestFit="1" customWidth="1"/>
    <col min="5" max="7" width="8.88671875" style="16"/>
    <col min="8" max="8" width="65.44140625" style="16" customWidth="1"/>
    <col min="9" max="9" width="12.109375" style="16" customWidth="1"/>
    <col min="10" max="10" width="12.5546875" style="16" customWidth="1"/>
    <col min="11" max="11" width="13.109375" style="16" customWidth="1"/>
    <col min="12" max="16384" width="8.88671875" style="16"/>
  </cols>
  <sheetData>
    <row r="1" spans="1:11" ht="15.6" x14ac:dyDescent="0.3">
      <c r="A1" s="135" t="s">
        <v>41</v>
      </c>
      <c r="B1" s="135"/>
      <c r="C1" s="135"/>
      <c r="D1" s="135"/>
      <c r="H1" s="135" t="s">
        <v>304</v>
      </c>
      <c r="I1" s="135"/>
      <c r="J1" s="135"/>
      <c r="K1" s="135"/>
    </row>
    <row r="2" spans="1:11" x14ac:dyDescent="0.3">
      <c r="A2" s="136"/>
      <c r="B2" s="136"/>
      <c r="C2" s="136"/>
      <c r="D2" s="136"/>
      <c r="H2" s="136"/>
      <c r="I2" s="136"/>
      <c r="J2" s="136"/>
      <c r="K2" s="136"/>
    </row>
    <row r="3" spans="1:11" ht="15.6" x14ac:dyDescent="0.3">
      <c r="A3" s="137" t="s">
        <v>185</v>
      </c>
      <c r="B3" s="138" t="s">
        <v>44</v>
      </c>
      <c r="C3" s="138"/>
      <c r="D3" s="138"/>
      <c r="H3" s="137" t="s">
        <v>185</v>
      </c>
      <c r="I3" s="138" t="s">
        <v>44</v>
      </c>
      <c r="J3" s="138"/>
      <c r="K3" s="138"/>
    </row>
    <row r="4" spans="1:11" customFormat="1" x14ac:dyDescent="0.3">
      <c r="A4" s="137"/>
      <c r="B4" s="86" t="s">
        <v>184</v>
      </c>
      <c r="C4" s="86" t="s">
        <v>183</v>
      </c>
      <c r="D4" s="86" t="s">
        <v>42</v>
      </c>
      <c r="H4" s="137"/>
      <c r="I4" s="86" t="s">
        <v>184</v>
      </c>
      <c r="J4" s="86" t="s">
        <v>183</v>
      </c>
      <c r="K4" s="86" t="s">
        <v>42</v>
      </c>
    </row>
    <row r="5" spans="1:11" customFormat="1" x14ac:dyDescent="0.3">
      <c r="A5" s="87" t="s">
        <v>178</v>
      </c>
      <c r="B5" s="88">
        <v>0</v>
      </c>
      <c r="C5" s="89">
        <v>1383085</v>
      </c>
      <c r="D5" s="89">
        <v>1383085</v>
      </c>
      <c r="H5" s="87" t="s">
        <v>178</v>
      </c>
      <c r="I5" s="88">
        <v>0</v>
      </c>
      <c r="J5" s="89">
        <v>1225323</v>
      </c>
      <c r="K5" s="89">
        <v>1225323</v>
      </c>
    </row>
    <row r="6" spans="1:11" customFormat="1" x14ac:dyDescent="0.3">
      <c r="A6" s="87" t="s">
        <v>182</v>
      </c>
      <c r="B6" s="88">
        <v>0</v>
      </c>
      <c r="C6" s="89">
        <v>1899999</v>
      </c>
      <c r="D6" s="89">
        <v>1899999</v>
      </c>
      <c r="H6" s="90" t="s">
        <v>302</v>
      </c>
      <c r="I6" s="89">
        <v>220000</v>
      </c>
      <c r="J6" s="89">
        <v>600000</v>
      </c>
      <c r="K6" s="89">
        <v>820000</v>
      </c>
    </row>
    <row r="7" spans="1:11" customFormat="1" x14ac:dyDescent="0.3">
      <c r="A7" s="87" t="s">
        <v>181</v>
      </c>
      <c r="B7" s="89">
        <v>1000000</v>
      </c>
      <c r="C7" s="89">
        <v>847472</v>
      </c>
      <c r="D7" s="89">
        <v>1847472</v>
      </c>
      <c r="H7" s="87" t="s">
        <v>181</v>
      </c>
      <c r="I7" s="89">
        <v>818182</v>
      </c>
      <c r="J7" s="89">
        <v>1000000</v>
      </c>
      <c r="K7" s="89">
        <v>1818182</v>
      </c>
    </row>
    <row r="8" spans="1:11" customFormat="1" x14ac:dyDescent="0.3">
      <c r="A8" s="87" t="s">
        <v>180</v>
      </c>
      <c r="B8" s="89">
        <v>1049460</v>
      </c>
      <c r="C8" s="89">
        <v>1000000</v>
      </c>
      <c r="D8" s="89">
        <v>2049460</v>
      </c>
      <c r="H8" s="87" t="s">
        <v>180</v>
      </c>
      <c r="I8" s="89">
        <v>831472</v>
      </c>
      <c r="J8" s="89">
        <v>1000000</v>
      </c>
      <c r="K8" s="89">
        <v>1831472</v>
      </c>
    </row>
    <row r="9" spans="1:11" customFormat="1" x14ac:dyDescent="0.3">
      <c r="A9" s="87" t="s">
        <v>177</v>
      </c>
      <c r="B9" s="89">
        <v>310000</v>
      </c>
      <c r="C9" s="88">
        <v>0</v>
      </c>
      <c r="D9" s="89">
        <v>310000</v>
      </c>
      <c r="H9" s="87" t="s">
        <v>177</v>
      </c>
      <c r="I9" s="89">
        <v>535401</v>
      </c>
      <c r="J9" s="88">
        <v>0</v>
      </c>
      <c r="K9" s="89">
        <v>535401</v>
      </c>
    </row>
    <row r="10" spans="1:11" customFormat="1" ht="28.8" x14ac:dyDescent="0.3">
      <c r="A10" s="87"/>
      <c r="B10" s="89"/>
      <c r="C10" s="88"/>
      <c r="D10" s="89"/>
      <c r="H10" s="91" t="s">
        <v>303</v>
      </c>
      <c r="I10" s="89">
        <v>1200000</v>
      </c>
      <c r="J10" s="89">
        <v>1200000</v>
      </c>
      <c r="K10" s="89">
        <v>2400000</v>
      </c>
    </row>
    <row r="11" spans="1:11" customFormat="1" x14ac:dyDescent="0.3">
      <c r="A11" s="92" t="s">
        <v>42</v>
      </c>
      <c r="B11" s="93">
        <v>2359460</v>
      </c>
      <c r="C11" s="93">
        <v>5130556</v>
      </c>
      <c r="D11" s="93">
        <v>7490016</v>
      </c>
      <c r="H11" s="92" t="s">
        <v>42</v>
      </c>
      <c r="I11" s="93">
        <f>SUM(I5:I10)</f>
        <v>3605055</v>
      </c>
      <c r="J11" s="93">
        <v>5130556</v>
      </c>
      <c r="K11" s="93">
        <f>SUM(K5:K10)</f>
        <v>8630378</v>
      </c>
    </row>
    <row r="12" spans="1:11" customFormat="1" x14ac:dyDescent="0.3">
      <c r="A12" s="16"/>
      <c r="B12" s="7"/>
      <c r="D12" s="7"/>
      <c r="H12" s="17" t="s">
        <v>305</v>
      </c>
      <c r="I12" s="7"/>
      <c r="K12" s="7"/>
    </row>
    <row r="13" spans="1:11" customFormat="1" ht="48.6" x14ac:dyDescent="0.3">
      <c r="A13" s="41" t="s">
        <v>191</v>
      </c>
      <c r="B13" s="17"/>
      <c r="C13" s="17"/>
      <c r="D13" s="17"/>
      <c r="H13" s="76"/>
      <c r="I13" s="17"/>
      <c r="J13" s="17"/>
      <c r="K13" s="17"/>
    </row>
    <row r="14" spans="1:11" customFormat="1" x14ac:dyDescent="0.3">
      <c r="A14" s="17" t="s">
        <v>179</v>
      </c>
      <c r="B14" s="18"/>
      <c r="C14" s="16"/>
      <c r="D14" s="18"/>
      <c r="H14" s="16"/>
      <c r="I14" s="18"/>
      <c r="J14" s="16"/>
      <c r="K14" s="18"/>
    </row>
    <row r="15" spans="1:11" customFormat="1" x14ac:dyDescent="0.3">
      <c r="A15" s="140"/>
      <c r="B15" s="140"/>
      <c r="C15" s="140"/>
      <c r="D15" s="140"/>
    </row>
    <row r="16" spans="1:11" customFormat="1" x14ac:dyDescent="0.3"/>
    <row r="17" spans="1:5" customFormat="1" x14ac:dyDescent="0.3"/>
    <row r="18" spans="1:5" ht="15.6" x14ac:dyDescent="0.3">
      <c r="A18" s="134" t="s">
        <v>219</v>
      </c>
      <c r="B18" s="139"/>
      <c r="C18" s="139"/>
      <c r="D18" s="139"/>
      <c r="E18" s="139"/>
    </row>
    <row r="19" spans="1:5" ht="15.6" x14ac:dyDescent="0.3">
      <c r="A19" s="137" t="s">
        <v>185</v>
      </c>
      <c r="B19" s="138" t="s">
        <v>44</v>
      </c>
      <c r="C19" s="138"/>
      <c r="D19" s="138"/>
      <c r="E19" s="82"/>
    </row>
    <row r="20" spans="1:5" x14ac:dyDescent="0.3">
      <c r="A20" s="137"/>
      <c r="B20" s="86" t="s">
        <v>184</v>
      </c>
      <c r="C20" s="86" t="s">
        <v>183</v>
      </c>
      <c r="D20" s="86" t="s">
        <v>42</v>
      </c>
      <c r="E20" s="58" t="s">
        <v>208</v>
      </c>
    </row>
    <row r="21" spans="1:5" x14ac:dyDescent="0.3">
      <c r="A21" s="58" t="s">
        <v>178</v>
      </c>
      <c r="B21" s="58">
        <v>0</v>
      </c>
      <c r="C21" s="62">
        <v>1893636.67</v>
      </c>
      <c r="D21" s="62">
        <v>1893636.67</v>
      </c>
      <c r="E21" s="58"/>
    </row>
    <row r="22" spans="1:5" x14ac:dyDescent="0.3">
      <c r="A22" s="58" t="s">
        <v>182</v>
      </c>
      <c r="B22" s="58">
        <v>0</v>
      </c>
      <c r="C22" s="62">
        <v>2000000</v>
      </c>
      <c r="D22" s="62">
        <v>2000000</v>
      </c>
      <c r="E22" s="58"/>
    </row>
    <row r="23" spans="1:5" x14ac:dyDescent="0.3">
      <c r="A23" s="58" t="s">
        <v>181</v>
      </c>
      <c r="B23" s="62">
        <v>903349.94</v>
      </c>
      <c r="C23" s="62">
        <v>1000000</v>
      </c>
      <c r="D23" s="62">
        <v>1903349.94</v>
      </c>
      <c r="E23" s="58"/>
    </row>
    <row r="24" spans="1:5" x14ac:dyDescent="0.3">
      <c r="A24" s="58" t="s">
        <v>180</v>
      </c>
      <c r="B24" s="62">
        <v>845318.53</v>
      </c>
      <c r="C24" s="62">
        <v>1000000</v>
      </c>
      <c r="D24" s="62">
        <v>1845318.53</v>
      </c>
      <c r="E24" s="58"/>
    </row>
    <row r="25" spans="1:5" x14ac:dyDescent="0.3">
      <c r="A25" s="58" t="s">
        <v>215</v>
      </c>
      <c r="B25" s="62">
        <v>1200000</v>
      </c>
      <c r="C25" s="58">
        <v>0</v>
      </c>
      <c r="D25" s="62">
        <v>1200000</v>
      </c>
      <c r="E25" s="58"/>
    </row>
    <row r="26" spans="1:5" x14ac:dyDescent="0.3">
      <c r="A26" s="58" t="s">
        <v>177</v>
      </c>
      <c r="B26" s="62">
        <v>249000.4</v>
      </c>
      <c r="C26" s="58">
        <v>0</v>
      </c>
      <c r="D26" s="62">
        <v>249000.4</v>
      </c>
      <c r="E26" s="58"/>
    </row>
    <row r="27" spans="1:5" x14ac:dyDescent="0.3">
      <c r="A27" s="58" t="s">
        <v>216</v>
      </c>
      <c r="B27" s="62">
        <v>160000</v>
      </c>
      <c r="C27" s="58">
        <v>0</v>
      </c>
      <c r="D27" s="62">
        <v>160000</v>
      </c>
      <c r="E27" s="58"/>
    </row>
    <row r="28" spans="1:5" x14ac:dyDescent="0.3">
      <c r="A28" s="58" t="s">
        <v>217</v>
      </c>
      <c r="B28" s="62">
        <v>150000</v>
      </c>
      <c r="C28" s="58">
        <v>0</v>
      </c>
      <c r="D28" s="62">
        <v>150000</v>
      </c>
      <c r="E28" s="58"/>
    </row>
    <row r="29" spans="1:5" x14ac:dyDescent="0.3">
      <c r="A29" s="142" t="s">
        <v>42</v>
      </c>
      <c r="B29" s="142">
        <f>SUM(B21:B28)</f>
        <v>3507668.8699999996</v>
      </c>
      <c r="C29" s="144">
        <f>SUM(C21:C28)</f>
        <v>5893636.6699999999</v>
      </c>
      <c r="D29" s="62">
        <f>SUM(D21:D28)</f>
        <v>9401305.540000001</v>
      </c>
      <c r="E29" s="58"/>
    </row>
    <row r="30" spans="1:5" x14ac:dyDescent="0.3">
      <c r="A30" s="121" t="s">
        <v>179</v>
      </c>
      <c r="B30" s="121"/>
      <c r="C30" s="121"/>
      <c r="D30" s="121"/>
      <c r="E30" s="121"/>
    </row>
    <row r="31" spans="1:5" x14ac:dyDescent="0.3">
      <c r="A31" s="121" t="s">
        <v>218</v>
      </c>
      <c r="B31" s="121"/>
      <c r="C31" s="121"/>
      <c r="D31" s="121"/>
      <c r="E31" s="121"/>
    </row>
  </sheetData>
  <mergeCells count="14">
    <mergeCell ref="B19:D19"/>
    <mergeCell ref="H1:K1"/>
    <mergeCell ref="H2:K2"/>
    <mergeCell ref="H3:H4"/>
    <mergeCell ref="I3:K3"/>
    <mergeCell ref="A31:E31"/>
    <mergeCell ref="A18:E18"/>
    <mergeCell ref="A30:E30"/>
    <mergeCell ref="A3:A4"/>
    <mergeCell ref="B3:D3"/>
    <mergeCell ref="A15:D15"/>
    <mergeCell ref="A2:D2"/>
    <mergeCell ref="A1:D1"/>
    <mergeCell ref="A19:A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INDICE</vt:lpstr>
      <vt:lpstr>M3-045</vt:lpstr>
      <vt:lpstr>M3-058</vt:lpstr>
      <vt:lpstr>M3-065</vt:lpstr>
      <vt:lpstr>M3-068</vt:lpstr>
      <vt:lpstr>M3-073</vt:lpstr>
      <vt:lpstr>M3-077</vt:lpstr>
      <vt:lpstr>M3-078</vt:lpstr>
      <vt:lpstr>M3-086</vt:lpstr>
      <vt:lpstr>M3-089</vt:lpstr>
      <vt:lpstr>M3-095</vt:lpstr>
      <vt:lpstr>M3-100</vt:lpstr>
      <vt:lpstr>M3-104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Ganzo Romero</dc:creator>
  <cp:lastModifiedBy>felipe caudillo</cp:lastModifiedBy>
  <cp:lastPrinted>2026-04-21T15:11:43Z</cp:lastPrinted>
  <dcterms:created xsi:type="dcterms:W3CDTF">2025-05-15T16:17:24Z</dcterms:created>
  <dcterms:modified xsi:type="dcterms:W3CDTF">2026-06-23T00:37:58Z</dcterms:modified>
</cp:coreProperties>
</file>
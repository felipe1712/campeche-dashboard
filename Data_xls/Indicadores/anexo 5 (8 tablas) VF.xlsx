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Campeche\Data_xls\Indicadores\"/>
    </mc:Choice>
  </mc:AlternateContent>
  <xr:revisionPtr revIDLastSave="0" documentId="13_ncr:1_{903E1007-CFFF-4B2B-9ABC-E395864AAE61}" xr6:coauthVersionLast="47" xr6:coauthVersionMax="47" xr10:uidLastSave="{00000000-0000-0000-0000-000000000000}"/>
  <bookViews>
    <workbookView xWindow="20640" yWindow="0" windowWidth="20640" windowHeight="16680" tabRatio="842" activeTab="6" xr2:uid="{00000000-000D-0000-FFFF-FFFF00000000}"/>
  </bookViews>
  <sheets>
    <sheet name="índice" sheetId="27" r:id="rId1"/>
    <sheet name="M5-006" sheetId="19" state="hidden" r:id="rId2"/>
    <sheet name="M5-007" sheetId="23" r:id="rId3"/>
    <sheet name="M5-009" sheetId="21" r:id="rId4"/>
    <sheet name="M5-010" sheetId="22" state="hidden" r:id="rId5"/>
    <sheet name="M5-012" sheetId="12" r:id="rId6"/>
    <sheet name="M5-015" sheetId="20" r:id="rId7"/>
    <sheet name="M5-017" sheetId="5" r:id="rId8"/>
    <sheet name="M5-020" sheetId="8" r:id="rId9"/>
    <sheet name="M5-023" sheetId="2" r:id="rId10"/>
    <sheet name="M5-024" sheetId="24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0" l="1"/>
  <c r="E44" i="20"/>
  <c r="F44" i="20"/>
  <c r="G44" i="20"/>
  <c r="H44" i="20"/>
  <c r="C44" i="20"/>
  <c r="D19" i="20"/>
  <c r="E19" i="20"/>
  <c r="F19" i="20"/>
  <c r="G19" i="20"/>
  <c r="H19" i="20"/>
  <c r="C19" i="20"/>
  <c r="U19" i="20"/>
  <c r="V19" i="20"/>
  <c r="W19" i="20"/>
  <c r="X19" i="20"/>
  <c r="Y19" i="20"/>
  <c r="Z19" i="20"/>
  <c r="AA19" i="20"/>
  <c r="T19" i="20"/>
  <c r="S19" i="20"/>
  <c r="N49" i="21"/>
  <c r="M49" i="21"/>
  <c r="L49" i="21"/>
  <c r="G57" i="12"/>
  <c r="F57" i="12"/>
  <c r="E57" i="12"/>
  <c r="D57" i="12"/>
  <c r="C57" i="12"/>
  <c r="B57" i="12"/>
  <c r="D20" i="24"/>
  <c r="B25" i="2"/>
</calcChain>
</file>

<file path=xl/sharedStrings.xml><?xml version="1.0" encoding="utf-8"?>
<sst xmlns="http://schemas.openxmlformats.org/spreadsheetml/2006/main" count="898" uniqueCount="428">
  <si>
    <t>Acciones de inspección y vigilancia en materia ambiental y/o bienestar animal, 2024.</t>
  </si>
  <si>
    <t>MATERIA AMBIENTAL Y/O BIENESTAR ANIMAL</t>
  </si>
  <si>
    <t>ACCIONES</t>
  </si>
  <si>
    <t>Protección y bienestar animal</t>
  </si>
  <si>
    <t>Residuos de manejo especial</t>
  </si>
  <si>
    <t>Impacto ambiental</t>
  </si>
  <si>
    <t>Aprovechamiento de Bancos de Material Pétreo</t>
  </si>
  <si>
    <t>Contaminación por Ruido</t>
  </si>
  <si>
    <t>TIPO</t>
  </si>
  <si>
    <t>CONCEPTO</t>
  </si>
  <si>
    <t>Áreas destinadas voluntariamente a la conservación en el Estado, 2024.</t>
  </si>
  <si>
    <t>ÁREAS DE CONSERVACIÓN</t>
  </si>
  <si>
    <t>SUPERFICIE (HA)</t>
  </si>
  <si>
    <t>FECHA DE DECRETO</t>
  </si>
  <si>
    <t>Federal (Comunitarias)</t>
  </si>
  <si>
    <t>N.C.P.E. Centauro del Norte</t>
  </si>
  <si>
    <t>N.C.P.E. Dos Lagunas</t>
  </si>
  <si>
    <t>Ejido Puebla de Morelia</t>
  </si>
  <si>
    <t>Ejido Kilómetro 120</t>
  </si>
  <si>
    <t>N.C.P.E. Santa Rosa</t>
  </si>
  <si>
    <t>Ejido Carlos A. Madrazo</t>
  </si>
  <si>
    <t>Ejido Ley de Fomento Agropecuario</t>
  </si>
  <si>
    <t>N.C.P.E. Lic. Manuel Crescencio Rejón</t>
  </si>
  <si>
    <t>N.C.P.E. Valentín Gómez Farías</t>
  </si>
  <si>
    <t>Ejido Nuevo Becal</t>
  </si>
  <si>
    <t>Área de Conservación Moku</t>
  </si>
  <si>
    <t>Katab</t>
  </si>
  <si>
    <t>13 de marzo de 2021</t>
  </si>
  <si>
    <t>Ich-Ek</t>
  </si>
  <si>
    <t>13 de abril de 2021</t>
  </si>
  <si>
    <t>Xcupilcacab</t>
  </si>
  <si>
    <t>Ramón Corona</t>
  </si>
  <si>
    <t>Rancho Xcalot Akal</t>
  </si>
  <si>
    <t>4 de abril de 2022</t>
  </si>
  <si>
    <t>San Juan Bautista Sahcabchén</t>
  </si>
  <si>
    <t>El Refugio</t>
  </si>
  <si>
    <t>1 de junio de 2022</t>
  </si>
  <si>
    <t>Ejido la Nueva Vida</t>
  </si>
  <si>
    <t>El Porvenir</t>
  </si>
  <si>
    <t>Ejido Gral. Heriberto Jara</t>
  </si>
  <si>
    <t>Xpujil</t>
  </si>
  <si>
    <t>Ejido El Chichonal</t>
  </si>
  <si>
    <t>Ing. Eugenio Echeverría Castellot no. 2</t>
  </si>
  <si>
    <t>Narciso Mendoza</t>
  </si>
  <si>
    <t>La Moza</t>
  </si>
  <si>
    <t>Ejido Lic. Benito Juárez no. 3</t>
  </si>
  <si>
    <t>Ejido Arellano</t>
  </si>
  <si>
    <t>Ejido Crucero de San Luis</t>
  </si>
  <si>
    <t>Ley Federal de Reforma Agraria</t>
  </si>
  <si>
    <t>Ejido Cinco de Febrero</t>
  </si>
  <si>
    <t>Ejido Pixoyal</t>
  </si>
  <si>
    <t>Federales (Privadas)</t>
  </si>
  <si>
    <t>Reserva Ecológica Kanan Balam</t>
  </si>
  <si>
    <t>06 de agosto de 2018</t>
  </si>
  <si>
    <t>Estación de Biología de San José del Este</t>
  </si>
  <si>
    <t>13 de septiembre de 2018</t>
  </si>
  <si>
    <t>El Fénix</t>
  </si>
  <si>
    <t>Calakmul</t>
  </si>
  <si>
    <t>MUNICIPIO</t>
  </si>
  <si>
    <t>Cobertura de la energía eléctrica, 2024.</t>
  </si>
  <si>
    <t>COBERTURA</t>
  </si>
  <si>
    <t>Estatal</t>
  </si>
  <si>
    <t>Nacional</t>
  </si>
  <si>
    <t>Tala ilegal</t>
  </si>
  <si>
    <t>Corte de arbolado urbano</t>
  </si>
  <si>
    <t>INVERSIÓN (PESOS)</t>
  </si>
  <si>
    <t>Infraestructura y fuentes de abastecimiento del sistema de agua potable por municipio, 2024.</t>
  </si>
  <si>
    <t>VOLÚMEN EXTRAIDO</t>
  </si>
  <si>
    <t>TOMAS INSTALADAS</t>
  </si>
  <si>
    <t>TANQUES</t>
  </si>
  <si>
    <t xml:space="preserve">Fuente: Gobierno del Estado de Campeche. Comisión de Agua Potable y Alcantarillado del Estado de Campeche. Unidad de Planeación. 2025. </t>
  </si>
  <si>
    <t>TOTAL</t>
  </si>
  <si>
    <t>Proyectos de infraestructura por rubro, 2024</t>
  </si>
  <si>
    <t>RUBRO</t>
  </si>
  <si>
    <t xml:space="preserve">PROYECTOS ELABORADOS </t>
  </si>
  <si>
    <t>PROYECTOS REALIZADOS</t>
  </si>
  <si>
    <t>Registro de anidación, Programa de Protección y Conservación de la Tortuga Marina por campamento según especie, 2024.</t>
  </si>
  <si>
    <t>ORGANIZACIÓN</t>
  </si>
  <si>
    <t>Isla Arena</t>
  </si>
  <si>
    <t>Fileteras Del Peten S.C.</t>
  </si>
  <si>
    <t>El Cuyo Petenes</t>
  </si>
  <si>
    <t>Grupo Guardianes Protectores</t>
  </si>
  <si>
    <t>San Lorenzo</t>
  </si>
  <si>
    <t>SEMABICCE</t>
  </si>
  <si>
    <t>Seybaplaya</t>
  </si>
  <si>
    <t>Yuumtsil Kaak Naab A.C.</t>
  </si>
  <si>
    <t>Yum Kaax-UAC-Santuario Playa Chenkan</t>
  </si>
  <si>
    <t>Sabancuy</t>
  </si>
  <si>
    <t>Universidad Autónoma de Carmen (UNACAR)</t>
  </si>
  <si>
    <t>Isla Aguada</t>
  </si>
  <si>
    <t>ANPFF Laguna de Términos</t>
  </si>
  <si>
    <t>Isla Del Carmen</t>
  </si>
  <si>
    <t>Groos Ecología A.C.</t>
  </si>
  <si>
    <t>Isla Matamoros</t>
  </si>
  <si>
    <t>Asociación Ecológica Laguna de Términos Delfines A.C.</t>
  </si>
  <si>
    <t>Chacahito-Xicalango y Victoria</t>
  </si>
  <si>
    <t>Grupo Tortuguero De La Laguna</t>
  </si>
  <si>
    <t>Playa Bonita</t>
  </si>
  <si>
    <t>Grupo Ambiental Pro Fauna A.C.</t>
  </si>
  <si>
    <t>Playa Artificial y Marina Country Club</t>
  </si>
  <si>
    <t>Inmobiliaria Supermex</t>
  </si>
  <si>
    <t>Playa Norte</t>
  </si>
  <si>
    <t>Proyecto Tortugas-Fcn Unacar</t>
  </si>
  <si>
    <t>Ensenada</t>
  </si>
  <si>
    <t>Xpicob A.C.</t>
  </si>
  <si>
    <t>Punta Xen</t>
  </si>
  <si>
    <t>Quelonios A.C</t>
  </si>
  <si>
    <t>Registro de los bienes patrimonio inventariado por municipio, 2024.</t>
  </si>
  <si>
    <t>INMUEBLE</t>
  </si>
  <si>
    <t>MUEBLE</t>
  </si>
  <si>
    <t>DOCUMENTAL</t>
  </si>
  <si>
    <t>INMATERIAL</t>
  </si>
  <si>
    <t>NATURAL</t>
  </si>
  <si>
    <t>ARQUEOLÓGICO</t>
  </si>
  <si>
    <t>Registro de los bienes patrimonio preinventariados por municipio. 2024.</t>
  </si>
  <si>
    <t>Resumen de inversión en proyectos y obra pública por concepto, Julio 2024 a junio 2025.</t>
  </si>
  <si>
    <t xml:space="preserve">Ordenamiento Territorial </t>
  </si>
  <si>
    <t>Obras Públicas para el desarrollo Integral y el Bienestar Social</t>
  </si>
  <si>
    <t>Edificios Administrativos</t>
  </si>
  <si>
    <t>Obras de servicios básicos para una mejor movilidad</t>
  </si>
  <si>
    <t>Pavimentación de calles d/</t>
  </si>
  <si>
    <t xml:space="preserve">Carreteras, caminos, puentes, transporte aéreo y otros </t>
  </si>
  <si>
    <t>Sanciones ambientales aplicadas por materia según tipo de sanción, 2024.</t>
  </si>
  <si>
    <t>MATERIA</t>
  </si>
  <si>
    <t>Residuos de Manejo Especial</t>
  </si>
  <si>
    <t xml:space="preserve">Protección y bienestar animal </t>
  </si>
  <si>
    <t>Aprovechamiento de bancos de material pétreo</t>
  </si>
  <si>
    <t>Dependencia</t>
  </si>
  <si>
    <t>CAPAE</t>
  </si>
  <si>
    <t xml:space="preserve">Procuraduría de Protección al Ambiente </t>
  </si>
  <si>
    <t>SEDUMOP</t>
  </si>
  <si>
    <t>APCEC</t>
  </si>
  <si>
    <t>Fuente: Gobierno del Estado de Campeche. Secretaría de Medio Ambiente, Biodiversidad, Cambio Climático y Energía. Procuraduría de Protección al Ambiente. 2025.</t>
  </si>
  <si>
    <t xml:space="preserve">Fuente: Comisión Nacional de Áreas Naturales Protegidas y Secretaría de Medio Ambiente, Biodiversidad, Cambio Climático y Energía de Campeche 2025. </t>
  </si>
  <si>
    <t>Campeche</t>
  </si>
  <si>
    <t>Candelaria</t>
  </si>
  <si>
    <t>Carmen</t>
  </si>
  <si>
    <t>Champotón</t>
  </si>
  <si>
    <t>Dzitbalché</t>
  </si>
  <si>
    <t>Escárcega</t>
  </si>
  <si>
    <t>Hecelchakán</t>
  </si>
  <si>
    <t>Hopelchén</t>
  </si>
  <si>
    <t>Palizada</t>
  </si>
  <si>
    <t>Tenabo</t>
  </si>
  <si>
    <t>ESTADO</t>
  </si>
  <si>
    <t>Fuente: Gobierno Federal. Comisión Federal de Electricidad. 2025.</t>
  </si>
  <si>
    <t>FUENTES DE ABASTECIMIENTO</t>
  </si>
  <si>
    <t>POZOS</t>
  </si>
  <si>
    <t>OTRAS</t>
  </si>
  <si>
    <t>Calkiní</t>
  </si>
  <si>
    <t>Infraestructura deportiva construcción</t>
  </si>
  <si>
    <t xml:space="preserve">Equipamiento urbano rehabilitación </t>
  </si>
  <si>
    <t xml:space="preserve">Infraestructura deportiva rehabilitación </t>
  </si>
  <si>
    <t xml:space="preserve">Equipamiento urbano ampliación </t>
  </si>
  <si>
    <t>Infraestructura deportiva ampliación</t>
  </si>
  <si>
    <r>
      <t>CAREY (E.</t>
    </r>
    <r>
      <rPr>
        <b/>
        <i/>
        <sz val="11"/>
        <color rgb="FF000000"/>
        <rFont val="Calibri"/>
        <family val="2"/>
        <scheme val="minor"/>
      </rPr>
      <t xml:space="preserve"> I.</t>
    </r>
    <r>
      <rPr>
        <b/>
        <sz val="11"/>
        <color rgb="FF000000"/>
        <rFont val="Calibri"/>
        <family val="2"/>
        <scheme val="minor"/>
      </rPr>
      <t>)</t>
    </r>
  </si>
  <si>
    <r>
      <t>BLANCA (</t>
    </r>
    <r>
      <rPr>
        <b/>
        <i/>
        <sz val="11"/>
        <color rgb="FF000000"/>
        <rFont val="Calibri"/>
        <family val="2"/>
        <scheme val="minor"/>
      </rPr>
      <t>C. M.</t>
    </r>
    <r>
      <rPr>
        <b/>
        <sz val="11"/>
        <color rgb="FF000000"/>
        <rFont val="Calibri"/>
        <family val="2"/>
        <scheme val="minor"/>
      </rPr>
      <t>)</t>
    </r>
  </si>
  <si>
    <t>NIDOS</t>
  </si>
  <si>
    <t>HUEVOS</t>
  </si>
  <si>
    <t>CRIAS</t>
  </si>
  <si>
    <t>Nota: La temporada de anidación corresponde del 1° de abril al 30 de octubre.</t>
  </si>
  <si>
    <t>Hopelchen</t>
  </si>
  <si>
    <t>Dzitbalche</t>
  </si>
  <si>
    <t>d/  En el resumen narrativo la pavimentación en calles 2024 con FOPET tendrá la palabra conclusión y se reportará el corte del 1 julio al 31 de diciembre de 2024.</t>
  </si>
  <si>
    <t>Fuente: Gobierno del Estado de Campeche. Secretaría de Desarrollo Urbano, Movilidad y Obras Públicas. Dirección General de Planeación. 2025</t>
  </si>
  <si>
    <t>TIPO DE SANCIÓN</t>
  </si>
  <si>
    <t>RECOMENDACIÓN</t>
  </si>
  <si>
    <t>AMONESTACIÓN</t>
  </si>
  <si>
    <t>ECONÓMICA</t>
  </si>
  <si>
    <t xml:space="preserve">Equipamiento urbano construcción </t>
  </si>
  <si>
    <t>Fuente: Gobierno del Estado de Campeche. Secretaría de Desarrollo Urbano, Movilidad y Obras Públicas. Subsecretaría de Proyectos. Dirección de Expedientes Técnicos Iniciales. 2025.</t>
  </si>
  <si>
    <t>Chenkán</t>
  </si>
  <si>
    <t>A partir del año 2012 entra en vigor la NOM-162-SEMARNAT-2012 por lo cual no se contabiliza el número de huevos.</t>
  </si>
  <si>
    <t>El campamento Tortuguero Ensenada Xpicob no laboró en la temporada 2024.</t>
  </si>
  <si>
    <t>CAMPAMENTO</t>
  </si>
  <si>
    <t>Fuente: Gobierno del Estado de Campeche. Secretaría de Medio Ambiente Biodiversidad Cambio Climático y Energía. Dirección de Conservación y Aprovechamiento de la Biodiversidad. 2025.</t>
  </si>
  <si>
    <t>Estrategia y PIMUS a/</t>
  </si>
  <si>
    <t>Infraestructura deportiva y recuperación de espacios a/</t>
  </si>
  <si>
    <t>a/ Incluye recurso Estatal.</t>
  </si>
  <si>
    <t>M5-007</t>
  </si>
  <si>
    <t>M5-009</t>
  </si>
  <si>
    <t>M5-012</t>
  </si>
  <si>
    <t>M5-015</t>
  </si>
  <si>
    <t>M5-017</t>
  </si>
  <si>
    <t>M5-020</t>
  </si>
  <si>
    <t>M5-023</t>
  </si>
  <si>
    <t>M5-024</t>
  </si>
  <si>
    <t>TEMA_indice</t>
  </si>
  <si>
    <t>1.2. OBRAS PÚBLICAS PARA EL DESARROLLO INTEGRAL Y EL BIENESTAR</t>
  </si>
  <si>
    <t>3.1. CONSERVACIÓN DE ECOSISTEMAS Y SUS ESPECIES</t>
  </si>
  <si>
    <t>4.1. SUMINISTRO Y CALIDAD EN EL SERVICIO ELÉCTRICO</t>
  </si>
  <si>
    <t>6.2. INSPECCIÓN Y VIGILANCIA AMBIENTAL</t>
  </si>
  <si>
    <t>RED DE DISTRIBUCIÓN</t>
  </si>
  <si>
    <t>Fuente: Gobierno del Estado de Campeche. Secretaría de Desarrollo Territorial, Urbano y Obras Públicas. Autoridad del Patrimonio Cultural del Estado de Campeche. 2025.</t>
  </si>
  <si>
    <t>Obras en convenio (SPSC,SEPROCI, FGECAM,SEGOB, )  b/</t>
  </si>
  <si>
    <t>Rehabilitación y construcción de canchas en diversas localidades b/</t>
  </si>
  <si>
    <t>Construcción y reconstrucción de diversos parques  c/</t>
  </si>
  <si>
    <t>Parque Campeche (convenio con PROMOTORA)  c/</t>
  </si>
  <si>
    <t>Paneles solares  a/</t>
  </si>
  <si>
    <t>Red eléctrica (convenio con SEMABICCE)  b/</t>
  </si>
  <si>
    <t>Semáforos  a/</t>
  </si>
  <si>
    <t>Carreteras  a/</t>
  </si>
  <si>
    <t>Caminos  b/</t>
  </si>
  <si>
    <t>Puentes b/</t>
  </si>
  <si>
    <t xml:space="preserve">b/ Incluye recurso Federal y Estatal. </t>
  </si>
  <si>
    <t>c/ Incluye recurso Federal.</t>
  </si>
  <si>
    <t>2023-2024</t>
  </si>
  <si>
    <t>2024-2025</t>
  </si>
  <si>
    <t>Total:1,638,117</t>
  </si>
  <si>
    <t>Total:1,638,604</t>
  </si>
  <si>
    <t>Nidos:4,513</t>
  </si>
  <si>
    <t>Nidos:4,459</t>
  </si>
  <si>
    <t>Total de acciones:203</t>
  </si>
  <si>
    <t>Total de acciones:288</t>
  </si>
  <si>
    <t>SEMAFORO</t>
  </si>
  <si>
    <t>Total: 176,106.77 superficie de HA</t>
  </si>
  <si>
    <t>Total:146,026.86  superficie de HA</t>
  </si>
  <si>
    <t>2025-2026</t>
  </si>
  <si>
    <t>Registro de anidación, Programa de Protección y Conservación de la Tortuga Marina por campamento según especie, 2025.</t>
  </si>
  <si>
    <t>Notas</t>
  </si>
  <si>
    <t>Grupo Tortuguero Kanan aak al</t>
  </si>
  <si>
    <t>Isla del Carmen</t>
  </si>
  <si>
    <t>Desarrollo Sustentable de Carmen</t>
  </si>
  <si>
    <t>Tommy Avila</t>
  </si>
  <si>
    <t>Grupo Ecológico Isla de Tris A.C</t>
  </si>
  <si>
    <t>Fuente: Gobierno del Estado de Campeche. Secretaría de Medio Ambiente, Biodiversidad, Cambio Climático y Energía 2026</t>
  </si>
  <si>
    <t>La temporada de anidación corresponde del 1° de abril al 30 de octubre.
A partir del año 2012 entra en vigor la NOM-162-SEMARNAT-2012 por lo cual no se contabiliza el número de huevos.</t>
  </si>
  <si>
    <t>Nidos:9,772</t>
  </si>
  <si>
    <t>Áreas destinadas voluntariamente a la conservación en el Estado, 2025.</t>
  </si>
  <si>
    <t>Ejido Matamoros</t>
  </si>
  <si>
    <t>Cristobal Colón</t>
  </si>
  <si>
    <t>Los Tucanes</t>
  </si>
  <si>
    <t>La Lucha</t>
  </si>
  <si>
    <t>Fuente: Comisión Nacional de Áreas Naturales Protegidas.
Gobierno del Estado de Campeche. Secretaría de Medio Ambiente, Biodiversidad, Cambio Climático y Energía 2026</t>
  </si>
  <si>
    <t>Total: 184,020.31 superficie de HA</t>
  </si>
  <si>
    <t>Residuos peligrosos</t>
  </si>
  <si>
    <t>Fuente: Gobierno del Estado de Campeche. Secretaría de Medio Ambiente, Biodiversidad, Cambio Climático y Energía. Procuraduría de Protección al Ambiente 2026</t>
  </si>
  <si>
    <t>Emisiones a la atmósfera</t>
  </si>
  <si>
    <t>Mal olor</t>
  </si>
  <si>
    <t>Caminos rurales</t>
  </si>
  <si>
    <t>Total de acciones</t>
  </si>
  <si>
    <t>Total de acciones:361</t>
  </si>
  <si>
    <t>Sanciones ambientales aplicadas por materia según tipo de sanción, 2025.</t>
  </si>
  <si>
    <t>Obra privada</t>
  </si>
  <si>
    <t>Fuente: Gobierno del Estado de Campeche. Secretaría de Medio Ambiente, Biodiversidad, Cambio Climático y Energía. Procuraduría de Protección al Ambiente  2026</t>
  </si>
  <si>
    <t>Fuente: Gobierno Federal. Comisión Federal de Electricidad 2026</t>
  </si>
  <si>
    <t>CALAKMUL</t>
  </si>
  <si>
    <t>CALKINI</t>
  </si>
  <si>
    <t>CAMPECHE</t>
  </si>
  <si>
    <t>CANDELARIA</t>
  </si>
  <si>
    <t>CARMEN</t>
  </si>
  <si>
    <t>CHAMPOTON</t>
  </si>
  <si>
    <t>DZITBALCHE</t>
  </si>
  <si>
    <t>ESCARCEGA</t>
  </si>
  <si>
    <t>HECELCHAKAN</t>
  </si>
  <si>
    <t>HOPELCHEN</t>
  </si>
  <si>
    <t>PALIZADA</t>
  </si>
  <si>
    <t>SEYBAPLAYA</t>
  </si>
  <si>
    <t>TENABO</t>
  </si>
  <si>
    <t>6,239</t>
  </si>
  <si>
    <t>2,209,679</t>
  </si>
  <si>
    <t>Fuente: Gobierno del Estado de Campeche. Secretaría de Desarrollo Urbano, Movilidad y Obras Publicas. Autoridad del Patrimonio Cultural del Estado de Campeche. 2025.</t>
  </si>
  <si>
    <t>Total:2,217,489</t>
  </si>
  <si>
    <t>Infraestructura y fuentes de abastecimiento del sistema de agua potable por municipio, 2025.</t>
  </si>
  <si>
    <t>275,892</t>
  </si>
  <si>
    <t>8,048</t>
  </si>
  <si>
    <t>203,165</t>
  </si>
  <si>
    <t>11,828</t>
  </si>
  <si>
    <t>131,969</t>
  </si>
  <si>
    <t>657,464</t>
  </si>
  <si>
    <t>103,078</t>
  </si>
  <si>
    <t>403,578</t>
  </si>
  <si>
    <t>14,528</t>
  </si>
  <si>
    <t>510,926</t>
  </si>
  <si>
    <t>51,579</t>
  </si>
  <si>
    <t>565,784</t>
  </si>
  <si>
    <t>26,444</t>
  </si>
  <si>
    <t>42,447</t>
  </si>
  <si>
    <t>3,403</t>
  </si>
  <si>
    <t>348,561</t>
  </si>
  <si>
    <t>22,822</t>
  </si>
  <si>
    <t>166,239</t>
  </si>
  <si>
    <t>9,471</t>
  </si>
  <si>
    <t>270,670</t>
  </si>
  <si>
    <t>13,088</t>
  </si>
  <si>
    <t>76,406</t>
  </si>
  <si>
    <t>1,873</t>
  </si>
  <si>
    <t>57,981</t>
  </si>
  <si>
    <t>4,723</t>
  </si>
  <si>
    <t>45,994</t>
  </si>
  <si>
    <t>5,068</t>
  </si>
  <si>
    <t>TODO EL ESTADO</t>
  </si>
  <si>
    <t>134,637</t>
  </si>
  <si>
    <t>3,625,107</t>
  </si>
  <si>
    <t>275,953</t>
  </si>
  <si>
    <t>1,077</t>
  </si>
  <si>
    <t xml:space="preserve">Fuente: Gobierno del Estado de Campeche. Comisión de Agua Potable y Alcantarillado del Estado de Campeche. </t>
  </si>
  <si>
    <t>8,064,520.89</t>
  </si>
  <si>
    <t>PDU b/</t>
  </si>
  <si>
    <t>125,120,684.01</t>
  </si>
  <si>
    <t>Edificios Administrativos a/</t>
  </si>
  <si>
    <t>35,065,309.14</t>
  </si>
  <si>
    <t>Obras en convenio (SPSC,SEGOB, )  c/</t>
  </si>
  <si>
    <t>90,055,374.87</t>
  </si>
  <si>
    <t>Infraestructura deportiva y recuperación de espacios b/</t>
  </si>
  <si>
    <t>58,643,218.64</t>
  </si>
  <si>
    <t>Rehabilitación y construcción de canchas en diversas localidades c/</t>
  </si>
  <si>
    <t>39,015,815.81</t>
  </si>
  <si>
    <t xml:space="preserve">Construcción y reconstrucción de diversos parques a/
</t>
  </si>
  <si>
    <t>19,627,402.83</t>
  </si>
  <si>
    <t xml:space="preserve">Obras de servicios básicos para una mejor movilidad
</t>
  </si>
  <si>
    <t>94,175,406.06</t>
  </si>
  <si>
    <t xml:space="preserve">Pavimentación de calles d/
</t>
  </si>
  <si>
    <t>82,269,099.27</t>
  </si>
  <si>
    <t xml:space="preserve">Bacheo en calles a/
</t>
  </si>
  <si>
    <t>3,295,846.76</t>
  </si>
  <si>
    <t xml:space="preserve">Red eléctrica (convenio con SEMABICCE) c/
</t>
  </si>
  <si>
    <t>8,610,460.03</t>
  </si>
  <si>
    <t xml:space="preserve">Carreteras, caminos, puentes, transporte aéreo y otros 
</t>
  </si>
  <si>
    <t>468,690,717.86</t>
  </si>
  <si>
    <t xml:space="preserve">Carreteras b/
</t>
  </si>
  <si>
    <t>145,159,922.07</t>
  </si>
  <si>
    <t xml:space="preserve">bacheo en carretera a/
</t>
  </si>
  <si>
    <t>11,010,628.12</t>
  </si>
  <si>
    <t xml:space="preserve">Caminos c/
</t>
  </si>
  <si>
    <t>292,245,914.04</t>
  </si>
  <si>
    <t xml:space="preserve">Puentes c/
</t>
  </si>
  <si>
    <t>20,274,253.63</t>
  </si>
  <si>
    <t>Fuente: Fuente: Gobierno del Estado de Campeche. Secretaría de Desarrollo Urbano, Movilidad y Obras Públicas 2026.</t>
  </si>
  <si>
    <t xml:space="preserve">a/ Incluye recurso Federal.
 b/ Incluye recurso Estatal.
 c/ Incluye recurso Federal y Estatal. 
</t>
  </si>
  <si>
    <t>Inversión en obra pública</t>
  </si>
  <si>
    <t>Resumen de inversión en proyectos y obra pública por concepto, Julio de 2023 a junio de 2024.</t>
  </si>
  <si>
    <t>Ordenamiento Territorial (2023)</t>
  </si>
  <si>
    <t>Actualización del Programa Director Urbano en la localidad de Xpujil, Municipio de Calakmul b/</t>
  </si>
  <si>
    <t>Obras Públicas para el desarrollo Integral y el Bienestar Social (2023)</t>
  </si>
  <si>
    <t>Edificios Administrativos c/</t>
  </si>
  <si>
    <t>Obras en convenio (SPSC, FGECAM, PODER JUDICIAL Y SEMABICCE)  c/</t>
  </si>
  <si>
    <t>Proyectos ejecutivos para obras emblemáticas (2023)</t>
  </si>
  <si>
    <t>Proyectos Ejecutivos b/</t>
  </si>
  <si>
    <t>Infraestructura Deportiva y recuperación de espacios (2023)</t>
  </si>
  <si>
    <t>Construcción y reconstrucción de diversos parques  a/</t>
  </si>
  <si>
    <t>Rehabilitación de espacios públicos (Malecón, Moch-Cohuo y Cocalitos) b/</t>
  </si>
  <si>
    <t>Rehabilitación de la Unidad deportiva 20 de noviembre en San Francisco de Campeche, Campeche a/</t>
  </si>
  <si>
    <t>Teatro al aire libre y Ximbal (convenio con SEMABICCE) b/</t>
  </si>
  <si>
    <t xml:space="preserve">Paneles solares  </t>
  </si>
  <si>
    <t>Paneles solares  b/</t>
  </si>
  <si>
    <t>Obras de servicios básicos para una mejor movilidad d/</t>
  </si>
  <si>
    <t>Pavimentación de calles 2023 c/</t>
  </si>
  <si>
    <t>Pavimentación de calles 2024 c/</t>
  </si>
  <si>
    <t>Carriles de aceleración y desaceleración de Subestación de Atasta b/</t>
  </si>
  <si>
    <t>Red eléctrica (convenio con SEMABICCE)  a/</t>
  </si>
  <si>
    <t>Carreteras (2023) a/</t>
  </si>
  <si>
    <t>Caminos (2023) a/</t>
  </si>
  <si>
    <t>Recosntrucción y mantenimiento de puentes en diversos municipios (2024) c/</t>
  </si>
  <si>
    <t>a/ Incluye recurso Federal.</t>
  </si>
  <si>
    <t xml:space="preserve">b/ Incluye recurso Estatal. </t>
  </si>
  <si>
    <t>c/ Incluye recurso Estatal y Federal.</t>
  </si>
  <si>
    <t>d/  En el resumen narrativo la pavimentación en calles 2024, la reconstrucción de puentes y carriles de Atasta la cifra es lo contratado y en el anexo estadístico corresponde a lo devengado al corte del 30 de junio.</t>
  </si>
  <si>
    <t>Fuente: Gobierno del Estado de Campeche. Secretaría de Desarrollo Urbano, Movilidad y Obras Públicas. Dirección General de Planeación. 2024.</t>
  </si>
  <si>
    <t>Inventario bienes patrimonio</t>
  </si>
  <si>
    <t>Preinventariado</t>
  </si>
  <si>
    <t>Inventariado</t>
  </si>
  <si>
    <t>Todo el Estado a/</t>
  </si>
  <si>
    <t>a/ Se refiere a la casa maya que tiene presencia en los 13 municipios.</t>
  </si>
  <si>
    <t>Fuente: Gobierno del Estado de Campeche. Secretaría de Desarrollo Territorial, Urbano y Obras Públicas. Autoridad del Patrimonio Cultural del Estado de Campeche. 2024.</t>
  </si>
  <si>
    <t>Abastecimiento agua potable</t>
  </si>
  <si>
    <t>Total fuentes de abastecimiento:607</t>
  </si>
  <si>
    <t>Total fuentes de abastecimiento: 771</t>
  </si>
  <si>
    <t>Total fuentes de abastecimiento: 888</t>
  </si>
  <si>
    <t>Anidación de la Tortuga Marina</t>
  </si>
  <si>
    <t>Registro de anidación, Programa de Protección y Conservación de la Tortuga Marina por campamento según especie, 2023.</t>
  </si>
  <si>
    <t>Yum Kaax-UAC y Anpff Laguna de Términos</t>
  </si>
  <si>
    <t>Chacahito</t>
  </si>
  <si>
    <t>Grupo Tortuguero de la Laguna</t>
  </si>
  <si>
    <t>Playa Norte- Jardín Botánico Carmen</t>
  </si>
  <si>
    <t>ND</t>
  </si>
  <si>
    <t>ND: No disponible</t>
  </si>
  <si>
    <t>Fuente: Gobierno del Estado de Campeche. Secretaría de Medio Ambiente Biodiversidad Cambio Climático y Energía. Dirección de Conservación y Aprovechamiento de la Biodiversidad. 2024.</t>
  </si>
  <si>
    <t>HA de conservación en el Estado</t>
  </si>
  <si>
    <t>Áreas destinadas voluntariamente a la conservación en el Estado, 2023.</t>
  </si>
  <si>
    <t xml:space="preserve">Fuente: Comisión Nacional de Áreas Naturales Protegidas y Secretaría de Medio Ambiente, Biodiversidad, Cambio Climático y Energía de Campeche 2024. </t>
  </si>
  <si>
    <t>Cobertura estatal de energia electrica</t>
  </si>
  <si>
    <t>Inspección y vigilancia ambiental</t>
  </si>
  <si>
    <t>Sanciones ambientales aplicadas</t>
  </si>
  <si>
    <t>Total sanciones:20</t>
  </si>
  <si>
    <t>Total sanciones: 14</t>
  </si>
  <si>
    <t>Total sanciones: 11</t>
  </si>
  <si>
    <t>ZONA</t>
  </si>
  <si>
    <t>POBLACIÓN TOTAL</t>
  </si>
  <si>
    <t>POBLACIÓN CON ACCESO AL SERVICIO</t>
  </si>
  <si>
    <t>COBERTURA (PORCENTAJE)</t>
  </si>
  <si>
    <t>Cobertura de la energía eléctrica por tipo de zona, 2023.</t>
  </si>
  <si>
    <t>Nota: Los datos de población corresponden a estadísticas elaboradas por la Comisión Federal de Electricidad.</t>
  </si>
  <si>
    <t>Fuente: Gobierno del Estado de Campeche. Secretaría de Medio Ambiente, Biodiversidad, Cambio Climático y Energía. Dirección Genereal de Energia Sostenible.2024.</t>
  </si>
  <si>
    <t>Urbana</t>
  </si>
  <si>
    <t>Rural</t>
  </si>
  <si>
    <t>Estatal: 99.05%</t>
  </si>
  <si>
    <t>Estatal:99.27%</t>
  </si>
  <si>
    <t>Estatal:99.55%</t>
  </si>
  <si>
    <t>Acciones de inspección y vigilancia en materia ambiental y/o bienestar animal, 2023.</t>
  </si>
  <si>
    <t xml:space="preserve">Residuos </t>
  </si>
  <si>
    <t>Ruido</t>
  </si>
  <si>
    <t>Contaminación atmosférica</t>
  </si>
  <si>
    <t>Mordedura de canino</t>
  </si>
  <si>
    <t>Contaminación al suelo</t>
  </si>
  <si>
    <t>Vida Silvestre</t>
  </si>
  <si>
    <t>Olor</t>
  </si>
  <si>
    <t>Forestal</t>
  </si>
  <si>
    <t>Fuente: Gobierno del Estado de Campeche. Secretaría de Medio Ambiente, Biodiversidad, Cambio Climático y Energía. Procuraduría de Protección al Ambiente. 2024.</t>
  </si>
  <si>
    <t>Sanciones ambientales aplicadas por materia según tipo de sanción, 2023.</t>
  </si>
  <si>
    <t>a/ Otras fuentes de capacitación incluye: galeria filtrante, rio, lago y captación pluvial.</t>
  </si>
  <si>
    <t>b/ Volumen extraido se reporta en litros por segundo.</t>
  </si>
  <si>
    <t>c/ Red de distribución se reporta en metros.</t>
  </si>
  <si>
    <t>d/ Toma instaladas incluye las tomas de tipo domestico, comercial e inductrial.</t>
  </si>
  <si>
    <t>e/ Incluye tanques superficiales y elevados.</t>
  </si>
  <si>
    <t>Fuente: Gobierno del Estado de Campeche. Comisión de Agua Potable y Alcantarillado del Estado de Campeche. Unidad de Planeación. 2024.</t>
  </si>
  <si>
    <t xml:space="preserve">Total </t>
  </si>
  <si>
    <t>CÓDIGO</t>
  </si>
  <si>
    <t xml:space="preserve">Título de la tabla </t>
  </si>
  <si>
    <t>Tema</t>
  </si>
  <si>
    <t>Resumen de inversión en proyectos y obra pública por concepto, Julio 2025 a junio 2026.</t>
  </si>
  <si>
    <t>Registro de los bienes patrimonio inventariado por municipio, 2025.</t>
  </si>
  <si>
    <t>Registro de los bienes patrimonio por municipio, 2023.</t>
  </si>
  <si>
    <t>Infraestructura y fuentes de abastecimiento del sistema de agua potable por municipio, 2023.</t>
  </si>
  <si>
    <t>Cobertura de la energía eléctrica, 2025.</t>
  </si>
  <si>
    <t>Acciones de inspección y vigilancia en materia ambiental y/o bienestar animal, 2025.</t>
  </si>
  <si>
    <t>Tipo</t>
  </si>
  <si>
    <t>LORA (L.k.)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</si>
</sst>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8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3" fontId="0" fillId="0" borderId="0" xfId="0" applyNumberFormat="1"/>
    <xf numFmtId="3" fontId="2" fillId="0" borderId="1" xfId="0" applyNumberFormat="1" applyFont="1" applyBorder="1"/>
    <xf numFmtId="0" fontId="3" fillId="0" borderId="0" xfId="0" applyFont="1" applyAlignment="1">
      <alignment horizontal="left" indent="3"/>
    </xf>
    <xf numFmtId="0" fontId="0" fillId="4" borderId="0" xfId="0" applyFill="1"/>
    <xf numFmtId="0" fontId="0" fillId="0" borderId="3" xfId="0" applyBorder="1"/>
    <xf numFmtId="0" fontId="9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3" fontId="0" fillId="0" borderId="5" xfId="0" applyNumberFormat="1" applyBorder="1"/>
    <xf numFmtId="0" fontId="2" fillId="0" borderId="5" xfId="0" applyFont="1" applyBorder="1"/>
    <xf numFmtId="3" fontId="2" fillId="0" borderId="5" xfId="0" applyNumberFormat="1" applyFont="1" applyBorder="1"/>
    <xf numFmtId="3" fontId="0" fillId="0" borderId="3" xfId="0" applyNumberFormat="1" applyBorder="1"/>
    <xf numFmtId="3" fontId="0" fillId="0" borderId="7" xfId="0" applyNumberFormat="1" applyBorder="1"/>
    <xf numFmtId="3" fontId="0" fillId="0" borderId="6" xfId="0" applyNumberFormat="1" applyBorder="1"/>
    <xf numFmtId="0" fontId="0" fillId="5" borderId="5" xfId="0" applyFill="1" applyBorder="1"/>
    <xf numFmtId="0" fontId="0" fillId="5" borderId="0" xfId="0" applyFill="1"/>
    <xf numFmtId="0" fontId="2" fillId="5" borderId="8" xfId="0" applyFont="1" applyFill="1" applyBorder="1"/>
    <xf numFmtId="0" fontId="1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0" fillId="4" borderId="4" xfId="0" applyFill="1" applyBorder="1"/>
    <xf numFmtId="0" fontId="0" fillId="3" borderId="5" xfId="0" applyFill="1" applyBorder="1"/>
    <xf numFmtId="4" fontId="3" fillId="0" borderId="5" xfId="0" applyNumberFormat="1" applyFont="1" applyBorder="1"/>
    <xf numFmtId="4" fontId="0" fillId="0" borderId="5" xfId="0" applyNumberFormat="1" applyBorder="1"/>
    <xf numFmtId="0" fontId="10" fillId="6" borderId="4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0" fillId="0" borderId="9" xfId="0" applyBorder="1"/>
    <xf numFmtId="0" fontId="3" fillId="4" borderId="5" xfId="0" applyFont="1" applyFill="1" applyBorder="1"/>
    <xf numFmtId="4" fontId="2" fillId="0" borderId="5" xfId="0" applyNumberFormat="1" applyFont="1" applyBorder="1"/>
    <xf numFmtId="0" fontId="3" fillId="0" borderId="5" xfId="0" applyFont="1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11" fillId="0" borderId="3" xfId="0" applyFont="1" applyBorder="1"/>
    <xf numFmtId="4" fontId="3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" fontId="0" fillId="5" borderId="5" xfId="0" applyNumberFormat="1" applyFill="1" applyBorder="1"/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2" fontId="2" fillId="0" borderId="5" xfId="0" applyNumberFormat="1" applyFont="1" applyBorder="1"/>
    <xf numFmtId="2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/>
    <xf numFmtId="164" fontId="0" fillId="0" borderId="5" xfId="0" applyNumberFormat="1" applyBorder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0" fillId="5" borderId="3" xfId="0" applyFill="1" applyBorder="1"/>
    <xf numFmtId="0" fontId="1" fillId="0" borderId="5" xfId="0" applyFont="1" applyBorder="1" applyAlignment="1">
      <alignment horizontal="center" vertical="center" wrapText="1"/>
    </xf>
    <xf numFmtId="4" fontId="0" fillId="0" borderId="0" xfId="0" applyNumberFormat="1"/>
    <xf numFmtId="4" fontId="2" fillId="0" borderId="5" xfId="0" applyNumberFormat="1" applyFont="1" applyBorder="1" applyAlignment="1">
      <alignment horizontal="center"/>
    </xf>
    <xf numFmtId="0" fontId="0" fillId="0" borderId="10" xfId="0" applyBorder="1"/>
    <xf numFmtId="4" fontId="0" fillId="0" borderId="3" xfId="0" applyNumberFormat="1" applyBorder="1"/>
    <xf numFmtId="0" fontId="8" fillId="0" borderId="3" xfId="0" applyFont="1" applyBorder="1"/>
    <xf numFmtId="0" fontId="0" fillId="0" borderId="3" xfId="0" applyBorder="1"/>
    <xf numFmtId="0" fontId="11" fillId="0" borderId="3" xfId="0" applyFont="1" applyBorder="1"/>
    <xf numFmtId="0" fontId="0" fillId="0" borderId="0" xfId="0"/>
    <xf numFmtId="0" fontId="2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9" fillId="0" borderId="3" xfId="0" applyFont="1" applyBorder="1"/>
    <xf numFmtId="0" fontId="8" fillId="0" borderId="3" xfId="0" applyFont="1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2</xdr:row>
      <xdr:rowOff>28575</xdr:rowOff>
    </xdr:from>
    <xdr:to>
      <xdr:col>5</xdr:col>
      <xdr:colOff>428625</xdr:colOff>
      <xdr:row>2</xdr:row>
      <xdr:rowOff>133350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9C71AE11-25C4-4A2E-9924-6CAFE773CB69}"/>
            </a:ext>
          </a:extLst>
        </xdr:cNvPr>
        <xdr:cNvCxnSpPr/>
      </xdr:nvCxnSpPr>
      <xdr:spPr>
        <a:xfrm flipV="1">
          <a:off x="14906625" y="156210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3</xdr:row>
      <xdr:rowOff>28575</xdr:rowOff>
    </xdr:from>
    <xdr:to>
      <xdr:col>5</xdr:col>
      <xdr:colOff>428625</xdr:colOff>
      <xdr:row>3</xdr:row>
      <xdr:rowOff>133350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3EE5F594-4EE2-4207-BB6E-571023F3F5AE}"/>
            </a:ext>
          </a:extLst>
        </xdr:cNvPr>
        <xdr:cNvCxnSpPr/>
      </xdr:nvCxnSpPr>
      <xdr:spPr>
        <a:xfrm flipV="1">
          <a:off x="14906625" y="194310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5</xdr:row>
      <xdr:rowOff>28575</xdr:rowOff>
    </xdr:from>
    <xdr:to>
      <xdr:col>5</xdr:col>
      <xdr:colOff>428625</xdr:colOff>
      <xdr:row>5</xdr:row>
      <xdr:rowOff>133350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5D8BECB4-D7F2-470B-98AC-EEBC21CD2627}"/>
            </a:ext>
          </a:extLst>
        </xdr:cNvPr>
        <xdr:cNvCxnSpPr/>
      </xdr:nvCxnSpPr>
      <xdr:spPr>
        <a:xfrm flipV="1">
          <a:off x="14906625" y="234315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8</xdr:row>
      <xdr:rowOff>28575</xdr:rowOff>
    </xdr:from>
    <xdr:to>
      <xdr:col>5</xdr:col>
      <xdr:colOff>428625</xdr:colOff>
      <xdr:row>8</xdr:row>
      <xdr:rowOff>133350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DE670355-AA26-4FED-A294-ECD8C93099E7}"/>
            </a:ext>
          </a:extLst>
        </xdr:cNvPr>
        <xdr:cNvCxnSpPr/>
      </xdr:nvCxnSpPr>
      <xdr:spPr>
        <a:xfrm flipV="1">
          <a:off x="14906625" y="405765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4</xdr:row>
      <xdr:rowOff>28575</xdr:rowOff>
    </xdr:from>
    <xdr:to>
      <xdr:col>5</xdr:col>
      <xdr:colOff>428625</xdr:colOff>
      <xdr:row>4</xdr:row>
      <xdr:rowOff>133350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E0981231-9E7E-43D7-87B4-5CF7330F802A}"/>
            </a:ext>
          </a:extLst>
        </xdr:cNvPr>
        <xdr:cNvCxnSpPr/>
      </xdr:nvCxnSpPr>
      <xdr:spPr>
        <a:xfrm flipV="1">
          <a:off x="8181975" y="234315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7</xdr:row>
      <xdr:rowOff>28575</xdr:rowOff>
    </xdr:from>
    <xdr:to>
      <xdr:col>5</xdr:col>
      <xdr:colOff>428625</xdr:colOff>
      <xdr:row>7</xdr:row>
      <xdr:rowOff>133350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A34BA731-60BE-4876-AC42-E12593EAE00C}"/>
            </a:ext>
          </a:extLst>
        </xdr:cNvPr>
        <xdr:cNvCxnSpPr/>
      </xdr:nvCxnSpPr>
      <xdr:spPr>
        <a:xfrm flipV="1">
          <a:off x="8181975" y="462915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6</xdr:row>
      <xdr:rowOff>28575</xdr:rowOff>
    </xdr:from>
    <xdr:to>
      <xdr:col>5</xdr:col>
      <xdr:colOff>428625</xdr:colOff>
      <xdr:row>6</xdr:row>
      <xdr:rowOff>133350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1B7798DB-F399-4B13-9F8E-7B3868AABC75}"/>
            </a:ext>
          </a:extLst>
        </xdr:cNvPr>
        <xdr:cNvCxnSpPr/>
      </xdr:nvCxnSpPr>
      <xdr:spPr>
        <a:xfrm flipV="1">
          <a:off x="8181975" y="405765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1</xdr:row>
      <xdr:rowOff>28575</xdr:rowOff>
    </xdr:from>
    <xdr:to>
      <xdr:col>5</xdr:col>
      <xdr:colOff>428625</xdr:colOff>
      <xdr:row>1</xdr:row>
      <xdr:rowOff>133350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4F93A2C5-6FCB-4AC9-9131-758F865CDACD}"/>
            </a:ext>
          </a:extLst>
        </xdr:cNvPr>
        <xdr:cNvCxnSpPr/>
      </xdr:nvCxnSpPr>
      <xdr:spPr>
        <a:xfrm flipV="1">
          <a:off x="8181975" y="1562100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</xdr:col>
      <xdr:colOff>281002</xdr:colOff>
      <xdr:row>36</xdr:row>
      <xdr:rowOff>38797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12B116-F7E4-48EE-8922-2B6D8648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1180"/>
          <a:ext cx="6925642" cy="4991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85725</xdr:rowOff>
    </xdr:from>
    <xdr:to>
      <xdr:col>17</xdr:col>
      <xdr:colOff>267463</xdr:colOff>
      <xdr:row>39</xdr:row>
      <xdr:rowOff>162973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32D140-089A-4597-A00C-8A291F86E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85725"/>
          <a:ext cx="5468113" cy="750674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27</xdr:col>
      <xdr:colOff>210309</xdr:colOff>
      <xdr:row>19</xdr:row>
      <xdr:rowOff>95742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7A7AC-D075-4BE9-A1DE-871065C2F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2425" y="190500"/>
          <a:ext cx="5439534" cy="352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opLeftCell="B1" workbookViewId="0">
      <selection activeCell="G27" sqref="G27"/>
    </sheetView>
  </sheetViews>
  <sheetFormatPr baseColWidth="10" defaultColWidth="8.88671875" defaultRowHeight="14.4" x14ac:dyDescent="0.3"/>
  <cols>
    <col min="1" max="1" width="61.33203125" hidden="1" customWidth="1"/>
    <col min="2" max="2" width="7.6640625" customWidth="1"/>
    <col min="3" max="3" width="108.5546875" customWidth="1"/>
    <col min="4" max="4" width="24.6640625" customWidth="1"/>
    <col min="5" max="5" width="34.88671875" customWidth="1"/>
    <col min="6" max="6" width="11.109375" customWidth="1"/>
    <col min="7" max="7" width="44.88671875" customWidth="1"/>
    <col min="8" max="8" width="38.77734375" customWidth="1"/>
    <col min="9" max="9" width="56.33203125" customWidth="1"/>
    <col min="10" max="10" width="34.109375" customWidth="1"/>
    <col min="11" max="11" width="33.5546875" customWidth="1"/>
  </cols>
  <sheetData>
    <row r="1" spans="1:9" x14ac:dyDescent="0.3">
      <c r="A1" s="28" t="s">
        <v>187</v>
      </c>
      <c r="B1" s="28" t="s">
        <v>417</v>
      </c>
      <c r="C1" s="36" t="s">
        <v>418</v>
      </c>
      <c r="D1" s="11" t="s">
        <v>127</v>
      </c>
      <c r="E1" s="27" t="s">
        <v>419</v>
      </c>
      <c r="F1" s="29" t="s">
        <v>214</v>
      </c>
      <c r="G1" s="33" t="s">
        <v>206</v>
      </c>
      <c r="H1" s="34" t="s">
        <v>207</v>
      </c>
      <c r="I1" s="34" t="s">
        <v>217</v>
      </c>
    </row>
    <row r="2" spans="1:9" x14ac:dyDescent="0.3">
      <c r="A2" s="16" t="s">
        <v>188</v>
      </c>
      <c r="B2" s="16" t="s">
        <v>179</v>
      </c>
      <c r="C2" s="16" t="s">
        <v>115</v>
      </c>
      <c r="D2" s="35" t="s">
        <v>130</v>
      </c>
      <c r="E2" s="16" t="s">
        <v>330</v>
      </c>
      <c r="F2" s="30"/>
      <c r="G2" s="31">
        <v>840512459.02999997</v>
      </c>
      <c r="H2" s="32">
        <v>1103902615.1700001</v>
      </c>
      <c r="I2" s="31">
        <v>1509389094.9200001</v>
      </c>
    </row>
    <row r="3" spans="1:9" x14ac:dyDescent="0.3">
      <c r="A3" s="16" t="s">
        <v>188</v>
      </c>
      <c r="B3" s="16" t="s">
        <v>180</v>
      </c>
      <c r="C3" s="16" t="s">
        <v>107</v>
      </c>
      <c r="D3" s="35" t="s">
        <v>131</v>
      </c>
      <c r="E3" s="28" t="s">
        <v>359</v>
      </c>
      <c r="F3" s="30"/>
      <c r="G3" s="28" t="s">
        <v>208</v>
      </c>
      <c r="H3" s="16" t="s">
        <v>209</v>
      </c>
      <c r="I3" s="28" t="s">
        <v>262</v>
      </c>
    </row>
    <row r="4" spans="1:9" x14ac:dyDescent="0.3">
      <c r="A4" s="16" t="s">
        <v>188</v>
      </c>
      <c r="B4" s="16" t="s">
        <v>181</v>
      </c>
      <c r="C4" s="16" t="s">
        <v>66</v>
      </c>
      <c r="D4" s="35" t="s">
        <v>128</v>
      </c>
      <c r="E4" s="28" t="s">
        <v>365</v>
      </c>
      <c r="F4" s="30"/>
      <c r="G4" s="28" t="s">
        <v>366</v>
      </c>
      <c r="H4" s="28" t="s">
        <v>367</v>
      </c>
      <c r="I4" s="28" t="s">
        <v>368</v>
      </c>
    </row>
    <row r="5" spans="1:9" x14ac:dyDescent="0.3">
      <c r="A5" s="16" t="s">
        <v>189</v>
      </c>
      <c r="B5" s="16" t="s">
        <v>182</v>
      </c>
      <c r="C5" s="16" t="s">
        <v>76</v>
      </c>
      <c r="D5" s="35" t="s">
        <v>83</v>
      </c>
      <c r="E5" s="28" t="s">
        <v>369</v>
      </c>
      <c r="F5" s="30"/>
      <c r="G5" s="28" t="s">
        <v>211</v>
      </c>
      <c r="H5" s="16" t="s">
        <v>210</v>
      </c>
      <c r="I5" s="16" t="s">
        <v>227</v>
      </c>
    </row>
    <row r="6" spans="1:9" x14ac:dyDescent="0.3">
      <c r="A6" s="16" t="s">
        <v>189</v>
      </c>
      <c r="B6" s="16" t="s">
        <v>183</v>
      </c>
      <c r="C6" s="16" t="s">
        <v>10</v>
      </c>
      <c r="D6" s="35" t="s">
        <v>83</v>
      </c>
      <c r="E6" s="28" t="s">
        <v>378</v>
      </c>
      <c r="F6" s="30"/>
      <c r="G6" s="28" t="s">
        <v>216</v>
      </c>
      <c r="H6" s="16" t="s">
        <v>215</v>
      </c>
      <c r="I6" s="16" t="s">
        <v>234</v>
      </c>
    </row>
    <row r="7" spans="1:9" x14ac:dyDescent="0.3">
      <c r="A7" s="16" t="s">
        <v>190</v>
      </c>
      <c r="B7" s="16" t="s">
        <v>184</v>
      </c>
      <c r="C7" s="16" t="s">
        <v>59</v>
      </c>
      <c r="D7" s="35" t="s">
        <v>83</v>
      </c>
      <c r="E7" s="28" t="s">
        <v>381</v>
      </c>
      <c r="F7" s="30"/>
      <c r="G7" s="28" t="s">
        <v>396</v>
      </c>
      <c r="H7" s="28" t="s">
        <v>397</v>
      </c>
      <c r="I7" s="28" t="s">
        <v>398</v>
      </c>
    </row>
    <row r="8" spans="1:9" x14ac:dyDescent="0.3">
      <c r="A8" s="16" t="s">
        <v>191</v>
      </c>
      <c r="B8" s="16" t="s">
        <v>185</v>
      </c>
      <c r="C8" s="16" t="s">
        <v>0</v>
      </c>
      <c r="D8" s="35" t="s">
        <v>129</v>
      </c>
      <c r="E8" s="28" t="s">
        <v>382</v>
      </c>
      <c r="F8" s="30"/>
      <c r="G8" s="28" t="s">
        <v>213</v>
      </c>
      <c r="H8" s="16" t="s">
        <v>212</v>
      </c>
      <c r="I8" s="28" t="s">
        <v>241</v>
      </c>
    </row>
    <row r="9" spans="1:9" x14ac:dyDescent="0.3">
      <c r="A9" s="16" t="s">
        <v>191</v>
      </c>
      <c r="B9" s="16" t="s">
        <v>186</v>
      </c>
      <c r="C9" s="16" t="s">
        <v>122</v>
      </c>
      <c r="D9" s="35" t="s">
        <v>129</v>
      </c>
      <c r="E9" s="28" t="s">
        <v>383</v>
      </c>
      <c r="F9" s="30"/>
      <c r="G9" s="28" t="s">
        <v>386</v>
      </c>
      <c r="H9" s="28" t="s">
        <v>385</v>
      </c>
      <c r="I9" s="28" t="s">
        <v>384</v>
      </c>
    </row>
    <row r="13" spans="1:9" x14ac:dyDescent="0.3">
      <c r="E13" s="3"/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C10"/>
  <sheetViews>
    <sheetView showGridLines="0" topLeftCell="A4" zoomScale="125" workbookViewId="0">
      <selection activeCell="K20" sqref="K20"/>
    </sheetView>
  </sheetViews>
  <sheetFormatPr baseColWidth="10" defaultColWidth="8.6640625" defaultRowHeight="14.4" x14ac:dyDescent="0.3"/>
  <cols>
    <col min="1" max="1" width="49.33203125" bestFit="1" customWidth="1"/>
    <col min="2" max="2" width="25.6640625" bestFit="1" customWidth="1"/>
    <col min="3" max="3" width="24.6640625" bestFit="1" customWidth="1"/>
    <col min="4" max="4" width="7" bestFit="1" customWidth="1"/>
  </cols>
  <sheetData>
    <row r="1" spans="1:3" x14ac:dyDescent="0.3">
      <c r="A1" s="1" t="s">
        <v>72</v>
      </c>
      <c r="B1" s="1"/>
      <c r="C1" s="1"/>
    </row>
    <row r="2" spans="1:3" x14ac:dyDescent="0.3">
      <c r="A2" s="4" t="s">
        <v>73</v>
      </c>
      <c r="B2" s="4" t="s">
        <v>74</v>
      </c>
      <c r="C2" s="4" t="s">
        <v>75</v>
      </c>
    </row>
    <row r="3" spans="1:3" x14ac:dyDescent="0.3">
      <c r="A3" s="3" t="s">
        <v>169</v>
      </c>
      <c r="B3">
        <v>10</v>
      </c>
      <c r="C3">
        <v>10</v>
      </c>
    </row>
    <row r="4" spans="1:3" x14ac:dyDescent="0.3">
      <c r="A4" s="3" t="s">
        <v>150</v>
      </c>
      <c r="B4">
        <v>10</v>
      </c>
      <c r="C4">
        <v>10</v>
      </c>
    </row>
    <row r="5" spans="1:3" x14ac:dyDescent="0.3">
      <c r="A5" s="3" t="s">
        <v>151</v>
      </c>
      <c r="B5">
        <v>23</v>
      </c>
      <c r="C5">
        <v>20</v>
      </c>
    </row>
    <row r="6" spans="1:3" x14ac:dyDescent="0.3">
      <c r="A6" s="3" t="s">
        <v>152</v>
      </c>
      <c r="B6">
        <v>1</v>
      </c>
      <c r="C6">
        <v>1</v>
      </c>
    </row>
    <row r="7" spans="1:3" x14ac:dyDescent="0.3">
      <c r="A7" s="3" t="s">
        <v>153</v>
      </c>
      <c r="B7">
        <v>0</v>
      </c>
      <c r="C7">
        <v>0</v>
      </c>
    </row>
    <row r="8" spans="1:3" x14ac:dyDescent="0.3">
      <c r="A8" s="3" t="s">
        <v>154</v>
      </c>
      <c r="B8">
        <v>0</v>
      </c>
      <c r="C8">
        <v>0</v>
      </c>
    </row>
    <row r="9" spans="1:3" ht="8.4" customHeight="1" x14ac:dyDescent="0.3">
      <c r="A9" s="2"/>
      <c r="B9" s="2"/>
      <c r="C9" s="2"/>
    </row>
    <row r="10" spans="1:3" x14ac:dyDescent="0.3">
      <c r="A10" s="3" t="s">
        <v>170</v>
      </c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9"/>
  <sheetViews>
    <sheetView showGridLines="0" zoomScale="90" zoomScaleNormal="90" workbookViewId="0">
      <selection activeCell="I38" sqref="I38"/>
    </sheetView>
  </sheetViews>
  <sheetFormatPr baseColWidth="10" defaultColWidth="8.6640625" defaultRowHeight="14.4" x14ac:dyDescent="0.3"/>
  <cols>
    <col min="1" max="1" width="80.109375" bestFit="1" customWidth="1"/>
    <col min="2" max="2" width="21.109375" bestFit="1" customWidth="1"/>
    <col min="3" max="3" width="21.109375" customWidth="1"/>
    <col min="4" max="4" width="36.88671875" customWidth="1"/>
    <col min="6" max="6" width="64" customWidth="1"/>
    <col min="7" max="7" width="18.109375" customWidth="1"/>
  </cols>
  <sheetData>
    <row r="1" spans="1:9" x14ac:dyDescent="0.3">
      <c r="A1" s="18" t="s">
        <v>115</v>
      </c>
      <c r="B1" s="16"/>
      <c r="F1" s="18" t="s">
        <v>331</v>
      </c>
      <c r="G1" s="16"/>
    </row>
    <row r="2" spans="1:9" x14ac:dyDescent="0.3">
      <c r="A2" s="18" t="s">
        <v>9</v>
      </c>
      <c r="B2" s="18" t="s">
        <v>65</v>
      </c>
      <c r="F2" s="18" t="s">
        <v>9</v>
      </c>
      <c r="G2" s="37">
        <v>840512459.02999997</v>
      </c>
      <c r="H2" s="59"/>
      <c r="I2" s="59"/>
    </row>
    <row r="3" spans="1:9" x14ac:dyDescent="0.3">
      <c r="A3" s="18" t="s">
        <v>116</v>
      </c>
      <c r="B3" s="37">
        <v>12077152.01</v>
      </c>
      <c r="F3" s="18" t="s">
        <v>332</v>
      </c>
      <c r="G3" s="37">
        <v>1796435.29</v>
      </c>
    </row>
    <row r="4" spans="1:9" x14ac:dyDescent="0.3">
      <c r="A4" s="38" t="s">
        <v>176</v>
      </c>
      <c r="B4" s="32">
        <v>12077152.01</v>
      </c>
      <c r="F4" s="38" t="s">
        <v>333</v>
      </c>
      <c r="G4" s="31">
        <v>1796435.29</v>
      </c>
    </row>
    <row r="5" spans="1:9" x14ac:dyDescent="0.3">
      <c r="A5" s="18" t="s">
        <v>117</v>
      </c>
      <c r="B5" s="37">
        <v>686791104.08000004</v>
      </c>
      <c r="F5" s="18" t="s">
        <v>334</v>
      </c>
      <c r="G5" s="37">
        <v>155564212.02000001</v>
      </c>
    </row>
    <row r="6" spans="1:9" x14ac:dyDescent="0.3">
      <c r="A6" s="39" t="s">
        <v>118</v>
      </c>
      <c r="B6" s="32">
        <v>41661974.530000001</v>
      </c>
      <c r="F6" s="38" t="s">
        <v>335</v>
      </c>
      <c r="G6" s="41">
        <v>70855719.709999993</v>
      </c>
    </row>
    <row r="7" spans="1:9" x14ac:dyDescent="0.3">
      <c r="A7" s="38" t="s">
        <v>194</v>
      </c>
      <c r="B7" s="32">
        <v>645129129.54999995</v>
      </c>
      <c r="F7" s="38" t="s">
        <v>336</v>
      </c>
      <c r="G7" s="32">
        <v>84708492.310000002</v>
      </c>
    </row>
    <row r="8" spans="1:9" x14ac:dyDescent="0.3">
      <c r="A8" s="18" t="s">
        <v>177</v>
      </c>
      <c r="B8" s="37">
        <v>84059119.150000006</v>
      </c>
      <c r="F8" s="18" t="s">
        <v>337</v>
      </c>
      <c r="G8" s="37">
        <v>30500000</v>
      </c>
    </row>
    <row r="9" spans="1:9" x14ac:dyDescent="0.3">
      <c r="A9" s="38" t="s">
        <v>195</v>
      </c>
      <c r="B9" s="32">
        <v>52236775.969999999</v>
      </c>
      <c r="F9" s="38" t="s">
        <v>338</v>
      </c>
      <c r="G9" s="32">
        <v>30500000</v>
      </c>
    </row>
    <row r="10" spans="1:9" x14ac:dyDescent="0.3">
      <c r="A10" s="38" t="s">
        <v>196</v>
      </c>
      <c r="B10" s="32">
        <v>30162461.120000001</v>
      </c>
      <c r="F10" s="18" t="s">
        <v>339</v>
      </c>
      <c r="G10" s="37">
        <v>134148963.34</v>
      </c>
    </row>
    <row r="11" spans="1:9" x14ac:dyDescent="0.3">
      <c r="A11" s="38" t="s">
        <v>197</v>
      </c>
      <c r="B11" s="32">
        <v>1659882.06</v>
      </c>
      <c r="F11" s="38" t="s">
        <v>306</v>
      </c>
      <c r="G11" s="32">
        <v>64255626.399999999</v>
      </c>
    </row>
    <row r="12" spans="1:9" x14ac:dyDescent="0.3">
      <c r="A12" s="18" t="s">
        <v>198</v>
      </c>
      <c r="B12" s="37">
        <v>2819799.47</v>
      </c>
      <c r="F12" s="38" t="s">
        <v>340</v>
      </c>
      <c r="G12" s="32">
        <v>13732555.91</v>
      </c>
    </row>
    <row r="13" spans="1:9" x14ac:dyDescent="0.3">
      <c r="A13" s="38" t="s">
        <v>198</v>
      </c>
      <c r="B13" s="32">
        <v>2819799.47</v>
      </c>
      <c r="F13" s="38" t="s">
        <v>341</v>
      </c>
      <c r="G13" s="32">
        <v>35916484.18</v>
      </c>
    </row>
    <row r="14" spans="1:9" x14ac:dyDescent="0.3">
      <c r="A14" s="18" t="s">
        <v>119</v>
      </c>
      <c r="B14" s="37">
        <v>216562658.09</v>
      </c>
      <c r="F14" s="38" t="s">
        <v>342</v>
      </c>
      <c r="G14" s="32">
        <v>13917676.98</v>
      </c>
    </row>
    <row r="15" spans="1:9" x14ac:dyDescent="0.3">
      <c r="A15" s="38" t="s">
        <v>120</v>
      </c>
      <c r="B15" s="32">
        <v>149604021.08000001</v>
      </c>
      <c r="F15" s="38" t="s">
        <v>343</v>
      </c>
      <c r="G15" s="32">
        <v>6326619.8700000001</v>
      </c>
    </row>
    <row r="16" spans="1:9" x14ac:dyDescent="0.3">
      <c r="A16" s="38" t="s">
        <v>199</v>
      </c>
      <c r="B16" s="32">
        <v>9261711.4800000004</v>
      </c>
      <c r="F16" s="18" t="s">
        <v>344</v>
      </c>
      <c r="G16" s="37">
        <v>12566541.199999999</v>
      </c>
    </row>
    <row r="17" spans="1:7" x14ac:dyDescent="0.3">
      <c r="A17" s="38" t="s">
        <v>200</v>
      </c>
      <c r="B17" s="32">
        <v>57696925.530000001</v>
      </c>
      <c r="F17" s="38" t="s">
        <v>345</v>
      </c>
      <c r="G17" s="31">
        <v>12566541.199999999</v>
      </c>
    </row>
    <row r="18" spans="1:7" x14ac:dyDescent="0.3">
      <c r="A18" s="18" t="s">
        <v>121</v>
      </c>
      <c r="B18" s="37">
        <v>101592782.37</v>
      </c>
      <c r="F18" s="18" t="s">
        <v>346</v>
      </c>
      <c r="G18" s="37">
        <v>199330544.19999999</v>
      </c>
    </row>
    <row r="19" spans="1:7" x14ac:dyDescent="0.3">
      <c r="A19" s="38" t="s">
        <v>201</v>
      </c>
      <c r="B19" s="32">
        <v>22305923.91</v>
      </c>
      <c r="F19" s="38" t="s">
        <v>347</v>
      </c>
      <c r="G19" s="32">
        <v>55383423.130000003</v>
      </c>
    </row>
    <row r="20" spans="1:7" x14ac:dyDescent="0.3">
      <c r="A20" s="38" t="s">
        <v>202</v>
      </c>
      <c r="B20" s="32">
        <v>15780170.41</v>
      </c>
      <c r="F20" s="38" t="s">
        <v>348</v>
      </c>
      <c r="G20" s="32">
        <v>115186125.52</v>
      </c>
    </row>
    <row r="21" spans="1:7" x14ac:dyDescent="0.3">
      <c r="A21" s="38" t="s">
        <v>203</v>
      </c>
      <c r="B21" s="32">
        <v>63506688.049999997</v>
      </c>
      <c r="F21" s="38" t="s">
        <v>349</v>
      </c>
      <c r="G21" s="32">
        <v>11721130.52</v>
      </c>
    </row>
    <row r="22" spans="1:7" ht="6.6" customHeight="1" x14ac:dyDescent="0.3">
      <c r="A22" s="2"/>
      <c r="B22" s="2"/>
      <c r="F22" s="16"/>
      <c r="G22" s="16"/>
    </row>
    <row r="23" spans="1:7" x14ac:dyDescent="0.3">
      <c r="A23" s="3" t="s">
        <v>178</v>
      </c>
      <c r="F23" s="38" t="s">
        <v>350</v>
      </c>
      <c r="G23" s="32">
        <v>17039864.77</v>
      </c>
    </row>
    <row r="24" spans="1:7" x14ac:dyDescent="0.3">
      <c r="A24" s="3" t="s">
        <v>204</v>
      </c>
      <c r="F24" s="18" t="s">
        <v>121</v>
      </c>
      <c r="G24" s="37">
        <v>306605762.81</v>
      </c>
    </row>
    <row r="25" spans="1:7" x14ac:dyDescent="0.3">
      <c r="A25" s="3" t="s">
        <v>205</v>
      </c>
      <c r="F25" s="38" t="s">
        <v>351</v>
      </c>
      <c r="G25" s="32">
        <v>156599936.08000001</v>
      </c>
    </row>
    <row r="26" spans="1:7" x14ac:dyDescent="0.3">
      <c r="A26" s="3" t="s">
        <v>163</v>
      </c>
      <c r="F26" s="38" t="s">
        <v>352</v>
      </c>
      <c r="G26" s="32">
        <v>132845523.19</v>
      </c>
    </row>
    <row r="27" spans="1:7" x14ac:dyDescent="0.3">
      <c r="A27" s="3" t="s">
        <v>164</v>
      </c>
      <c r="F27" s="38" t="s">
        <v>353</v>
      </c>
      <c r="G27" s="32">
        <v>17160303.539999999</v>
      </c>
    </row>
    <row r="28" spans="1:7" x14ac:dyDescent="0.3">
      <c r="F28" s="2"/>
      <c r="G28" s="2"/>
    </row>
    <row r="29" spans="1:7" ht="15.6" x14ac:dyDescent="0.3">
      <c r="A29" s="65" t="s">
        <v>420</v>
      </c>
      <c r="B29" s="63"/>
      <c r="C29" s="63"/>
      <c r="F29" s="3" t="s">
        <v>354</v>
      </c>
    </row>
    <row r="30" spans="1:7" x14ac:dyDescent="0.3">
      <c r="A30" s="12" t="s">
        <v>9</v>
      </c>
      <c r="B30" s="12" t="s">
        <v>65</v>
      </c>
      <c r="C30" s="12" t="s">
        <v>219</v>
      </c>
      <c r="F30" s="3" t="s">
        <v>355</v>
      </c>
    </row>
    <row r="31" spans="1:7" x14ac:dyDescent="0.3">
      <c r="A31" s="12" t="s">
        <v>116</v>
      </c>
      <c r="B31" s="12" t="s">
        <v>297</v>
      </c>
      <c r="C31" s="12"/>
      <c r="F31" s="3" t="s">
        <v>356</v>
      </c>
    </row>
    <row r="32" spans="1:7" x14ac:dyDescent="0.3">
      <c r="A32" s="12" t="s">
        <v>298</v>
      </c>
      <c r="B32" s="12" t="s">
        <v>297</v>
      </c>
      <c r="C32" s="12"/>
      <c r="F32" s="3" t="s">
        <v>357</v>
      </c>
    </row>
    <row r="33" spans="1:6" x14ac:dyDescent="0.3">
      <c r="A33" s="12" t="s">
        <v>117</v>
      </c>
      <c r="B33" s="12" t="s">
        <v>299</v>
      </c>
      <c r="C33" s="12"/>
      <c r="F33" s="3" t="s">
        <v>358</v>
      </c>
    </row>
    <row r="34" spans="1:6" x14ac:dyDescent="0.3">
      <c r="A34" s="12" t="s">
        <v>300</v>
      </c>
      <c r="B34" s="12" t="s">
        <v>301</v>
      </c>
      <c r="C34" s="12"/>
    </row>
    <row r="35" spans="1:6" x14ac:dyDescent="0.3">
      <c r="A35" s="12" t="s">
        <v>302</v>
      </c>
      <c r="B35" s="12" t="s">
        <v>303</v>
      </c>
      <c r="C35" s="12"/>
    </row>
    <row r="36" spans="1:6" x14ac:dyDescent="0.3">
      <c r="A36" s="12" t="s">
        <v>304</v>
      </c>
      <c r="B36" s="12" t="s">
        <v>305</v>
      </c>
      <c r="C36" s="12"/>
    </row>
    <row r="37" spans="1:6" x14ac:dyDescent="0.3">
      <c r="A37" s="12" t="s">
        <v>306</v>
      </c>
      <c r="B37" s="12" t="s">
        <v>307</v>
      </c>
      <c r="C37" s="12"/>
    </row>
    <row r="38" spans="1:6" x14ac:dyDescent="0.3">
      <c r="A38" s="12" t="s">
        <v>308</v>
      </c>
      <c r="B38" s="12" t="s">
        <v>309</v>
      </c>
      <c r="C38" s="12"/>
    </row>
    <row r="39" spans="1:6" x14ac:dyDescent="0.3">
      <c r="A39" s="12" t="s">
        <v>310</v>
      </c>
      <c r="B39" s="12" t="s">
        <v>311</v>
      </c>
      <c r="C39" s="12"/>
    </row>
    <row r="40" spans="1:6" x14ac:dyDescent="0.3">
      <c r="A40" s="12" t="s">
        <v>312</v>
      </c>
      <c r="B40" s="12" t="s">
        <v>313</v>
      </c>
      <c r="C40" s="12"/>
    </row>
    <row r="41" spans="1:6" x14ac:dyDescent="0.3">
      <c r="A41" s="12" t="s">
        <v>314</v>
      </c>
      <c r="B41" s="12" t="s">
        <v>315</v>
      </c>
      <c r="C41" s="12"/>
    </row>
    <row r="42" spans="1:6" x14ac:dyDescent="0.3">
      <c r="A42" s="12" t="s">
        <v>316</v>
      </c>
      <c r="B42" s="12" t="s">
        <v>317</v>
      </c>
      <c r="C42" s="12"/>
    </row>
    <row r="43" spans="1:6" x14ac:dyDescent="0.3">
      <c r="A43" s="12" t="s">
        <v>318</v>
      </c>
      <c r="B43" s="12" t="s">
        <v>319</v>
      </c>
      <c r="C43" s="12"/>
    </row>
    <row r="44" spans="1:6" x14ac:dyDescent="0.3">
      <c r="A44" s="12" t="s">
        <v>320</v>
      </c>
      <c r="B44" s="12" t="s">
        <v>321</v>
      </c>
      <c r="C44" s="12"/>
    </row>
    <row r="45" spans="1:6" x14ac:dyDescent="0.3">
      <c r="A45" s="12" t="s">
        <v>322</v>
      </c>
      <c r="B45" s="12" t="s">
        <v>323</v>
      </c>
      <c r="C45" s="12"/>
    </row>
    <row r="46" spans="1:6" x14ac:dyDescent="0.3">
      <c r="A46" s="12" t="s">
        <v>324</v>
      </c>
      <c r="B46" s="12" t="s">
        <v>325</v>
      </c>
      <c r="C46" s="12"/>
    </row>
    <row r="47" spans="1:6" x14ac:dyDescent="0.3">
      <c r="A47" s="12" t="s">
        <v>326</v>
      </c>
      <c r="B47" s="12" t="s">
        <v>327</v>
      </c>
      <c r="C47" s="12"/>
    </row>
    <row r="48" spans="1:6" x14ac:dyDescent="0.3">
      <c r="A48" s="64" t="s">
        <v>328</v>
      </c>
      <c r="B48" s="64"/>
      <c r="C48" s="64"/>
    </row>
    <row r="49" spans="1:3" x14ac:dyDescent="0.3">
      <c r="A49" s="64" t="s">
        <v>329</v>
      </c>
      <c r="B49" s="64"/>
      <c r="C49" s="64"/>
    </row>
  </sheetData>
  <mergeCells count="3">
    <mergeCell ref="A29:C29"/>
    <mergeCell ref="A48:C48"/>
    <mergeCell ref="A49:C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51"/>
  <sheetViews>
    <sheetView showGridLines="0" topLeftCell="A4" zoomScale="80" zoomScaleNormal="80" workbookViewId="0">
      <selection activeCell="E43" sqref="E43"/>
    </sheetView>
  </sheetViews>
  <sheetFormatPr baseColWidth="10" defaultColWidth="8.6640625" defaultRowHeight="14.4" x14ac:dyDescent="0.3"/>
  <cols>
    <col min="1" max="1" width="14" bestFit="1" customWidth="1"/>
    <col min="2" max="2" width="10.44140625" bestFit="1" customWidth="1"/>
    <col min="3" max="3" width="8.109375" bestFit="1" customWidth="1"/>
    <col min="4" max="5" width="12.6640625" bestFit="1" customWidth="1"/>
    <col min="6" max="6" width="9.33203125" bestFit="1" customWidth="1"/>
    <col min="7" max="7" width="15.33203125" bestFit="1" customWidth="1"/>
    <col min="8" max="8" width="7" bestFit="1" customWidth="1"/>
    <col min="11" max="11" width="15.88671875" customWidth="1"/>
    <col min="12" max="12" width="11.5546875" customWidth="1"/>
    <col min="14" max="14" width="14" customWidth="1"/>
    <col min="15" max="15" width="13.44140625" customWidth="1"/>
    <col min="16" max="16" width="10.6640625" customWidth="1"/>
    <col min="17" max="17" width="16" customWidth="1"/>
  </cols>
  <sheetData>
    <row r="1" spans="1:9" x14ac:dyDescent="0.3">
      <c r="A1" s="18" t="s">
        <v>107</v>
      </c>
      <c r="B1" s="18"/>
      <c r="C1" s="18"/>
      <c r="D1" s="18"/>
      <c r="E1" s="18"/>
      <c r="F1" s="18"/>
      <c r="G1" s="18"/>
    </row>
    <row r="2" spans="1:9" x14ac:dyDescent="0.3">
      <c r="A2" s="18" t="s">
        <v>58</v>
      </c>
      <c r="B2" s="42" t="s">
        <v>108</v>
      </c>
      <c r="C2" s="42" t="s">
        <v>109</v>
      </c>
      <c r="D2" s="42" t="s">
        <v>110</v>
      </c>
      <c r="E2" s="42" t="s">
        <v>111</v>
      </c>
      <c r="F2" s="42" t="s">
        <v>112</v>
      </c>
      <c r="G2" s="60">
        <v>840512459.02999997</v>
      </c>
      <c r="H2" s="59"/>
      <c r="I2" s="59"/>
    </row>
    <row r="3" spans="1:9" x14ac:dyDescent="0.3">
      <c r="A3" s="16" t="s">
        <v>134</v>
      </c>
      <c r="B3" s="17">
        <v>2487</v>
      </c>
      <c r="C3" s="16">
        <v>928</v>
      </c>
      <c r="D3" s="17">
        <v>1635090</v>
      </c>
      <c r="E3" s="16">
        <v>31</v>
      </c>
      <c r="F3" s="16">
        <v>12</v>
      </c>
      <c r="G3" s="16">
        <v>1</v>
      </c>
    </row>
    <row r="4" spans="1:9" x14ac:dyDescent="0.3">
      <c r="A4" s="28" t="s">
        <v>149</v>
      </c>
      <c r="B4" s="16">
        <v>1</v>
      </c>
      <c r="C4" s="16">
        <v>0</v>
      </c>
      <c r="D4" s="16">
        <v>0</v>
      </c>
      <c r="E4" s="16">
        <v>2</v>
      </c>
      <c r="F4" s="16">
        <v>3</v>
      </c>
      <c r="G4" s="16">
        <v>0</v>
      </c>
    </row>
    <row r="5" spans="1:9" x14ac:dyDescent="0.3">
      <c r="A5" s="16" t="s">
        <v>136</v>
      </c>
      <c r="B5" s="16">
        <v>0</v>
      </c>
      <c r="C5" s="16">
        <v>0</v>
      </c>
      <c r="D5" s="16">
        <v>0</v>
      </c>
      <c r="E5" s="16">
        <v>0</v>
      </c>
      <c r="F5" s="16">
        <v>5</v>
      </c>
      <c r="G5" s="16">
        <v>0</v>
      </c>
    </row>
    <row r="6" spans="1:9" x14ac:dyDescent="0.3">
      <c r="A6" s="28" t="s">
        <v>137</v>
      </c>
      <c r="B6" s="16">
        <v>0</v>
      </c>
      <c r="C6" s="16">
        <v>0</v>
      </c>
      <c r="D6" s="16">
        <v>0</v>
      </c>
      <c r="E6" s="16">
        <v>2</v>
      </c>
      <c r="F6" s="16">
        <v>0</v>
      </c>
      <c r="G6" s="16">
        <v>0</v>
      </c>
    </row>
    <row r="7" spans="1:9" x14ac:dyDescent="0.3">
      <c r="A7" s="28" t="s">
        <v>140</v>
      </c>
      <c r="B7" s="16">
        <v>11</v>
      </c>
      <c r="C7" s="16">
        <v>0</v>
      </c>
      <c r="D7" s="16">
        <v>0</v>
      </c>
      <c r="E7" s="16">
        <v>1</v>
      </c>
      <c r="F7" s="16">
        <v>2</v>
      </c>
      <c r="G7" s="16">
        <v>1</v>
      </c>
    </row>
    <row r="8" spans="1:9" x14ac:dyDescent="0.3">
      <c r="A8" s="16" t="s">
        <v>161</v>
      </c>
      <c r="B8" s="16">
        <v>2</v>
      </c>
      <c r="C8" s="16">
        <v>0</v>
      </c>
      <c r="D8" s="16">
        <v>0</v>
      </c>
      <c r="E8" s="16">
        <v>0</v>
      </c>
      <c r="F8" s="16">
        <v>5</v>
      </c>
      <c r="G8" s="16">
        <v>6</v>
      </c>
    </row>
    <row r="9" spans="1:9" x14ac:dyDescent="0.3">
      <c r="A9" s="16" t="s">
        <v>142</v>
      </c>
      <c r="B9" s="16">
        <v>0</v>
      </c>
      <c r="C9" s="16">
        <v>0</v>
      </c>
      <c r="D9" s="16">
        <v>0</v>
      </c>
      <c r="E9" s="16">
        <v>0</v>
      </c>
      <c r="F9" s="16">
        <v>2</v>
      </c>
      <c r="G9" s="16">
        <v>0</v>
      </c>
    </row>
    <row r="10" spans="1:9" x14ac:dyDescent="0.3">
      <c r="A10" s="16" t="s">
        <v>143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1</v>
      </c>
    </row>
    <row r="11" spans="1:9" x14ac:dyDescent="0.3">
      <c r="A11" s="28" t="s">
        <v>139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9" x14ac:dyDescent="0.3">
      <c r="A12" s="16" t="s">
        <v>135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1</v>
      </c>
    </row>
    <row r="13" spans="1:9" x14ac:dyDescent="0.3">
      <c r="A13" s="16" t="s">
        <v>57</v>
      </c>
      <c r="B13" s="16">
        <v>0</v>
      </c>
      <c r="C13" s="16">
        <v>0</v>
      </c>
      <c r="D13" s="16">
        <v>0</v>
      </c>
      <c r="E13" s="16">
        <v>0</v>
      </c>
      <c r="F13" s="16">
        <v>2</v>
      </c>
      <c r="G13" s="16">
        <v>8</v>
      </c>
    </row>
    <row r="14" spans="1:9" x14ac:dyDescent="0.3">
      <c r="A14" s="16" t="s">
        <v>162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</row>
    <row r="15" spans="1:9" x14ac:dyDescent="0.3">
      <c r="A15" s="16" t="s">
        <v>84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9" x14ac:dyDescent="0.3">
      <c r="A16" s="4" t="s">
        <v>144</v>
      </c>
      <c r="B16" s="9">
        <v>2501</v>
      </c>
      <c r="C16" s="4">
        <v>928</v>
      </c>
      <c r="D16" s="9">
        <v>1635090</v>
      </c>
      <c r="E16" s="4">
        <v>36</v>
      </c>
      <c r="F16" s="4">
        <v>31</v>
      </c>
      <c r="G16" s="4">
        <v>18</v>
      </c>
    </row>
    <row r="17" spans="1:18" x14ac:dyDescent="0.3">
      <c r="A17" s="24" t="s">
        <v>193</v>
      </c>
    </row>
    <row r="19" spans="1:18" ht="15.6" x14ac:dyDescent="0.3">
      <c r="A19" s="65" t="s">
        <v>421</v>
      </c>
      <c r="B19" s="65"/>
      <c r="C19" s="65"/>
      <c r="D19" s="65"/>
      <c r="E19" s="65"/>
      <c r="F19" s="65"/>
      <c r="G19" s="65"/>
      <c r="H19" s="65"/>
      <c r="K19" s="65" t="s">
        <v>422</v>
      </c>
      <c r="L19" s="65"/>
      <c r="M19" s="65"/>
      <c r="N19" s="65"/>
      <c r="O19" s="65"/>
      <c r="P19" s="65"/>
      <c r="Q19" s="65"/>
      <c r="R19" s="65"/>
    </row>
    <row r="20" spans="1:18" x14ac:dyDescent="0.3">
      <c r="A20" s="12" t="s">
        <v>58</v>
      </c>
      <c r="B20" s="12" t="s">
        <v>108</v>
      </c>
      <c r="C20" s="12" t="s">
        <v>109</v>
      </c>
      <c r="D20" s="12" t="s">
        <v>110</v>
      </c>
      <c r="E20" s="12" t="s">
        <v>111</v>
      </c>
      <c r="F20" s="12" t="s">
        <v>112</v>
      </c>
      <c r="G20" s="12" t="s">
        <v>113</v>
      </c>
      <c r="H20" s="12" t="s">
        <v>219</v>
      </c>
      <c r="K20" s="14" t="s">
        <v>58</v>
      </c>
      <c r="L20" s="14" t="s">
        <v>108</v>
      </c>
      <c r="M20" s="14" t="s">
        <v>109</v>
      </c>
      <c r="N20" s="14" t="s">
        <v>110</v>
      </c>
      <c r="O20" s="14" t="s">
        <v>111</v>
      </c>
      <c r="P20" s="14" t="s">
        <v>112</v>
      </c>
      <c r="Q20" s="14" t="s">
        <v>113</v>
      </c>
      <c r="R20" s="14" t="s">
        <v>219</v>
      </c>
    </row>
    <row r="21" spans="1:18" x14ac:dyDescent="0.3">
      <c r="A21" s="12" t="s">
        <v>248</v>
      </c>
      <c r="B21" s="12" t="s">
        <v>259</v>
      </c>
      <c r="C21" s="12">
        <v>397</v>
      </c>
      <c r="D21" s="12" t="s">
        <v>260</v>
      </c>
      <c r="E21" s="12">
        <v>5</v>
      </c>
      <c r="F21" s="12">
        <v>0</v>
      </c>
      <c r="G21" s="12">
        <v>1</v>
      </c>
      <c r="H21" s="12"/>
      <c r="K21" s="18" t="s">
        <v>360</v>
      </c>
      <c r="L21" s="19">
        <v>3772</v>
      </c>
      <c r="M21" s="19">
        <v>19100</v>
      </c>
      <c r="N21" s="19">
        <v>8499999</v>
      </c>
      <c r="O21" s="18">
        <v>36</v>
      </c>
      <c r="P21" s="18">
        <v>31</v>
      </c>
      <c r="Q21" s="18">
        <v>37</v>
      </c>
      <c r="R21" s="16"/>
    </row>
    <row r="22" spans="1:18" x14ac:dyDescent="0.3">
      <c r="A22" s="12" t="s">
        <v>247</v>
      </c>
      <c r="B22" s="12">
        <v>241</v>
      </c>
      <c r="C22" s="12">
        <v>0</v>
      </c>
      <c r="D22" s="12">
        <v>0</v>
      </c>
      <c r="E22" s="12">
        <v>6</v>
      </c>
      <c r="F22" s="12">
        <v>1</v>
      </c>
      <c r="G22" s="12">
        <v>0</v>
      </c>
      <c r="H22" s="12"/>
      <c r="K22" s="15" t="s">
        <v>246</v>
      </c>
      <c r="L22" s="15">
        <v>17</v>
      </c>
      <c r="M22" s="15">
        <v>60</v>
      </c>
      <c r="N22" s="21">
        <v>116261</v>
      </c>
      <c r="O22" s="15">
        <v>0</v>
      </c>
      <c r="P22" s="15">
        <v>2</v>
      </c>
      <c r="Q22" s="15">
        <v>11</v>
      </c>
      <c r="R22" s="15"/>
    </row>
    <row r="23" spans="1:18" x14ac:dyDescent="0.3">
      <c r="A23" s="12" t="s">
        <v>250</v>
      </c>
      <c r="B23" s="12">
        <v>154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/>
      <c r="K23" s="12" t="s">
        <v>247</v>
      </c>
      <c r="L23" s="12">
        <v>321</v>
      </c>
      <c r="M23" s="20">
        <v>3208</v>
      </c>
      <c r="N23" s="20">
        <v>1188450</v>
      </c>
      <c r="O23" s="12">
        <v>2</v>
      </c>
      <c r="P23" s="12">
        <v>3</v>
      </c>
      <c r="Q23" s="12">
        <v>0</v>
      </c>
      <c r="R23" s="12"/>
    </row>
    <row r="24" spans="1:18" x14ac:dyDescent="0.3">
      <c r="A24" s="12" t="s">
        <v>251</v>
      </c>
      <c r="B24" s="12">
        <v>46</v>
      </c>
      <c r="C24" s="12">
        <v>0</v>
      </c>
      <c r="D24" s="12">
        <v>0</v>
      </c>
      <c r="E24" s="12">
        <v>1</v>
      </c>
      <c r="F24" s="12">
        <v>0</v>
      </c>
      <c r="G24" s="12">
        <v>0</v>
      </c>
      <c r="H24" s="12"/>
      <c r="K24" s="12" t="s">
        <v>248</v>
      </c>
      <c r="L24" s="20">
        <v>2611</v>
      </c>
      <c r="M24" s="20">
        <v>11124</v>
      </c>
      <c r="N24" s="20">
        <v>5012158</v>
      </c>
      <c r="O24" s="12">
        <v>31</v>
      </c>
      <c r="P24" s="12">
        <v>12</v>
      </c>
      <c r="Q24" s="12">
        <v>3</v>
      </c>
      <c r="R24" s="12"/>
    </row>
    <row r="25" spans="1:18" x14ac:dyDescent="0.3">
      <c r="A25" s="12" t="s">
        <v>254</v>
      </c>
      <c r="B25" s="12">
        <v>284</v>
      </c>
      <c r="C25" s="12">
        <v>0</v>
      </c>
      <c r="D25" s="12">
        <v>0</v>
      </c>
      <c r="E25" s="12">
        <v>4</v>
      </c>
      <c r="F25" s="12">
        <v>1</v>
      </c>
      <c r="G25" s="12">
        <v>1</v>
      </c>
      <c r="H25" s="12"/>
      <c r="K25" s="12" t="s">
        <v>249</v>
      </c>
      <c r="L25" s="12">
        <v>5</v>
      </c>
      <c r="M25" s="12">
        <v>0</v>
      </c>
      <c r="N25" s="20">
        <v>51672</v>
      </c>
      <c r="O25" s="12">
        <v>0</v>
      </c>
      <c r="P25" s="12">
        <v>0</v>
      </c>
      <c r="Q25" s="12">
        <v>2</v>
      </c>
      <c r="R25" s="12"/>
    </row>
    <row r="26" spans="1:18" x14ac:dyDescent="0.3">
      <c r="A26" s="12" t="s">
        <v>255</v>
      </c>
      <c r="B26" s="12">
        <v>156</v>
      </c>
      <c r="C26" s="12">
        <v>0</v>
      </c>
      <c r="D26" s="12">
        <v>0</v>
      </c>
      <c r="E26" s="12">
        <v>2</v>
      </c>
      <c r="F26" s="12">
        <v>1</v>
      </c>
      <c r="G26" s="12">
        <v>6</v>
      </c>
      <c r="H26" s="12"/>
      <c r="K26" s="12" t="s">
        <v>250</v>
      </c>
      <c r="L26" s="12">
        <v>180</v>
      </c>
      <c r="M26" s="12">
        <v>420</v>
      </c>
      <c r="N26" s="20">
        <v>503799</v>
      </c>
      <c r="O26" s="12">
        <v>0</v>
      </c>
      <c r="P26" s="12">
        <v>5</v>
      </c>
      <c r="Q26" s="12">
        <v>0</v>
      </c>
      <c r="R26" s="12"/>
    </row>
    <row r="27" spans="1:18" x14ac:dyDescent="0.3">
      <c r="A27" s="12" t="s">
        <v>256</v>
      </c>
      <c r="B27" s="12">
        <v>80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/>
      <c r="K27" s="12" t="s">
        <v>251</v>
      </c>
      <c r="L27" s="12">
        <v>53</v>
      </c>
      <c r="M27" s="12">
        <v>300</v>
      </c>
      <c r="N27" s="20">
        <v>271277</v>
      </c>
      <c r="O27" s="12">
        <v>2</v>
      </c>
      <c r="P27" s="12">
        <v>0</v>
      </c>
      <c r="Q27" s="12">
        <v>0</v>
      </c>
      <c r="R27" s="12"/>
    </row>
    <row r="28" spans="1:18" x14ac:dyDescent="0.3">
      <c r="A28" s="12" t="s">
        <v>258</v>
      </c>
      <c r="B28" s="12">
        <v>74</v>
      </c>
      <c r="C28" s="12">
        <v>0</v>
      </c>
      <c r="D28" s="12">
        <v>0</v>
      </c>
      <c r="E28" s="12">
        <v>2</v>
      </c>
      <c r="F28" s="12">
        <v>0</v>
      </c>
      <c r="G28" s="12">
        <v>1</v>
      </c>
      <c r="H28" s="12"/>
      <c r="K28" s="12" t="s">
        <v>252</v>
      </c>
      <c r="L28" s="12">
        <v>93</v>
      </c>
      <c r="M28" s="12">
        <v>60</v>
      </c>
      <c r="N28" s="20">
        <v>12918</v>
      </c>
      <c r="O28" s="12">
        <v>0</v>
      </c>
      <c r="P28" s="12">
        <v>0</v>
      </c>
      <c r="Q28" s="12">
        <v>3</v>
      </c>
      <c r="R28" s="12"/>
    </row>
    <row r="29" spans="1:18" x14ac:dyDescent="0.3">
      <c r="A29" s="12" t="s">
        <v>253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/>
      <c r="K29" s="12" t="s">
        <v>253</v>
      </c>
      <c r="L29" s="12">
        <v>10</v>
      </c>
      <c r="M29" s="12">
        <v>30</v>
      </c>
      <c r="N29" s="20">
        <v>103343</v>
      </c>
      <c r="O29" s="12">
        <v>0</v>
      </c>
      <c r="P29" s="12">
        <v>0</v>
      </c>
      <c r="Q29" s="12">
        <v>3</v>
      </c>
      <c r="R29" s="12"/>
    </row>
    <row r="30" spans="1:18" x14ac:dyDescent="0.3">
      <c r="A30" s="12" t="s">
        <v>249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1</v>
      </c>
      <c r="H30" s="12"/>
      <c r="K30" s="12" t="s">
        <v>254</v>
      </c>
      <c r="L30" s="12">
        <v>155</v>
      </c>
      <c r="M30" s="20">
        <v>1319</v>
      </c>
      <c r="N30" s="20">
        <v>413374</v>
      </c>
      <c r="O30" s="12">
        <v>1</v>
      </c>
      <c r="P30" s="12">
        <v>2</v>
      </c>
      <c r="Q30" s="12">
        <v>2</v>
      </c>
      <c r="R30" s="12"/>
    </row>
    <row r="31" spans="1:18" x14ac:dyDescent="0.3">
      <c r="A31" s="12" t="s">
        <v>246</v>
      </c>
      <c r="B31" s="12">
        <v>0</v>
      </c>
      <c r="C31" s="12">
        <v>0</v>
      </c>
      <c r="D31" s="12">
        <v>0</v>
      </c>
      <c r="E31" s="12">
        <v>0</v>
      </c>
      <c r="F31" s="12">
        <v>1</v>
      </c>
      <c r="G31" s="12">
        <v>8</v>
      </c>
      <c r="H31" s="12"/>
      <c r="K31" s="12" t="s">
        <v>255</v>
      </c>
      <c r="L31" s="12">
        <v>164</v>
      </c>
      <c r="M31" s="20">
        <v>1319</v>
      </c>
      <c r="N31" s="20">
        <v>361702</v>
      </c>
      <c r="O31" s="12">
        <v>0</v>
      </c>
      <c r="P31" s="12">
        <v>5</v>
      </c>
      <c r="Q31" s="12">
        <v>11</v>
      </c>
      <c r="R31" s="12"/>
    </row>
    <row r="32" spans="1:18" x14ac:dyDescent="0.3">
      <c r="A32" s="12" t="s">
        <v>252</v>
      </c>
      <c r="B32" s="12">
        <v>78</v>
      </c>
      <c r="C32" s="12">
        <v>0</v>
      </c>
      <c r="D32" s="12">
        <v>0</v>
      </c>
      <c r="E32" s="12">
        <v>1</v>
      </c>
      <c r="F32" s="12">
        <v>0</v>
      </c>
      <c r="G32" s="12">
        <v>0</v>
      </c>
      <c r="H32" s="12"/>
      <c r="K32" s="12" t="s">
        <v>256</v>
      </c>
      <c r="L32" s="12">
        <v>84</v>
      </c>
      <c r="M32" s="12">
        <v>360</v>
      </c>
      <c r="N32" s="20">
        <v>129179</v>
      </c>
      <c r="O32" s="12">
        <v>0</v>
      </c>
      <c r="P32" s="12">
        <v>2</v>
      </c>
      <c r="Q32" s="12">
        <v>0</v>
      </c>
      <c r="R32" s="12"/>
    </row>
    <row r="33" spans="1:19" x14ac:dyDescent="0.3">
      <c r="A33" s="14" t="s">
        <v>257</v>
      </c>
      <c r="B33" s="14">
        <v>16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/>
      <c r="K33" s="12" t="s">
        <v>257</v>
      </c>
      <c r="L33" s="12">
        <v>2</v>
      </c>
      <c r="M33" s="12">
        <v>0</v>
      </c>
      <c r="N33" s="20">
        <v>25836</v>
      </c>
      <c r="O33" s="12">
        <v>0</v>
      </c>
      <c r="P33" s="12">
        <v>0</v>
      </c>
      <c r="Q33" s="12">
        <v>0</v>
      </c>
      <c r="R33" s="12"/>
    </row>
    <row r="34" spans="1:19" x14ac:dyDescent="0.3">
      <c r="A34" s="16" t="s">
        <v>71</v>
      </c>
      <c r="B34" s="17">
        <v>7368</v>
      </c>
      <c r="C34" s="16">
        <v>397</v>
      </c>
      <c r="D34" s="17">
        <v>2209679</v>
      </c>
      <c r="E34" s="16">
        <v>23</v>
      </c>
      <c r="F34" s="16">
        <v>4</v>
      </c>
      <c r="G34" s="16">
        <v>18</v>
      </c>
      <c r="H34" s="16"/>
      <c r="K34" s="14" t="s">
        <v>258</v>
      </c>
      <c r="L34" s="14">
        <v>77</v>
      </c>
      <c r="M34" s="14">
        <v>900</v>
      </c>
      <c r="N34" s="22">
        <v>310030</v>
      </c>
      <c r="O34" s="14">
        <v>0</v>
      </c>
      <c r="P34" s="14">
        <v>0</v>
      </c>
      <c r="Q34" s="14">
        <v>2</v>
      </c>
      <c r="R34" s="14"/>
    </row>
    <row r="35" spans="1:19" x14ac:dyDescent="0.3">
      <c r="K35" s="18" t="s">
        <v>361</v>
      </c>
      <c r="L35" s="19">
        <v>2088</v>
      </c>
      <c r="M35" s="18">
        <v>928</v>
      </c>
      <c r="N35" s="19">
        <v>1635090</v>
      </c>
      <c r="O35" s="18">
        <v>7</v>
      </c>
      <c r="P35" s="18">
        <v>4</v>
      </c>
      <c r="Q35" s="25">
        <v>0</v>
      </c>
      <c r="R35" s="23"/>
      <c r="S35" s="24"/>
    </row>
    <row r="36" spans="1:19" x14ac:dyDescent="0.3">
      <c r="A36" s="64" t="s">
        <v>261</v>
      </c>
      <c r="B36" s="64"/>
      <c r="C36" s="64"/>
      <c r="D36" s="64"/>
      <c r="E36" s="64"/>
      <c r="F36" s="64"/>
      <c r="G36" s="64"/>
      <c r="H36" s="64"/>
      <c r="K36" s="16" t="s">
        <v>246</v>
      </c>
      <c r="L36" s="16">
        <v>0</v>
      </c>
      <c r="M36" s="16">
        <v>0</v>
      </c>
      <c r="N36" s="16">
        <v>0</v>
      </c>
      <c r="O36" s="16">
        <v>0</v>
      </c>
      <c r="P36" s="16">
        <v>1</v>
      </c>
      <c r="Q36" s="23">
        <v>0</v>
      </c>
      <c r="R36" s="23"/>
      <c r="S36" s="24"/>
    </row>
    <row r="37" spans="1:19" x14ac:dyDescent="0.3">
      <c r="K37" s="16" t="s">
        <v>247</v>
      </c>
      <c r="L37" s="16">
        <v>0</v>
      </c>
      <c r="M37" s="16">
        <v>0</v>
      </c>
      <c r="N37" s="16">
        <v>0</v>
      </c>
      <c r="O37" s="16">
        <v>3</v>
      </c>
      <c r="P37" s="16">
        <v>0</v>
      </c>
      <c r="Q37" s="23">
        <v>0</v>
      </c>
      <c r="R37" s="23"/>
      <c r="S37" s="24"/>
    </row>
    <row r="38" spans="1:19" x14ac:dyDescent="0.3">
      <c r="K38" s="16" t="s">
        <v>248</v>
      </c>
      <c r="L38" s="17">
        <v>1950</v>
      </c>
      <c r="M38" s="16">
        <v>928</v>
      </c>
      <c r="N38" s="17">
        <v>1635090</v>
      </c>
      <c r="O38" s="16">
        <v>2</v>
      </c>
      <c r="P38" s="16">
        <v>3</v>
      </c>
      <c r="Q38" s="23">
        <v>0</v>
      </c>
      <c r="R38" s="23"/>
      <c r="S38" s="24"/>
    </row>
    <row r="39" spans="1:19" x14ac:dyDescent="0.3">
      <c r="K39" s="16" t="s">
        <v>249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23">
        <v>0</v>
      </c>
      <c r="R39" s="23"/>
      <c r="S39" s="24"/>
    </row>
    <row r="40" spans="1:19" x14ac:dyDescent="0.3">
      <c r="K40" s="16" t="s">
        <v>250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23">
        <v>0</v>
      </c>
      <c r="R40" s="23"/>
      <c r="S40" s="24"/>
    </row>
    <row r="41" spans="1:19" x14ac:dyDescent="0.3">
      <c r="K41" s="16" t="s">
        <v>251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/>
    </row>
    <row r="42" spans="1:19" x14ac:dyDescent="0.3">
      <c r="K42" s="16" t="s">
        <v>252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/>
    </row>
    <row r="43" spans="1:19" x14ac:dyDescent="0.3">
      <c r="K43" s="16" t="s">
        <v>253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/>
    </row>
    <row r="44" spans="1:19" x14ac:dyDescent="0.3">
      <c r="A44" s="66"/>
      <c r="B44" s="66"/>
      <c r="C44" s="66"/>
      <c r="D44" s="66"/>
      <c r="E44" s="66"/>
      <c r="F44" s="66"/>
      <c r="K44" s="16" t="s">
        <v>254</v>
      </c>
      <c r="L44" s="16">
        <v>138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/>
    </row>
    <row r="45" spans="1:19" x14ac:dyDescent="0.3">
      <c r="A45" s="66"/>
      <c r="B45" s="66"/>
      <c r="C45" s="66"/>
      <c r="D45" s="66"/>
      <c r="E45" s="66"/>
      <c r="F45" s="66"/>
      <c r="K45" s="16" t="s">
        <v>255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/>
    </row>
    <row r="46" spans="1:19" x14ac:dyDescent="0.3">
      <c r="A46" s="66"/>
      <c r="B46" s="66"/>
      <c r="C46" s="66"/>
      <c r="D46" s="66"/>
      <c r="E46" s="66"/>
      <c r="F46" s="66"/>
      <c r="K46" s="16" t="s">
        <v>256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/>
    </row>
    <row r="47" spans="1:19" x14ac:dyDescent="0.3">
      <c r="A47" s="66"/>
      <c r="B47" s="66"/>
      <c r="C47" s="66"/>
      <c r="D47" s="66"/>
      <c r="E47" s="66"/>
      <c r="F47" s="66"/>
      <c r="K47" s="16" t="s">
        <v>257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/>
    </row>
    <row r="48" spans="1:19" x14ac:dyDescent="0.3">
      <c r="A48" s="66"/>
      <c r="B48" s="66"/>
      <c r="C48" s="66"/>
      <c r="D48" s="66"/>
      <c r="E48" s="66"/>
      <c r="F48" s="66"/>
      <c r="K48" s="16" t="s">
        <v>258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/>
    </row>
    <row r="49" spans="1:18" x14ac:dyDescent="0.3">
      <c r="A49" s="66"/>
      <c r="B49" s="66"/>
      <c r="C49" s="66"/>
      <c r="D49" s="66"/>
      <c r="E49" s="66"/>
      <c r="F49" s="66"/>
      <c r="K49" s="16" t="s">
        <v>362</v>
      </c>
      <c r="L49" s="16">
        <f>SUM(L36:L48)</f>
        <v>2088</v>
      </c>
      <c r="M49" s="16">
        <f>SUM(M36:M48)</f>
        <v>928</v>
      </c>
      <c r="N49" s="16">
        <f>SUM(N36:N48)</f>
        <v>1635090</v>
      </c>
      <c r="O49" s="16">
        <v>1</v>
      </c>
      <c r="P49" s="16">
        <v>0</v>
      </c>
      <c r="Q49" s="16">
        <v>0</v>
      </c>
      <c r="R49" s="16"/>
    </row>
    <row r="50" spans="1:18" x14ac:dyDescent="0.3">
      <c r="K50" t="s">
        <v>363</v>
      </c>
    </row>
    <row r="51" spans="1:18" x14ac:dyDescent="0.3">
      <c r="K51" t="s">
        <v>364</v>
      </c>
    </row>
  </sheetData>
  <mergeCells count="9">
    <mergeCell ref="K19:R19"/>
    <mergeCell ref="A49:F49"/>
    <mergeCell ref="A36:H36"/>
    <mergeCell ref="A19:H19"/>
    <mergeCell ref="A44:F44"/>
    <mergeCell ref="A45:F45"/>
    <mergeCell ref="A46:F46"/>
    <mergeCell ref="A47:F47"/>
    <mergeCell ref="A48:F4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G17"/>
  <sheetViews>
    <sheetView showGridLines="0" workbookViewId="0">
      <selection activeCell="K20" sqref="K20"/>
    </sheetView>
  </sheetViews>
  <sheetFormatPr baseColWidth="10" defaultColWidth="8.6640625" defaultRowHeight="14.4" x14ac:dyDescent="0.3"/>
  <cols>
    <col min="1" max="1" width="14" bestFit="1" customWidth="1"/>
    <col min="2" max="2" width="10.44140625" bestFit="1" customWidth="1"/>
    <col min="3" max="3" width="8.109375" bestFit="1" customWidth="1"/>
    <col min="4" max="5" width="12.6640625" bestFit="1" customWidth="1"/>
    <col min="6" max="6" width="9.33203125" bestFit="1" customWidth="1"/>
    <col min="7" max="7" width="15.33203125" bestFit="1" customWidth="1"/>
    <col min="8" max="8" width="7" bestFit="1" customWidth="1"/>
  </cols>
  <sheetData>
    <row r="1" spans="1:7" x14ac:dyDescent="0.3">
      <c r="A1" s="1" t="s">
        <v>114</v>
      </c>
    </row>
    <row r="2" spans="1:7" x14ac:dyDescent="0.3">
      <c r="A2" s="4" t="s">
        <v>58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</row>
    <row r="3" spans="1:7" x14ac:dyDescent="0.3">
      <c r="A3" t="s">
        <v>134</v>
      </c>
      <c r="B3" s="8">
        <v>2916</v>
      </c>
      <c r="C3">
        <v>928</v>
      </c>
      <c r="D3" s="8">
        <v>1635090</v>
      </c>
      <c r="E3">
        <v>8</v>
      </c>
      <c r="F3">
        <v>0</v>
      </c>
      <c r="G3">
        <v>1</v>
      </c>
    </row>
    <row r="4" spans="1:7" x14ac:dyDescent="0.3">
      <c r="A4" s="3" t="s">
        <v>149</v>
      </c>
      <c r="B4">
        <v>187</v>
      </c>
      <c r="C4">
        <v>0</v>
      </c>
      <c r="D4">
        <v>0</v>
      </c>
      <c r="E4">
        <v>7</v>
      </c>
      <c r="F4">
        <v>2</v>
      </c>
      <c r="G4">
        <v>0</v>
      </c>
    </row>
    <row r="5" spans="1:7" x14ac:dyDescent="0.3">
      <c r="A5" t="s">
        <v>136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s="3" t="s">
        <v>137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</row>
    <row r="7" spans="1:7" x14ac:dyDescent="0.3">
      <c r="A7" s="3" t="s">
        <v>140</v>
      </c>
      <c r="B7">
        <v>139</v>
      </c>
      <c r="C7">
        <v>0</v>
      </c>
      <c r="D7">
        <v>0</v>
      </c>
      <c r="E7">
        <v>6</v>
      </c>
      <c r="F7">
        <v>1</v>
      </c>
      <c r="G7">
        <v>1</v>
      </c>
    </row>
    <row r="8" spans="1:7" x14ac:dyDescent="0.3">
      <c r="A8" s="3" t="s">
        <v>141</v>
      </c>
      <c r="B8">
        <v>2</v>
      </c>
      <c r="C8">
        <v>0</v>
      </c>
      <c r="D8">
        <v>0</v>
      </c>
      <c r="E8">
        <v>3</v>
      </c>
      <c r="F8">
        <v>1</v>
      </c>
      <c r="G8">
        <v>6</v>
      </c>
    </row>
    <row r="9" spans="1:7" x14ac:dyDescent="0.3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143</v>
      </c>
      <c r="B10">
        <v>0</v>
      </c>
      <c r="C10">
        <v>0</v>
      </c>
      <c r="D10">
        <v>0</v>
      </c>
      <c r="E10">
        <v>4</v>
      </c>
      <c r="F10">
        <v>1</v>
      </c>
      <c r="G10">
        <v>1</v>
      </c>
    </row>
    <row r="11" spans="1:7" x14ac:dyDescent="0.3">
      <c r="A11" s="3" t="s">
        <v>139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3">
      <c r="A12" t="s">
        <v>135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</row>
    <row r="13" spans="1:7" x14ac:dyDescent="0.3">
      <c r="A13" t="s">
        <v>57</v>
      </c>
      <c r="B13">
        <v>0</v>
      </c>
      <c r="C13">
        <v>0</v>
      </c>
      <c r="D13">
        <v>0</v>
      </c>
      <c r="E13">
        <v>0</v>
      </c>
      <c r="F13">
        <v>2</v>
      </c>
      <c r="G13">
        <v>8</v>
      </c>
    </row>
    <row r="14" spans="1:7" x14ac:dyDescent="0.3">
      <c r="A14" s="3" t="s">
        <v>138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</row>
    <row r="15" spans="1:7" x14ac:dyDescent="0.3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s="4" t="s">
        <v>144</v>
      </c>
      <c r="B16" s="9">
        <v>3244</v>
      </c>
      <c r="C16" s="4">
        <v>928</v>
      </c>
      <c r="D16" s="9">
        <v>1635090</v>
      </c>
      <c r="E16" s="4">
        <v>34</v>
      </c>
      <c r="F16" s="4">
        <v>9</v>
      </c>
      <c r="G16" s="4">
        <v>18</v>
      </c>
    </row>
    <row r="17" spans="1:1" x14ac:dyDescent="0.3">
      <c r="A17" s="7" t="s">
        <v>193</v>
      </c>
    </row>
  </sheetData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showGridLines="0" zoomScale="90" zoomScaleNormal="90" workbookViewId="0">
      <selection activeCell="D10" sqref="D10"/>
    </sheetView>
  </sheetViews>
  <sheetFormatPr baseColWidth="10" defaultColWidth="8.6640625" defaultRowHeight="14.4" x14ac:dyDescent="0.3"/>
  <cols>
    <col min="1" max="1" width="19.109375" customWidth="1"/>
    <col min="2" max="2" width="19" customWidth="1"/>
    <col min="3" max="3" width="16.5546875" customWidth="1"/>
    <col min="4" max="4" width="20" bestFit="1" customWidth="1"/>
    <col min="5" max="5" width="23.44140625" bestFit="1" customWidth="1"/>
    <col min="6" max="6" width="20" bestFit="1" customWidth="1"/>
    <col min="7" max="7" width="16" customWidth="1"/>
  </cols>
  <sheetData>
    <row r="1" spans="1:9" x14ac:dyDescent="0.3">
      <c r="A1" s="16" t="s">
        <v>66</v>
      </c>
      <c r="B1" s="16"/>
      <c r="C1" s="16"/>
      <c r="D1" s="16"/>
      <c r="E1" s="16"/>
      <c r="F1" s="16"/>
      <c r="G1" s="16"/>
    </row>
    <row r="2" spans="1:9" x14ac:dyDescent="0.3">
      <c r="A2" s="67" t="s">
        <v>58</v>
      </c>
      <c r="B2" s="67" t="s">
        <v>146</v>
      </c>
      <c r="C2" s="67"/>
      <c r="D2" s="67" t="s">
        <v>67</v>
      </c>
      <c r="E2" s="67" t="s">
        <v>192</v>
      </c>
      <c r="F2" s="67" t="s">
        <v>68</v>
      </c>
      <c r="G2" s="67" t="s">
        <v>69</v>
      </c>
      <c r="H2" s="59">
        <v>1103902615.1700001</v>
      </c>
      <c r="I2" s="59">
        <v>1509389094.9200001</v>
      </c>
    </row>
    <row r="3" spans="1:9" x14ac:dyDescent="0.3">
      <c r="A3" s="67"/>
      <c r="B3" s="43" t="s">
        <v>147</v>
      </c>
      <c r="C3" s="43" t="s">
        <v>148</v>
      </c>
      <c r="D3" s="67"/>
      <c r="E3" s="67"/>
      <c r="F3" s="67"/>
      <c r="G3" s="67"/>
    </row>
    <row r="4" spans="1:9" x14ac:dyDescent="0.3">
      <c r="A4" s="16" t="s">
        <v>57</v>
      </c>
      <c r="B4" s="16">
        <v>31</v>
      </c>
      <c r="C4" s="16">
        <v>8</v>
      </c>
      <c r="D4" s="16">
        <v>33</v>
      </c>
      <c r="E4" s="17">
        <v>239906</v>
      </c>
      <c r="F4" s="17">
        <v>6998</v>
      </c>
      <c r="G4" s="16">
        <v>85</v>
      </c>
    </row>
    <row r="5" spans="1:9" x14ac:dyDescent="0.3">
      <c r="A5" s="16" t="s">
        <v>149</v>
      </c>
      <c r="B5" s="16">
        <v>39</v>
      </c>
      <c r="C5" s="16">
        <v>1</v>
      </c>
      <c r="D5" s="16">
        <v>509</v>
      </c>
      <c r="E5" s="17">
        <v>176665</v>
      </c>
      <c r="F5" s="17">
        <v>10285</v>
      </c>
      <c r="G5" s="16">
        <v>32</v>
      </c>
    </row>
    <row r="6" spans="1:9" x14ac:dyDescent="0.3">
      <c r="A6" s="16" t="s">
        <v>134</v>
      </c>
      <c r="B6" s="16">
        <v>90</v>
      </c>
      <c r="C6" s="16">
        <v>1</v>
      </c>
      <c r="D6" s="17">
        <v>114756</v>
      </c>
      <c r="E6" s="17">
        <v>571707</v>
      </c>
      <c r="F6" s="17">
        <v>89633</v>
      </c>
      <c r="G6" s="16">
        <v>106</v>
      </c>
    </row>
    <row r="7" spans="1:9" x14ac:dyDescent="0.3">
      <c r="A7" s="16" t="s">
        <v>135</v>
      </c>
      <c r="B7" s="16">
        <v>113</v>
      </c>
      <c r="C7" s="16">
        <v>0</v>
      </c>
      <c r="D7" s="16">
        <v>139</v>
      </c>
      <c r="E7" s="17">
        <v>350937</v>
      </c>
      <c r="F7" s="17">
        <v>12633</v>
      </c>
      <c r="G7" s="16">
        <v>117</v>
      </c>
    </row>
    <row r="8" spans="1:9" x14ac:dyDescent="0.3">
      <c r="A8" s="16" t="s">
        <v>136</v>
      </c>
      <c r="B8" s="16">
        <v>60</v>
      </c>
      <c r="C8" s="16">
        <v>12</v>
      </c>
      <c r="D8" s="16">
        <v>442</v>
      </c>
      <c r="E8" s="17">
        <v>444283</v>
      </c>
      <c r="F8" s="17">
        <v>44851</v>
      </c>
      <c r="G8" s="16">
        <v>104</v>
      </c>
    </row>
    <row r="9" spans="1:9" x14ac:dyDescent="0.3">
      <c r="A9" s="16" t="s">
        <v>137</v>
      </c>
      <c r="B9" s="16">
        <v>86</v>
      </c>
      <c r="C9" s="16">
        <v>8</v>
      </c>
      <c r="D9" s="16">
        <v>423</v>
      </c>
      <c r="E9" s="17">
        <v>491985</v>
      </c>
      <c r="F9" s="17">
        <v>22995</v>
      </c>
      <c r="G9" s="16">
        <v>121</v>
      </c>
    </row>
    <row r="10" spans="1:9" x14ac:dyDescent="0.3">
      <c r="A10" s="16" t="s">
        <v>138</v>
      </c>
      <c r="B10" s="16">
        <v>10</v>
      </c>
      <c r="C10" s="16">
        <v>0</v>
      </c>
      <c r="D10" s="16">
        <v>95</v>
      </c>
      <c r="E10" s="17">
        <v>36910</v>
      </c>
      <c r="F10" s="17">
        <v>2959</v>
      </c>
      <c r="G10" s="16">
        <v>9</v>
      </c>
    </row>
    <row r="11" spans="1:9" x14ac:dyDescent="0.3">
      <c r="A11" s="16" t="s">
        <v>139</v>
      </c>
      <c r="B11" s="16">
        <v>65</v>
      </c>
      <c r="C11" s="16">
        <v>0</v>
      </c>
      <c r="D11" s="16">
        <v>163</v>
      </c>
      <c r="E11" s="17">
        <v>303096</v>
      </c>
      <c r="F11" s="17">
        <v>19845</v>
      </c>
      <c r="G11" s="16">
        <v>76</v>
      </c>
    </row>
    <row r="12" spans="1:9" x14ac:dyDescent="0.3">
      <c r="A12" s="16" t="s">
        <v>140</v>
      </c>
      <c r="B12" s="16">
        <v>37</v>
      </c>
      <c r="C12" s="16">
        <v>0</v>
      </c>
      <c r="D12" s="16">
        <v>189</v>
      </c>
      <c r="E12" s="17">
        <v>144555</v>
      </c>
      <c r="F12" s="17">
        <v>8236</v>
      </c>
      <c r="G12" s="16">
        <v>35</v>
      </c>
    </row>
    <row r="13" spans="1:9" x14ac:dyDescent="0.3">
      <c r="A13" s="16" t="s">
        <v>141</v>
      </c>
      <c r="B13" s="16">
        <v>55</v>
      </c>
      <c r="C13" s="16">
        <v>0</v>
      </c>
      <c r="D13" s="16">
        <v>123</v>
      </c>
      <c r="E13" s="17">
        <v>235365</v>
      </c>
      <c r="F13" s="17">
        <v>11381</v>
      </c>
      <c r="G13" s="16">
        <v>77</v>
      </c>
    </row>
    <row r="14" spans="1:9" x14ac:dyDescent="0.3">
      <c r="A14" s="16" t="s">
        <v>142</v>
      </c>
      <c r="B14" s="16">
        <v>11</v>
      </c>
      <c r="C14" s="16">
        <v>115</v>
      </c>
      <c r="D14" s="16">
        <v>28</v>
      </c>
      <c r="E14" s="17">
        <v>66440</v>
      </c>
      <c r="F14" s="17">
        <v>1629</v>
      </c>
      <c r="G14" s="16">
        <v>146</v>
      </c>
    </row>
    <row r="15" spans="1:9" x14ac:dyDescent="0.3">
      <c r="A15" s="16" t="s">
        <v>84</v>
      </c>
      <c r="B15" s="16">
        <v>8</v>
      </c>
      <c r="C15" s="16">
        <v>0</v>
      </c>
      <c r="D15" s="16">
        <v>29</v>
      </c>
      <c r="E15" s="17">
        <v>50418</v>
      </c>
      <c r="F15" s="17">
        <v>4107</v>
      </c>
      <c r="G15" s="16">
        <v>13</v>
      </c>
    </row>
    <row r="16" spans="1:9" x14ac:dyDescent="0.3">
      <c r="A16" s="16" t="s">
        <v>143</v>
      </c>
      <c r="B16" s="16">
        <v>20</v>
      </c>
      <c r="C16" s="16">
        <v>1</v>
      </c>
      <c r="D16" s="16">
        <v>141</v>
      </c>
      <c r="E16" s="17">
        <v>39995</v>
      </c>
      <c r="F16" s="17">
        <v>4407</v>
      </c>
      <c r="G16" s="16">
        <v>15</v>
      </c>
    </row>
    <row r="17" spans="1:7" x14ac:dyDescent="0.3">
      <c r="A17" s="28" t="s">
        <v>144</v>
      </c>
      <c r="B17" s="16">
        <v>625</v>
      </c>
      <c r="C17" s="16">
        <v>146</v>
      </c>
      <c r="D17" s="16">
        <v>117076</v>
      </c>
      <c r="E17" s="44">
        <v>3152267</v>
      </c>
      <c r="F17" s="17">
        <v>239959</v>
      </c>
      <c r="G17" s="16">
        <v>936</v>
      </c>
    </row>
    <row r="18" spans="1:7" x14ac:dyDescent="0.3">
      <c r="A18" t="s">
        <v>70</v>
      </c>
    </row>
    <row r="20" spans="1:7" ht="15.6" x14ac:dyDescent="0.3">
      <c r="A20" s="65" t="s">
        <v>263</v>
      </c>
      <c r="B20" s="65"/>
      <c r="C20" s="65"/>
      <c r="D20" s="65"/>
      <c r="E20" s="65"/>
      <c r="F20" s="65"/>
      <c r="G20" s="65"/>
    </row>
    <row r="21" spans="1:7" x14ac:dyDescent="0.3">
      <c r="A21" s="67" t="s">
        <v>58</v>
      </c>
      <c r="B21" s="67" t="s">
        <v>146</v>
      </c>
      <c r="C21" s="67"/>
      <c r="D21" s="67" t="s">
        <v>67</v>
      </c>
      <c r="E21" s="67" t="s">
        <v>192</v>
      </c>
      <c r="F21" s="67" t="s">
        <v>68</v>
      </c>
      <c r="G21" s="67" t="s">
        <v>69</v>
      </c>
    </row>
    <row r="22" spans="1:7" x14ac:dyDescent="0.3">
      <c r="A22" s="67"/>
      <c r="B22" s="43" t="s">
        <v>147</v>
      </c>
      <c r="C22" s="43" t="s">
        <v>148</v>
      </c>
      <c r="D22" s="67"/>
      <c r="E22" s="67"/>
      <c r="F22" s="67"/>
      <c r="G22" s="67"/>
    </row>
    <row r="23" spans="1:7" x14ac:dyDescent="0.3">
      <c r="A23" s="12" t="s">
        <v>246</v>
      </c>
      <c r="B23" s="12">
        <v>36</v>
      </c>
      <c r="C23" s="12">
        <v>9</v>
      </c>
      <c r="D23" s="12">
        <v>39</v>
      </c>
      <c r="E23" s="12" t="s">
        <v>264</v>
      </c>
      <c r="F23" s="12" t="s">
        <v>265</v>
      </c>
      <c r="G23" s="12">
        <v>98</v>
      </c>
    </row>
    <row r="24" spans="1:7" x14ac:dyDescent="0.3">
      <c r="A24" s="12" t="s">
        <v>247</v>
      </c>
      <c r="B24" s="12">
        <v>45</v>
      </c>
      <c r="C24" s="12">
        <v>1</v>
      </c>
      <c r="D24" s="12">
        <v>585</v>
      </c>
      <c r="E24" s="12" t="s">
        <v>266</v>
      </c>
      <c r="F24" s="12" t="s">
        <v>267</v>
      </c>
      <c r="G24" s="12">
        <v>37</v>
      </c>
    </row>
    <row r="25" spans="1:7" x14ac:dyDescent="0.3">
      <c r="A25" s="12" t="s">
        <v>248</v>
      </c>
      <c r="B25" s="12">
        <v>104</v>
      </c>
      <c r="C25" s="12">
        <v>1</v>
      </c>
      <c r="D25" s="12" t="s">
        <v>268</v>
      </c>
      <c r="E25" s="12" t="s">
        <v>269</v>
      </c>
      <c r="F25" s="12" t="s">
        <v>270</v>
      </c>
      <c r="G25" s="12">
        <v>122</v>
      </c>
    </row>
    <row r="26" spans="1:7" x14ac:dyDescent="0.3">
      <c r="A26" s="12" t="s">
        <v>249</v>
      </c>
      <c r="B26" s="12">
        <v>130</v>
      </c>
      <c r="C26" s="12">
        <v>0</v>
      </c>
      <c r="D26" s="12">
        <v>161</v>
      </c>
      <c r="E26" s="12" t="s">
        <v>271</v>
      </c>
      <c r="F26" s="12" t="s">
        <v>272</v>
      </c>
      <c r="G26" s="12">
        <v>135</v>
      </c>
    </row>
    <row r="27" spans="1:7" x14ac:dyDescent="0.3">
      <c r="A27" s="12" t="s">
        <v>250</v>
      </c>
      <c r="B27" s="12">
        <v>69</v>
      </c>
      <c r="C27" s="12">
        <v>14</v>
      </c>
      <c r="D27" s="12">
        <v>509</v>
      </c>
      <c r="E27" s="12" t="s">
        <v>273</v>
      </c>
      <c r="F27" s="12" t="s">
        <v>274</v>
      </c>
      <c r="G27" s="12">
        <v>120</v>
      </c>
    </row>
    <row r="28" spans="1:7" x14ac:dyDescent="0.3">
      <c r="A28" s="12" t="s">
        <v>251</v>
      </c>
      <c r="B28" s="12">
        <v>99</v>
      </c>
      <c r="C28" s="12">
        <v>9</v>
      </c>
      <c r="D28" s="12">
        <v>487</v>
      </c>
      <c r="E28" s="12" t="s">
        <v>275</v>
      </c>
      <c r="F28" s="12" t="s">
        <v>276</v>
      </c>
      <c r="G28" s="12">
        <v>139</v>
      </c>
    </row>
    <row r="29" spans="1:7" x14ac:dyDescent="0.3">
      <c r="A29" s="12" t="s">
        <v>252</v>
      </c>
      <c r="B29" s="12">
        <v>12</v>
      </c>
      <c r="C29" s="12">
        <v>0</v>
      </c>
      <c r="D29" s="12">
        <v>110</v>
      </c>
      <c r="E29" s="12" t="s">
        <v>277</v>
      </c>
      <c r="F29" s="12" t="s">
        <v>278</v>
      </c>
      <c r="G29" s="12">
        <v>10</v>
      </c>
    </row>
    <row r="30" spans="1:7" x14ac:dyDescent="0.3">
      <c r="A30" s="12" t="s">
        <v>253</v>
      </c>
      <c r="B30" s="12">
        <v>75</v>
      </c>
      <c r="C30" s="12">
        <v>0</v>
      </c>
      <c r="D30" s="12">
        <v>188</v>
      </c>
      <c r="E30" s="12" t="s">
        <v>279</v>
      </c>
      <c r="F30" s="12" t="s">
        <v>280</v>
      </c>
      <c r="G30" s="12">
        <v>87</v>
      </c>
    </row>
    <row r="31" spans="1:7" x14ac:dyDescent="0.3">
      <c r="A31" s="12" t="s">
        <v>254</v>
      </c>
      <c r="B31" s="12">
        <v>43</v>
      </c>
      <c r="C31" s="12">
        <v>0</v>
      </c>
      <c r="D31" s="12">
        <v>217</v>
      </c>
      <c r="E31" s="12" t="s">
        <v>281</v>
      </c>
      <c r="F31" s="12" t="s">
        <v>282</v>
      </c>
      <c r="G31" s="12">
        <v>40</v>
      </c>
    </row>
    <row r="32" spans="1:7" x14ac:dyDescent="0.3">
      <c r="A32" s="12" t="s">
        <v>255</v>
      </c>
      <c r="B32" s="12">
        <v>63</v>
      </c>
      <c r="C32" s="12">
        <v>0</v>
      </c>
      <c r="D32" s="12">
        <v>142</v>
      </c>
      <c r="E32" s="12" t="s">
        <v>283</v>
      </c>
      <c r="F32" s="12" t="s">
        <v>284</v>
      </c>
      <c r="G32" s="12">
        <v>89</v>
      </c>
    </row>
    <row r="33" spans="1:7" x14ac:dyDescent="0.3">
      <c r="A33" s="12" t="s">
        <v>256</v>
      </c>
      <c r="B33" s="12">
        <v>13</v>
      </c>
      <c r="C33" s="12">
        <v>132</v>
      </c>
      <c r="D33" s="12">
        <v>33</v>
      </c>
      <c r="E33" s="12" t="s">
        <v>285</v>
      </c>
      <c r="F33" s="12" t="s">
        <v>286</v>
      </c>
      <c r="G33" s="12">
        <v>168</v>
      </c>
    </row>
    <row r="34" spans="1:7" x14ac:dyDescent="0.3">
      <c r="A34" s="12" t="s">
        <v>257</v>
      </c>
      <c r="B34" s="12">
        <v>9</v>
      </c>
      <c r="C34" s="12">
        <v>0</v>
      </c>
      <c r="D34" s="12">
        <v>34</v>
      </c>
      <c r="E34" s="12" t="s">
        <v>287</v>
      </c>
      <c r="F34" s="12" t="s">
        <v>288</v>
      </c>
      <c r="G34" s="12">
        <v>15</v>
      </c>
    </row>
    <row r="35" spans="1:7" x14ac:dyDescent="0.3">
      <c r="A35" s="12" t="s">
        <v>258</v>
      </c>
      <c r="B35" s="12">
        <v>23</v>
      </c>
      <c r="C35" s="12">
        <v>1</v>
      </c>
      <c r="D35" s="12">
        <v>163</v>
      </c>
      <c r="E35" s="12" t="s">
        <v>289</v>
      </c>
      <c r="F35" s="12" t="s">
        <v>290</v>
      </c>
      <c r="G35" s="12">
        <v>17</v>
      </c>
    </row>
    <row r="36" spans="1:7" x14ac:dyDescent="0.3">
      <c r="A36" s="12" t="s">
        <v>291</v>
      </c>
      <c r="B36" s="12">
        <v>721</v>
      </c>
      <c r="C36" s="12">
        <v>167</v>
      </c>
      <c r="D36" s="12" t="s">
        <v>292</v>
      </c>
      <c r="E36" s="12" t="s">
        <v>293</v>
      </c>
      <c r="F36" s="12" t="s">
        <v>294</v>
      </c>
      <c r="G36" s="12" t="s">
        <v>295</v>
      </c>
    </row>
    <row r="38" spans="1:7" x14ac:dyDescent="0.3">
      <c r="A38" s="64" t="s">
        <v>296</v>
      </c>
      <c r="B38" s="64"/>
      <c r="C38" s="64"/>
      <c r="D38" s="64"/>
      <c r="E38" s="64"/>
      <c r="F38" s="64"/>
      <c r="G38" s="64"/>
    </row>
    <row r="39" spans="1:7" x14ac:dyDescent="0.3">
      <c r="A39" s="64" t="s">
        <v>263</v>
      </c>
      <c r="B39" s="64"/>
      <c r="C39" s="64"/>
      <c r="D39" s="64"/>
      <c r="E39" s="64"/>
      <c r="F39" s="64"/>
      <c r="G39" s="64"/>
    </row>
    <row r="41" spans="1:7" x14ac:dyDescent="0.3">
      <c r="A41" s="28" t="s">
        <v>423</v>
      </c>
      <c r="B41" s="16"/>
      <c r="C41" s="16"/>
      <c r="D41" s="16"/>
      <c r="E41" s="16"/>
      <c r="F41" s="16"/>
      <c r="G41" s="16"/>
    </row>
    <row r="42" spans="1:7" x14ac:dyDescent="0.3">
      <c r="A42" s="67" t="s">
        <v>58</v>
      </c>
      <c r="B42" s="67" t="s">
        <v>146</v>
      </c>
      <c r="C42" s="67"/>
      <c r="D42" s="67" t="s">
        <v>67</v>
      </c>
      <c r="E42" s="67" t="s">
        <v>192</v>
      </c>
      <c r="F42" s="67" t="s">
        <v>68</v>
      </c>
      <c r="G42" s="67" t="s">
        <v>69</v>
      </c>
    </row>
    <row r="43" spans="1:7" x14ac:dyDescent="0.3">
      <c r="A43" s="67"/>
      <c r="B43" s="43" t="s">
        <v>147</v>
      </c>
      <c r="C43" s="43" t="s">
        <v>148</v>
      </c>
      <c r="D43" s="67"/>
      <c r="E43" s="67"/>
      <c r="F43" s="67"/>
      <c r="G43" s="67"/>
    </row>
    <row r="44" spans="1:7" x14ac:dyDescent="0.3">
      <c r="A44" s="16" t="s">
        <v>57</v>
      </c>
      <c r="B44" s="16">
        <v>31</v>
      </c>
      <c r="C44" s="16">
        <v>8</v>
      </c>
      <c r="D44" s="16">
        <v>34</v>
      </c>
      <c r="E44" s="17">
        <v>239906</v>
      </c>
      <c r="F44" s="17">
        <v>6998</v>
      </c>
      <c r="G44" s="16">
        <v>83</v>
      </c>
    </row>
    <row r="45" spans="1:7" x14ac:dyDescent="0.3">
      <c r="A45" s="16" t="s">
        <v>149</v>
      </c>
      <c r="B45" s="16">
        <v>50</v>
      </c>
      <c r="C45" s="16">
        <v>1</v>
      </c>
      <c r="D45" s="16">
        <v>421</v>
      </c>
      <c r="E45" s="17">
        <v>215827</v>
      </c>
      <c r="F45" s="17">
        <v>12780</v>
      </c>
      <c r="G45" s="16">
        <v>40</v>
      </c>
    </row>
    <row r="46" spans="1:7" x14ac:dyDescent="0.3">
      <c r="A46" s="16" t="s">
        <v>134</v>
      </c>
      <c r="B46" s="16">
        <v>43</v>
      </c>
      <c r="C46" s="16">
        <v>1</v>
      </c>
      <c r="D46" s="17">
        <v>1560</v>
      </c>
      <c r="E46" s="17">
        <v>469025</v>
      </c>
      <c r="F46" s="17">
        <v>81541</v>
      </c>
      <c r="G46" s="16">
        <v>21</v>
      </c>
    </row>
    <row r="47" spans="1:7" x14ac:dyDescent="0.3">
      <c r="A47" s="16" t="s">
        <v>135</v>
      </c>
      <c r="B47" s="16">
        <v>110</v>
      </c>
      <c r="C47" s="16">
        <v>0</v>
      </c>
      <c r="D47" s="16">
        <v>123</v>
      </c>
      <c r="E47" s="17">
        <v>347438</v>
      </c>
      <c r="F47" s="17">
        <v>11399</v>
      </c>
      <c r="G47" s="16">
        <v>112</v>
      </c>
    </row>
    <row r="48" spans="1:7" x14ac:dyDescent="0.3">
      <c r="A48" s="16" t="s">
        <v>136</v>
      </c>
      <c r="B48" s="16">
        <v>57</v>
      </c>
      <c r="C48" s="16">
        <v>7</v>
      </c>
      <c r="D48" s="16">
        <v>291</v>
      </c>
      <c r="E48" s="17">
        <v>278000</v>
      </c>
      <c r="F48" s="17">
        <v>57977</v>
      </c>
      <c r="G48" s="16">
        <v>65</v>
      </c>
    </row>
    <row r="49" spans="1:7" x14ac:dyDescent="0.3">
      <c r="A49" s="16" t="s">
        <v>137</v>
      </c>
      <c r="B49" s="16">
        <v>91</v>
      </c>
      <c r="C49" s="16">
        <v>0</v>
      </c>
      <c r="D49" s="16">
        <v>423</v>
      </c>
      <c r="E49" s="17">
        <v>491986</v>
      </c>
      <c r="F49" s="17">
        <v>22995</v>
      </c>
      <c r="G49" s="16">
        <v>121</v>
      </c>
    </row>
    <row r="50" spans="1:7" x14ac:dyDescent="0.3">
      <c r="A50" s="16" t="s">
        <v>138</v>
      </c>
      <c r="B50" s="16">
        <v>10</v>
      </c>
      <c r="C50" s="16">
        <v>0</v>
      </c>
      <c r="D50" s="16">
        <v>95</v>
      </c>
      <c r="E50" s="17">
        <v>36910</v>
      </c>
      <c r="F50" s="17">
        <v>2959</v>
      </c>
      <c r="G50" s="16">
        <v>9</v>
      </c>
    </row>
    <row r="51" spans="1:7" x14ac:dyDescent="0.3">
      <c r="A51" s="16" t="s">
        <v>139</v>
      </c>
      <c r="B51" s="16">
        <v>65</v>
      </c>
      <c r="C51" s="16">
        <v>0</v>
      </c>
      <c r="D51" s="16">
        <v>163</v>
      </c>
      <c r="E51" s="17">
        <v>303997</v>
      </c>
      <c r="F51" s="17">
        <v>21758</v>
      </c>
      <c r="G51" s="16">
        <v>76</v>
      </c>
    </row>
    <row r="52" spans="1:7" x14ac:dyDescent="0.3">
      <c r="A52" s="16" t="s">
        <v>140</v>
      </c>
      <c r="B52" s="16">
        <v>37</v>
      </c>
      <c r="C52" s="16">
        <v>0</v>
      </c>
      <c r="D52" s="16">
        <v>189</v>
      </c>
      <c r="E52" s="17">
        <v>114556</v>
      </c>
      <c r="F52" s="17">
        <v>8232</v>
      </c>
      <c r="G52" s="16">
        <v>35</v>
      </c>
    </row>
    <row r="53" spans="1:7" x14ac:dyDescent="0.3">
      <c r="A53" s="16" t="s">
        <v>141</v>
      </c>
      <c r="B53" s="16">
        <v>59</v>
      </c>
      <c r="C53" s="16">
        <v>0</v>
      </c>
      <c r="D53" s="16">
        <v>139</v>
      </c>
      <c r="E53" s="17">
        <v>235365</v>
      </c>
      <c r="F53" s="17">
        <v>11195</v>
      </c>
      <c r="G53" s="16">
        <v>83</v>
      </c>
    </row>
    <row r="54" spans="1:7" x14ac:dyDescent="0.3">
      <c r="A54" s="16" t="s">
        <v>142</v>
      </c>
      <c r="B54" s="16">
        <v>11</v>
      </c>
      <c r="C54" s="16">
        <v>0</v>
      </c>
      <c r="D54" s="16">
        <v>29</v>
      </c>
      <c r="E54" s="17">
        <v>60984</v>
      </c>
      <c r="F54" s="17">
        <v>2478</v>
      </c>
      <c r="G54" s="16">
        <v>145</v>
      </c>
    </row>
    <row r="55" spans="1:7" x14ac:dyDescent="0.3">
      <c r="A55" s="16" t="s">
        <v>84</v>
      </c>
      <c r="B55" s="16">
        <v>8</v>
      </c>
      <c r="C55" s="16">
        <v>0</v>
      </c>
      <c r="D55" s="16">
        <v>30</v>
      </c>
      <c r="E55" s="17">
        <v>50418</v>
      </c>
      <c r="F55" s="17">
        <v>4107</v>
      </c>
      <c r="G55" s="16">
        <v>13</v>
      </c>
    </row>
    <row r="56" spans="1:7" x14ac:dyDescent="0.3">
      <c r="A56" s="16" t="s">
        <v>143</v>
      </c>
      <c r="B56" s="16">
        <v>17</v>
      </c>
      <c r="C56" s="16">
        <v>1</v>
      </c>
      <c r="D56" s="16">
        <v>86</v>
      </c>
      <c r="E56" s="17">
        <v>41592</v>
      </c>
      <c r="F56" s="17">
        <v>3570</v>
      </c>
      <c r="G56" s="16">
        <v>16</v>
      </c>
    </row>
    <row r="57" spans="1:7" x14ac:dyDescent="0.3">
      <c r="A57" s="18" t="s">
        <v>144</v>
      </c>
      <c r="B57" s="18">
        <f t="shared" ref="B57:G57" si="0">SUM(B44:B56)</f>
        <v>589</v>
      </c>
      <c r="C57" s="18">
        <f t="shared" si="0"/>
        <v>18</v>
      </c>
      <c r="D57" s="18">
        <f t="shared" si="0"/>
        <v>3583</v>
      </c>
      <c r="E57" s="19">
        <f t="shared" si="0"/>
        <v>2886004</v>
      </c>
      <c r="F57" s="19">
        <f t="shared" si="0"/>
        <v>247989</v>
      </c>
      <c r="G57" s="18">
        <f t="shared" si="0"/>
        <v>819</v>
      </c>
    </row>
    <row r="58" spans="1:7" x14ac:dyDescent="0.3">
      <c r="A58" s="3" t="s">
        <v>410</v>
      </c>
    </row>
    <row r="59" spans="1:7" x14ac:dyDescent="0.3">
      <c r="A59" s="3" t="s">
        <v>411</v>
      </c>
    </row>
    <row r="60" spans="1:7" x14ac:dyDescent="0.3">
      <c r="A60" s="3" t="s">
        <v>412</v>
      </c>
    </row>
    <row r="61" spans="1:7" x14ac:dyDescent="0.3">
      <c r="A61" s="3" t="s">
        <v>413</v>
      </c>
    </row>
    <row r="62" spans="1:7" x14ac:dyDescent="0.3">
      <c r="A62" s="3" t="s">
        <v>414</v>
      </c>
    </row>
    <row r="64" spans="1:7" x14ac:dyDescent="0.3">
      <c r="A64" s="3" t="s">
        <v>415</v>
      </c>
    </row>
  </sheetData>
  <mergeCells count="21">
    <mergeCell ref="G2:G3"/>
    <mergeCell ref="A2:A3"/>
    <mergeCell ref="B2:C2"/>
    <mergeCell ref="D2:D3"/>
    <mergeCell ref="E2:E3"/>
    <mergeCell ref="F2:F3"/>
    <mergeCell ref="A38:G38"/>
    <mergeCell ref="A39:G39"/>
    <mergeCell ref="A20:G20"/>
    <mergeCell ref="A42:A43"/>
    <mergeCell ref="B42:C42"/>
    <mergeCell ref="D42:D43"/>
    <mergeCell ref="E42:E43"/>
    <mergeCell ref="F42:F43"/>
    <mergeCell ref="G42:G43"/>
    <mergeCell ref="A21:A22"/>
    <mergeCell ref="B21:C21"/>
    <mergeCell ref="D21:D22"/>
    <mergeCell ref="E21:E22"/>
    <mergeCell ref="F21:F22"/>
    <mergeCell ref="G21:G2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48"/>
  <sheetViews>
    <sheetView showGridLines="0" tabSelected="1" topLeftCell="N1" zoomScale="80" zoomScaleNormal="80" workbookViewId="0">
      <selection activeCell="AC25" sqref="AC25"/>
    </sheetView>
  </sheetViews>
  <sheetFormatPr baseColWidth="10" defaultColWidth="8.6640625" defaultRowHeight="14.4" x14ac:dyDescent="0.3"/>
  <cols>
    <col min="1" max="1" width="45.6640625" bestFit="1" customWidth="1"/>
    <col min="2" max="2" width="63.44140625" bestFit="1" customWidth="1"/>
    <col min="3" max="11" width="11.33203125" customWidth="1"/>
    <col min="12" max="12" width="7" bestFit="1" customWidth="1"/>
    <col min="19" max="19" width="8.6640625" customWidth="1"/>
  </cols>
  <sheetData>
    <row r="1" spans="1:28" ht="15.6" x14ac:dyDescent="0.3">
      <c r="A1" s="18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Q1" s="77" t="s">
        <v>218</v>
      </c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 x14ac:dyDescent="0.3">
      <c r="A2" s="68" t="s">
        <v>174</v>
      </c>
      <c r="B2" s="68" t="s">
        <v>77</v>
      </c>
      <c r="C2" s="68" t="s">
        <v>155</v>
      </c>
      <c r="D2" s="69"/>
      <c r="E2" s="69"/>
      <c r="F2" s="68" t="s">
        <v>156</v>
      </c>
      <c r="G2" s="69"/>
      <c r="H2" s="69"/>
      <c r="I2" s="72"/>
      <c r="J2" s="69"/>
      <c r="K2" s="69"/>
      <c r="Q2" s="68" t="s">
        <v>174</v>
      </c>
      <c r="R2" s="68" t="s">
        <v>77</v>
      </c>
      <c r="S2" s="68" t="s">
        <v>155</v>
      </c>
      <c r="T2" s="69"/>
      <c r="U2" s="69"/>
      <c r="V2" s="68" t="s">
        <v>156</v>
      </c>
      <c r="W2" s="69"/>
      <c r="X2" s="69"/>
      <c r="Y2" s="78" t="s">
        <v>427</v>
      </c>
      <c r="Z2" s="79"/>
      <c r="AA2" s="80"/>
      <c r="AB2" s="12" t="s">
        <v>219</v>
      </c>
    </row>
    <row r="3" spans="1:28" x14ac:dyDescent="0.3">
      <c r="A3" s="69"/>
      <c r="B3" s="69"/>
      <c r="C3" s="45" t="s">
        <v>157</v>
      </c>
      <c r="D3" s="45" t="s">
        <v>158</v>
      </c>
      <c r="E3" s="45" t="s">
        <v>159</v>
      </c>
      <c r="F3" s="45" t="s">
        <v>157</v>
      </c>
      <c r="G3" s="45" t="s">
        <v>158</v>
      </c>
      <c r="H3" s="45" t="s">
        <v>159</v>
      </c>
      <c r="I3" s="45"/>
      <c r="J3" s="45"/>
      <c r="K3" s="45"/>
      <c r="Q3" s="69"/>
      <c r="R3" s="69"/>
      <c r="S3" s="45" t="s">
        <v>157</v>
      </c>
      <c r="T3" s="45" t="s">
        <v>158</v>
      </c>
      <c r="U3" s="45" t="s">
        <v>159</v>
      </c>
      <c r="V3" s="45" t="s">
        <v>157</v>
      </c>
      <c r="W3" s="45" t="s">
        <v>158</v>
      </c>
      <c r="X3" s="45" t="s">
        <v>159</v>
      </c>
      <c r="Y3" s="45" t="s">
        <v>157</v>
      </c>
      <c r="Z3" s="45" t="s">
        <v>158</v>
      </c>
      <c r="AA3" s="45" t="s">
        <v>159</v>
      </c>
    </row>
    <row r="4" spans="1:28" x14ac:dyDescent="0.3">
      <c r="A4" s="16" t="s">
        <v>78</v>
      </c>
      <c r="B4" s="16" t="s">
        <v>79</v>
      </c>
      <c r="C4" s="16">
        <v>95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/>
      <c r="J4" s="16"/>
      <c r="K4" s="16"/>
      <c r="Q4" s="12" t="s">
        <v>78</v>
      </c>
      <c r="R4" s="12" t="s">
        <v>79</v>
      </c>
      <c r="S4" s="12">
        <v>81</v>
      </c>
      <c r="T4" s="12">
        <v>0</v>
      </c>
      <c r="U4" s="20">
        <v>4000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/>
    </row>
    <row r="5" spans="1:28" x14ac:dyDescent="0.3">
      <c r="A5" s="16" t="s">
        <v>80</v>
      </c>
      <c r="B5" s="16" t="s">
        <v>81</v>
      </c>
      <c r="C5" s="16">
        <v>5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/>
      <c r="J5" s="16"/>
      <c r="K5" s="16"/>
      <c r="Q5" s="12" t="s">
        <v>82</v>
      </c>
      <c r="R5" s="12" t="s">
        <v>83</v>
      </c>
      <c r="S5" s="12">
        <v>330</v>
      </c>
      <c r="T5" s="12">
        <v>40122</v>
      </c>
      <c r="U5" s="20">
        <v>23305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/>
    </row>
    <row r="6" spans="1:28" x14ac:dyDescent="0.3">
      <c r="A6" s="16" t="s">
        <v>82</v>
      </c>
      <c r="B6" s="16" t="s">
        <v>83</v>
      </c>
      <c r="C6" s="16">
        <v>380</v>
      </c>
      <c r="D6" s="17">
        <v>46111</v>
      </c>
      <c r="E6" s="17">
        <v>17389</v>
      </c>
      <c r="F6" s="16">
        <v>0</v>
      </c>
      <c r="G6" s="16">
        <v>0</v>
      </c>
      <c r="H6" s="16">
        <v>0</v>
      </c>
      <c r="I6" s="16"/>
      <c r="J6" s="16"/>
      <c r="K6" s="16"/>
      <c r="Q6" s="12" t="s">
        <v>84</v>
      </c>
      <c r="R6" s="12" t="s">
        <v>85</v>
      </c>
      <c r="S6" s="12">
        <v>35</v>
      </c>
      <c r="T6" s="12">
        <v>0</v>
      </c>
      <c r="U6" s="20">
        <v>2300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/>
    </row>
    <row r="7" spans="1:28" x14ac:dyDescent="0.3">
      <c r="A7" s="16" t="s">
        <v>84</v>
      </c>
      <c r="B7" s="16" t="s">
        <v>85</v>
      </c>
      <c r="C7" s="16">
        <v>54</v>
      </c>
      <c r="D7" s="16">
        <v>0</v>
      </c>
      <c r="E7" s="17">
        <v>4700</v>
      </c>
      <c r="F7" s="16">
        <v>0</v>
      </c>
      <c r="G7" s="16">
        <v>0</v>
      </c>
      <c r="H7" s="16">
        <v>0</v>
      </c>
      <c r="I7" s="16"/>
      <c r="J7" s="16"/>
      <c r="K7" s="16"/>
      <c r="Q7" s="12" t="s">
        <v>171</v>
      </c>
      <c r="R7" s="12" t="s">
        <v>86</v>
      </c>
      <c r="S7" s="20">
        <v>1060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/>
    </row>
    <row r="8" spans="1:28" x14ac:dyDescent="0.3">
      <c r="A8" s="28" t="s">
        <v>171</v>
      </c>
      <c r="B8" s="16" t="s">
        <v>86</v>
      </c>
      <c r="C8" s="16">
        <v>468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/>
      <c r="J8" s="16"/>
      <c r="K8" s="16"/>
      <c r="Q8" s="12" t="s">
        <v>87</v>
      </c>
      <c r="R8" s="12" t="s">
        <v>88</v>
      </c>
      <c r="S8" s="12">
        <v>37</v>
      </c>
      <c r="T8" s="12">
        <v>0</v>
      </c>
      <c r="U8" s="12">
        <v>0</v>
      </c>
      <c r="V8" s="12">
        <v>737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/>
    </row>
    <row r="9" spans="1:28" x14ac:dyDescent="0.3">
      <c r="A9" s="16" t="s">
        <v>87</v>
      </c>
      <c r="B9" s="16" t="s">
        <v>88</v>
      </c>
      <c r="C9" s="16">
        <v>302</v>
      </c>
      <c r="D9" s="16">
        <v>0</v>
      </c>
      <c r="E9" s="16">
        <v>0</v>
      </c>
      <c r="F9" s="16">
        <v>495</v>
      </c>
      <c r="G9" s="16">
        <v>0</v>
      </c>
      <c r="H9" s="17">
        <v>2226</v>
      </c>
      <c r="I9" s="16"/>
      <c r="J9" s="16"/>
      <c r="K9" s="16"/>
      <c r="Q9" s="12" t="s">
        <v>89</v>
      </c>
      <c r="R9" s="12" t="s">
        <v>90</v>
      </c>
      <c r="S9" s="12">
        <v>95</v>
      </c>
      <c r="T9" s="20">
        <v>14479</v>
      </c>
      <c r="U9" s="12">
        <v>143</v>
      </c>
      <c r="V9" s="12">
        <v>53</v>
      </c>
      <c r="W9" s="20">
        <v>4494</v>
      </c>
      <c r="X9" s="12">
        <v>0</v>
      </c>
      <c r="Y9" s="12">
        <v>0</v>
      </c>
      <c r="Z9" s="12">
        <v>0</v>
      </c>
      <c r="AA9" s="12">
        <v>0</v>
      </c>
      <c r="AB9" s="12"/>
    </row>
    <row r="10" spans="1:28" x14ac:dyDescent="0.3">
      <c r="A10" s="16" t="s">
        <v>89</v>
      </c>
      <c r="B10" s="16" t="s">
        <v>90</v>
      </c>
      <c r="C10" s="16">
        <v>204</v>
      </c>
      <c r="D10" s="17">
        <v>40761</v>
      </c>
      <c r="E10" s="17">
        <v>21081</v>
      </c>
      <c r="F10" s="17">
        <v>2883</v>
      </c>
      <c r="G10" s="17">
        <v>21960</v>
      </c>
      <c r="H10" s="17">
        <v>13873</v>
      </c>
      <c r="I10" s="16"/>
      <c r="J10" s="16"/>
      <c r="K10" s="16"/>
      <c r="Q10" s="12" t="s">
        <v>93</v>
      </c>
      <c r="R10" s="12" t="s">
        <v>94</v>
      </c>
      <c r="S10" s="12">
        <v>180</v>
      </c>
      <c r="T10" s="12">
        <v>0</v>
      </c>
      <c r="U10" s="20">
        <v>16660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/>
    </row>
    <row r="11" spans="1:28" x14ac:dyDescent="0.3">
      <c r="A11" s="16" t="s">
        <v>91</v>
      </c>
      <c r="B11" s="16" t="s">
        <v>92</v>
      </c>
      <c r="C11" s="16">
        <v>662</v>
      </c>
      <c r="D11" s="17">
        <v>20779</v>
      </c>
      <c r="E11" s="17">
        <v>24783</v>
      </c>
      <c r="F11" s="16">
        <v>359</v>
      </c>
      <c r="G11" s="17">
        <v>18364</v>
      </c>
      <c r="H11" s="17">
        <v>15342</v>
      </c>
      <c r="I11" s="16"/>
      <c r="J11" s="16"/>
      <c r="K11" s="16"/>
      <c r="Q11" s="12" t="s">
        <v>97</v>
      </c>
      <c r="R11" s="12" t="s">
        <v>98</v>
      </c>
      <c r="S11" s="12">
        <v>43</v>
      </c>
      <c r="T11" s="20">
        <v>5057</v>
      </c>
      <c r="U11" s="20">
        <v>2979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/>
    </row>
    <row r="12" spans="1:28" x14ac:dyDescent="0.3">
      <c r="A12" s="16" t="s">
        <v>93</v>
      </c>
      <c r="B12" s="16" t="s">
        <v>94</v>
      </c>
      <c r="C12" s="16">
        <v>163</v>
      </c>
      <c r="D12" s="16">
        <v>0</v>
      </c>
      <c r="E12" s="17">
        <v>6634</v>
      </c>
      <c r="F12" s="16">
        <v>0</v>
      </c>
      <c r="G12" s="16">
        <v>0</v>
      </c>
      <c r="H12" s="16">
        <v>0</v>
      </c>
      <c r="I12" s="16"/>
      <c r="J12" s="16"/>
      <c r="K12" s="16"/>
      <c r="Q12" s="12" t="s">
        <v>99</v>
      </c>
      <c r="R12" s="12" t="s">
        <v>100</v>
      </c>
      <c r="S12" s="12">
        <v>38</v>
      </c>
      <c r="T12" s="12">
        <v>0</v>
      </c>
      <c r="U12" s="20">
        <v>2100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/>
    </row>
    <row r="13" spans="1:28" x14ac:dyDescent="0.3">
      <c r="A13" s="16" t="s">
        <v>95</v>
      </c>
      <c r="B13" s="16" t="s">
        <v>96</v>
      </c>
      <c r="C13" s="16">
        <v>231</v>
      </c>
      <c r="D13" s="16">
        <v>0</v>
      </c>
      <c r="E13" s="17">
        <v>8795</v>
      </c>
      <c r="F13" s="16">
        <v>0</v>
      </c>
      <c r="G13" s="16">
        <v>0</v>
      </c>
      <c r="H13" s="16">
        <v>0</v>
      </c>
      <c r="I13" s="16"/>
      <c r="J13" s="16"/>
      <c r="K13" s="16"/>
      <c r="Q13" s="12" t="s">
        <v>101</v>
      </c>
      <c r="R13" s="12" t="s">
        <v>102</v>
      </c>
      <c r="S13" s="12">
        <v>15</v>
      </c>
      <c r="T13" s="12">
        <v>0</v>
      </c>
      <c r="U13" s="12">
        <v>0</v>
      </c>
      <c r="V13" s="12">
        <v>1</v>
      </c>
      <c r="W13" s="12">
        <v>0</v>
      </c>
      <c r="X13" s="12">
        <v>0</v>
      </c>
      <c r="Y13" s="12">
        <v>1</v>
      </c>
      <c r="Z13" s="12">
        <v>109</v>
      </c>
      <c r="AA13" s="12">
        <v>27</v>
      </c>
      <c r="AB13" s="12"/>
    </row>
    <row r="14" spans="1:28" x14ac:dyDescent="0.3">
      <c r="A14" s="16" t="s">
        <v>97</v>
      </c>
      <c r="B14" s="16" t="s">
        <v>98</v>
      </c>
      <c r="C14" s="16">
        <v>21</v>
      </c>
      <c r="D14" s="17">
        <v>2639</v>
      </c>
      <c r="E14" s="17">
        <v>1637</v>
      </c>
      <c r="F14" s="16">
        <v>0</v>
      </c>
      <c r="G14" s="16">
        <v>0</v>
      </c>
      <c r="H14" s="16">
        <v>0</v>
      </c>
      <c r="I14" s="16"/>
      <c r="J14" s="16"/>
      <c r="K14" s="16"/>
      <c r="Q14" s="12" t="s">
        <v>103</v>
      </c>
      <c r="R14" s="12" t="s">
        <v>104</v>
      </c>
      <c r="S14" s="12">
        <v>3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/>
    </row>
    <row r="15" spans="1:28" x14ac:dyDescent="0.3">
      <c r="A15" s="16" t="s">
        <v>99</v>
      </c>
      <c r="B15" s="16" t="s">
        <v>100</v>
      </c>
      <c r="C15" s="16">
        <v>22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/>
      <c r="J15" s="16"/>
      <c r="K15" s="16"/>
      <c r="Q15" s="12" t="s">
        <v>105</v>
      </c>
      <c r="R15" s="12" t="s">
        <v>106</v>
      </c>
      <c r="S15" s="20">
        <v>2450</v>
      </c>
      <c r="T15" s="20">
        <v>334379</v>
      </c>
      <c r="U15" s="20">
        <v>225849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/>
    </row>
    <row r="16" spans="1:28" x14ac:dyDescent="0.3">
      <c r="A16" s="16" t="s">
        <v>101</v>
      </c>
      <c r="B16" s="16" t="s">
        <v>102</v>
      </c>
      <c r="C16" s="16">
        <v>10</v>
      </c>
      <c r="D16" s="16">
        <v>0</v>
      </c>
      <c r="E16" s="16">
        <v>0</v>
      </c>
      <c r="F16" s="16">
        <v>16</v>
      </c>
      <c r="G16" s="16">
        <v>0</v>
      </c>
      <c r="H16" s="16">
        <v>0</v>
      </c>
      <c r="I16" s="16"/>
      <c r="J16" s="16"/>
      <c r="K16" s="16"/>
      <c r="Q16" s="12" t="s">
        <v>95</v>
      </c>
      <c r="R16" s="12" t="s">
        <v>220</v>
      </c>
      <c r="S16" s="12">
        <v>187</v>
      </c>
      <c r="T16" s="20">
        <v>6739</v>
      </c>
      <c r="U16" s="20">
        <v>6329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/>
    </row>
    <row r="17" spans="1:28" x14ac:dyDescent="0.3">
      <c r="A17" s="16" t="s">
        <v>103</v>
      </c>
      <c r="B17" s="16" t="s">
        <v>104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/>
      <c r="J17" s="16"/>
      <c r="K17" s="16"/>
      <c r="Q17" s="12" t="s">
        <v>221</v>
      </c>
      <c r="R17" s="12" t="s">
        <v>222</v>
      </c>
      <c r="S17" s="12">
        <v>396</v>
      </c>
      <c r="T17" s="20">
        <v>7582</v>
      </c>
      <c r="U17" s="20">
        <v>9641</v>
      </c>
      <c r="V17" s="12">
        <v>259</v>
      </c>
      <c r="W17" s="20">
        <v>9634</v>
      </c>
      <c r="X17" s="20">
        <v>12564</v>
      </c>
      <c r="Y17" s="12">
        <v>0</v>
      </c>
      <c r="Z17" s="12">
        <v>0</v>
      </c>
      <c r="AA17" s="12">
        <v>0</v>
      </c>
      <c r="AB17" s="12"/>
    </row>
    <row r="18" spans="1:28" x14ac:dyDescent="0.3">
      <c r="A18" s="16" t="s">
        <v>105</v>
      </c>
      <c r="B18" s="16" t="s">
        <v>106</v>
      </c>
      <c r="C18" s="17">
        <v>1896</v>
      </c>
      <c r="D18" s="17">
        <v>262179</v>
      </c>
      <c r="E18" s="17">
        <v>155158</v>
      </c>
      <c r="F18" s="16">
        <v>0</v>
      </c>
      <c r="G18" s="16">
        <v>0</v>
      </c>
      <c r="H18" s="16">
        <v>0</v>
      </c>
      <c r="I18" s="16"/>
      <c r="J18" s="16"/>
      <c r="K18" s="16"/>
      <c r="Q18" s="12" t="s">
        <v>223</v>
      </c>
      <c r="R18" s="12" t="s">
        <v>224</v>
      </c>
      <c r="S18" s="12">
        <v>8</v>
      </c>
      <c r="T18" s="20">
        <v>1073</v>
      </c>
      <c r="U18" s="12">
        <v>83</v>
      </c>
      <c r="V18" s="12">
        <v>1</v>
      </c>
      <c r="W18" s="12">
        <v>118</v>
      </c>
      <c r="X18" s="12">
        <v>106</v>
      </c>
      <c r="Y18" s="12">
        <v>0</v>
      </c>
      <c r="Z18" s="12">
        <v>0</v>
      </c>
      <c r="AA18" s="12">
        <v>0</v>
      </c>
      <c r="AB18" s="12"/>
    </row>
    <row r="19" spans="1:28" x14ac:dyDescent="0.3">
      <c r="A19" s="16" t="s">
        <v>71</v>
      </c>
      <c r="B19" s="16"/>
      <c r="C19" s="17">
        <f>SUM(C4:C18)</f>
        <v>4513</v>
      </c>
      <c r="D19" s="17">
        <f t="shared" ref="D19:H19" si="0">SUM(D4:D18)</f>
        <v>372469</v>
      </c>
      <c r="E19" s="17">
        <f t="shared" si="0"/>
        <v>240177</v>
      </c>
      <c r="F19" s="17">
        <f t="shared" si="0"/>
        <v>3753</v>
      </c>
      <c r="G19" s="17">
        <f t="shared" si="0"/>
        <v>40324</v>
      </c>
      <c r="H19" s="17">
        <f t="shared" si="0"/>
        <v>31441</v>
      </c>
      <c r="I19" s="17"/>
      <c r="J19" s="17"/>
      <c r="K19" s="17"/>
      <c r="Q19" s="61" t="s">
        <v>71</v>
      </c>
      <c r="S19">
        <f>SUM(S4:S18)</f>
        <v>4958</v>
      </c>
      <c r="T19">
        <f>SUM(T4:T18)</f>
        <v>409431</v>
      </c>
      <c r="U19">
        <f t="shared" ref="U19:AA19" si="1">SUM(U4:U18)</f>
        <v>293389</v>
      </c>
      <c r="V19">
        <f t="shared" si="1"/>
        <v>1051</v>
      </c>
      <c r="W19">
        <f t="shared" si="1"/>
        <v>14246</v>
      </c>
      <c r="X19">
        <f t="shared" si="1"/>
        <v>12670</v>
      </c>
      <c r="Y19">
        <f t="shared" si="1"/>
        <v>1</v>
      </c>
      <c r="Z19">
        <f t="shared" si="1"/>
        <v>109</v>
      </c>
      <c r="AA19">
        <f t="shared" si="1"/>
        <v>27</v>
      </c>
    </row>
    <row r="20" spans="1:28" x14ac:dyDescent="0.3">
      <c r="A20" s="16"/>
      <c r="B20" s="16"/>
      <c r="C20" s="17"/>
      <c r="D20" s="17"/>
      <c r="E20" s="17"/>
      <c r="F20" s="16"/>
      <c r="G20" s="16"/>
      <c r="H20" s="16"/>
      <c r="I20" s="16"/>
      <c r="J20" s="16"/>
      <c r="K20" s="16"/>
      <c r="Q20" s="12" t="s">
        <v>225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x14ac:dyDescent="0.3">
      <c r="A21" s="3" t="s">
        <v>160</v>
      </c>
      <c r="Q21" s="12" t="s">
        <v>226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x14ac:dyDescent="0.3">
      <c r="A22" s="10" t="s">
        <v>172</v>
      </c>
    </row>
    <row r="23" spans="1:28" x14ac:dyDescent="0.3">
      <c r="A23" s="10" t="s">
        <v>173</v>
      </c>
    </row>
    <row r="24" spans="1:28" x14ac:dyDescent="0.3">
      <c r="A24" s="3" t="s">
        <v>175</v>
      </c>
    </row>
    <row r="26" spans="1:28" x14ac:dyDescent="0.3">
      <c r="A26" s="18" t="s">
        <v>370</v>
      </c>
      <c r="B26" s="16"/>
      <c r="C26" s="16"/>
      <c r="D26" s="16"/>
      <c r="E26" s="16"/>
      <c r="F26" s="16"/>
      <c r="G26" s="16"/>
      <c r="H26" s="16"/>
    </row>
    <row r="27" spans="1:28" x14ac:dyDescent="0.3">
      <c r="A27" s="68" t="s">
        <v>174</v>
      </c>
      <c r="B27" s="68" t="s">
        <v>77</v>
      </c>
      <c r="C27" s="68" t="s">
        <v>155</v>
      </c>
      <c r="D27" s="69"/>
      <c r="E27" s="69"/>
      <c r="F27" s="68" t="s">
        <v>156</v>
      </c>
      <c r="G27" s="69"/>
      <c r="H27" s="69"/>
      <c r="I27" s="70"/>
      <c r="J27" s="71"/>
      <c r="K27" s="71"/>
    </row>
    <row r="28" spans="1:28" x14ac:dyDescent="0.3">
      <c r="A28" s="69"/>
      <c r="B28" s="69"/>
      <c r="C28" s="45" t="s">
        <v>157</v>
      </c>
      <c r="D28" s="45" t="s">
        <v>158</v>
      </c>
      <c r="E28" s="45" t="s">
        <v>159</v>
      </c>
      <c r="F28" s="45" t="s">
        <v>157</v>
      </c>
      <c r="G28" s="45" t="s">
        <v>158</v>
      </c>
      <c r="H28" s="45" t="s">
        <v>159</v>
      </c>
      <c r="I28" s="26"/>
      <c r="J28" s="26"/>
      <c r="K28" s="26"/>
    </row>
    <row r="29" spans="1:28" x14ac:dyDescent="0.3">
      <c r="A29" s="16" t="s">
        <v>78</v>
      </c>
      <c r="B29" s="16" t="s">
        <v>79</v>
      </c>
      <c r="C29" s="16">
        <v>118</v>
      </c>
      <c r="D29" s="46" t="s">
        <v>375</v>
      </c>
      <c r="E29" s="17">
        <v>5000</v>
      </c>
      <c r="F29" s="16">
        <v>0</v>
      </c>
      <c r="G29" s="16">
        <v>0</v>
      </c>
      <c r="H29" s="16">
        <v>0</v>
      </c>
    </row>
    <row r="30" spans="1:28" x14ac:dyDescent="0.3">
      <c r="A30" s="16" t="s">
        <v>80</v>
      </c>
      <c r="B30" s="16" t="s">
        <v>81</v>
      </c>
      <c r="C30" s="16">
        <v>42</v>
      </c>
      <c r="D30" s="17">
        <v>5487</v>
      </c>
      <c r="E30" s="17">
        <v>2315</v>
      </c>
      <c r="F30" s="16">
        <v>0</v>
      </c>
      <c r="G30" s="16">
        <v>0</v>
      </c>
      <c r="H30" s="16">
        <v>0</v>
      </c>
    </row>
    <row r="31" spans="1:28" x14ac:dyDescent="0.3">
      <c r="A31" s="16" t="s">
        <v>82</v>
      </c>
      <c r="B31" s="16" t="s">
        <v>83</v>
      </c>
      <c r="C31" s="16">
        <v>237</v>
      </c>
      <c r="D31" s="17">
        <v>29537</v>
      </c>
      <c r="E31" s="17">
        <v>18373</v>
      </c>
      <c r="F31" s="16">
        <v>0</v>
      </c>
      <c r="G31" s="16">
        <v>0</v>
      </c>
      <c r="H31" s="16">
        <v>0</v>
      </c>
    </row>
    <row r="32" spans="1:28" x14ac:dyDescent="0.3">
      <c r="A32" s="16" t="s">
        <v>84</v>
      </c>
      <c r="B32" s="16" t="s">
        <v>85</v>
      </c>
      <c r="C32" s="16">
        <v>73</v>
      </c>
      <c r="D32" s="46" t="s">
        <v>375</v>
      </c>
      <c r="E32" s="17">
        <v>5760</v>
      </c>
      <c r="F32" s="16">
        <v>0</v>
      </c>
      <c r="G32" s="16">
        <v>0</v>
      </c>
      <c r="H32" s="16">
        <v>0</v>
      </c>
    </row>
    <row r="33" spans="1:8" x14ac:dyDescent="0.3">
      <c r="A33" s="16" t="s">
        <v>103</v>
      </c>
      <c r="B33" s="16" t="s">
        <v>104</v>
      </c>
      <c r="C33" s="16">
        <v>30</v>
      </c>
      <c r="D33" s="46" t="s">
        <v>375</v>
      </c>
      <c r="E33" s="28" t="s">
        <v>375</v>
      </c>
      <c r="F33" s="16">
        <v>0</v>
      </c>
      <c r="G33" s="16">
        <v>0</v>
      </c>
      <c r="H33" s="16">
        <v>0</v>
      </c>
    </row>
    <row r="34" spans="1:8" x14ac:dyDescent="0.3">
      <c r="A34" s="16" t="s">
        <v>105</v>
      </c>
      <c r="B34" s="16" t="s">
        <v>106</v>
      </c>
      <c r="C34" s="17">
        <v>2010</v>
      </c>
      <c r="D34" s="47">
        <v>267545</v>
      </c>
      <c r="E34" s="17">
        <v>182141</v>
      </c>
      <c r="F34" s="16">
        <v>0</v>
      </c>
      <c r="G34" s="16">
        <v>0</v>
      </c>
      <c r="H34" s="17">
        <v>0</v>
      </c>
    </row>
    <row r="35" spans="1:8" x14ac:dyDescent="0.3">
      <c r="A35" s="28" t="s">
        <v>171</v>
      </c>
      <c r="B35" s="28" t="s">
        <v>371</v>
      </c>
      <c r="C35" s="16">
        <v>523</v>
      </c>
      <c r="D35" s="48" t="s">
        <v>375</v>
      </c>
      <c r="E35" s="17">
        <v>36230</v>
      </c>
      <c r="F35" s="17">
        <v>28</v>
      </c>
      <c r="G35" s="48" t="s">
        <v>375</v>
      </c>
      <c r="H35" s="17">
        <v>1710</v>
      </c>
    </row>
    <row r="36" spans="1:8" x14ac:dyDescent="0.3">
      <c r="A36" s="16" t="s">
        <v>87</v>
      </c>
      <c r="B36" s="16" t="s">
        <v>88</v>
      </c>
      <c r="C36" s="16">
        <v>286</v>
      </c>
      <c r="D36" s="48" t="s">
        <v>375</v>
      </c>
      <c r="E36" s="17">
        <v>4000</v>
      </c>
      <c r="F36" s="16">
        <v>375</v>
      </c>
      <c r="G36" s="48" t="s">
        <v>375</v>
      </c>
      <c r="H36" s="17">
        <v>7172</v>
      </c>
    </row>
    <row r="37" spans="1:8" x14ac:dyDescent="0.3">
      <c r="A37" s="16" t="s">
        <v>89</v>
      </c>
      <c r="B37" s="16" t="s">
        <v>90</v>
      </c>
      <c r="C37" s="16">
        <v>123</v>
      </c>
      <c r="D37" s="47">
        <v>14449</v>
      </c>
      <c r="E37" s="17">
        <v>6412</v>
      </c>
      <c r="F37" s="16">
        <v>866</v>
      </c>
      <c r="G37" s="47">
        <v>89138</v>
      </c>
      <c r="H37" s="17">
        <v>60487</v>
      </c>
    </row>
    <row r="38" spans="1:8" x14ac:dyDescent="0.3">
      <c r="A38" s="16" t="s">
        <v>91</v>
      </c>
      <c r="B38" s="16" t="s">
        <v>92</v>
      </c>
      <c r="C38" s="16">
        <v>535</v>
      </c>
      <c r="D38" s="47">
        <v>14662</v>
      </c>
      <c r="E38" s="17">
        <v>19278</v>
      </c>
      <c r="F38" s="16">
        <v>605</v>
      </c>
      <c r="G38" s="46" t="s">
        <v>375</v>
      </c>
      <c r="H38" s="17">
        <v>18523</v>
      </c>
    </row>
    <row r="39" spans="1:8" x14ac:dyDescent="0.3">
      <c r="A39" s="16" t="s">
        <v>93</v>
      </c>
      <c r="B39" s="16" t="s">
        <v>94</v>
      </c>
      <c r="C39" s="16">
        <v>202</v>
      </c>
      <c r="D39" s="47">
        <v>22849</v>
      </c>
      <c r="E39" s="17">
        <v>11859</v>
      </c>
      <c r="F39" s="16">
        <v>0</v>
      </c>
      <c r="G39" s="16">
        <v>0</v>
      </c>
      <c r="H39" s="16">
        <v>0</v>
      </c>
    </row>
    <row r="40" spans="1:8" x14ac:dyDescent="0.3">
      <c r="A40" s="28" t="s">
        <v>372</v>
      </c>
      <c r="B40" s="28" t="s">
        <v>373</v>
      </c>
      <c r="C40" s="16">
        <v>202</v>
      </c>
      <c r="D40" s="47">
        <v>14536</v>
      </c>
      <c r="E40" s="17">
        <v>11821</v>
      </c>
      <c r="F40" s="16">
        <v>0</v>
      </c>
      <c r="G40" s="16">
        <v>0</v>
      </c>
      <c r="H40" s="16">
        <v>0</v>
      </c>
    </row>
    <row r="41" spans="1:8" x14ac:dyDescent="0.3">
      <c r="A41" s="16" t="s">
        <v>97</v>
      </c>
      <c r="B41" s="16" t="s">
        <v>98</v>
      </c>
      <c r="C41" s="16">
        <v>30</v>
      </c>
      <c r="D41" s="47">
        <v>4132</v>
      </c>
      <c r="E41" s="17">
        <v>2021</v>
      </c>
      <c r="F41" s="16">
        <v>0</v>
      </c>
      <c r="G41" s="16">
        <v>0</v>
      </c>
      <c r="H41" s="16">
        <v>0</v>
      </c>
    </row>
    <row r="42" spans="1:8" x14ac:dyDescent="0.3">
      <c r="A42" s="16" t="s">
        <v>99</v>
      </c>
      <c r="B42" s="16" t="s">
        <v>100</v>
      </c>
      <c r="C42" s="16">
        <v>42</v>
      </c>
      <c r="D42" s="46" t="s">
        <v>375</v>
      </c>
      <c r="E42" s="17">
        <v>1500</v>
      </c>
      <c r="F42" s="16">
        <v>0</v>
      </c>
      <c r="G42" s="16">
        <v>0</v>
      </c>
      <c r="H42" s="16">
        <v>0</v>
      </c>
    </row>
    <row r="43" spans="1:8" x14ac:dyDescent="0.3">
      <c r="A43" s="28" t="s">
        <v>374</v>
      </c>
      <c r="B43" s="16" t="s">
        <v>102</v>
      </c>
      <c r="C43" s="17">
        <v>6</v>
      </c>
      <c r="D43" s="47">
        <v>640</v>
      </c>
      <c r="E43" s="17">
        <v>144</v>
      </c>
      <c r="F43" s="16">
        <v>1</v>
      </c>
      <c r="G43" s="16">
        <v>108</v>
      </c>
      <c r="H43" s="16">
        <v>18</v>
      </c>
    </row>
    <row r="44" spans="1:8" x14ac:dyDescent="0.3">
      <c r="A44" s="17" t="s">
        <v>71</v>
      </c>
      <c r="B44" s="17"/>
      <c r="C44" s="17">
        <f>SUM(C29:C43)</f>
        <v>4459</v>
      </c>
      <c r="D44" s="17">
        <f t="shared" ref="D44:H44" si="2">SUM(D29:D43)</f>
        <v>373837</v>
      </c>
      <c r="E44" s="17">
        <f t="shared" si="2"/>
        <v>306854</v>
      </c>
      <c r="F44" s="17">
        <f t="shared" si="2"/>
        <v>1875</v>
      </c>
      <c r="G44" s="17">
        <f t="shared" si="2"/>
        <v>89246</v>
      </c>
      <c r="H44" s="17">
        <f t="shared" si="2"/>
        <v>87910</v>
      </c>
    </row>
    <row r="45" spans="1:8" x14ac:dyDescent="0.3">
      <c r="A45" s="3" t="s">
        <v>160</v>
      </c>
    </row>
    <row r="46" spans="1:8" x14ac:dyDescent="0.3">
      <c r="A46" s="10" t="s">
        <v>172</v>
      </c>
    </row>
    <row r="47" spans="1:8" x14ac:dyDescent="0.3">
      <c r="A47" s="10" t="s">
        <v>376</v>
      </c>
    </row>
    <row r="48" spans="1:8" x14ac:dyDescent="0.3">
      <c r="A48" s="3" t="s">
        <v>377</v>
      </c>
    </row>
  </sheetData>
  <mergeCells count="15">
    <mergeCell ref="A2:A3"/>
    <mergeCell ref="B2:B3"/>
    <mergeCell ref="C2:E2"/>
    <mergeCell ref="F2:H2"/>
    <mergeCell ref="I2:K2"/>
    <mergeCell ref="Q2:Q3"/>
    <mergeCell ref="R2:R3"/>
    <mergeCell ref="S2:U2"/>
    <mergeCell ref="V2:X2"/>
    <mergeCell ref="Y2:AA2"/>
    <mergeCell ref="A27:A28"/>
    <mergeCell ref="B27:B28"/>
    <mergeCell ref="C27:E27"/>
    <mergeCell ref="F27:H27"/>
    <mergeCell ref="I27:K2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"/>
  <sheetViews>
    <sheetView showGridLines="0" zoomScale="80" zoomScaleNormal="80" workbookViewId="0">
      <selection activeCell="E65" sqref="E65"/>
    </sheetView>
  </sheetViews>
  <sheetFormatPr baseColWidth="10" defaultColWidth="8.6640625" defaultRowHeight="14.4" x14ac:dyDescent="0.3"/>
  <cols>
    <col min="1" max="1" width="27" bestFit="1" customWidth="1"/>
    <col min="2" max="2" width="49.33203125" bestFit="1" customWidth="1"/>
    <col min="3" max="3" width="31.21875" customWidth="1"/>
    <col min="4" max="5" width="23.21875" bestFit="1" customWidth="1"/>
    <col min="6" max="6" width="20.6640625" customWidth="1"/>
    <col min="9" max="9" width="31.109375" customWidth="1"/>
    <col min="10" max="10" width="42.5546875" customWidth="1"/>
    <col min="11" max="11" width="25.6640625" customWidth="1"/>
    <col min="12" max="12" width="27.44140625" customWidth="1"/>
  </cols>
  <sheetData>
    <row r="1" spans="1:11" x14ac:dyDescent="0.3">
      <c r="A1" s="18" t="s">
        <v>10</v>
      </c>
      <c r="B1" s="18"/>
      <c r="C1" s="18"/>
      <c r="H1" s="18" t="s">
        <v>379</v>
      </c>
      <c r="I1" s="18"/>
      <c r="J1" s="18"/>
      <c r="K1" s="42"/>
    </row>
    <row r="2" spans="1:11" x14ac:dyDescent="0.3">
      <c r="A2" s="49" t="s">
        <v>8</v>
      </c>
      <c r="B2" s="49" t="s">
        <v>11</v>
      </c>
      <c r="C2" s="49" t="s">
        <v>12</v>
      </c>
      <c r="F2" s="59"/>
      <c r="G2" s="59"/>
      <c r="H2" s="49" t="s">
        <v>426</v>
      </c>
      <c r="I2" s="49" t="s">
        <v>11</v>
      </c>
      <c r="J2" s="50" t="s">
        <v>13</v>
      </c>
      <c r="K2" s="49" t="s">
        <v>12</v>
      </c>
    </row>
    <row r="3" spans="1:11" x14ac:dyDescent="0.3">
      <c r="A3" s="18" t="s">
        <v>14</v>
      </c>
      <c r="B3" s="18"/>
      <c r="C3" s="51">
        <v>171690.11</v>
      </c>
      <c r="H3" s="18" t="s">
        <v>14</v>
      </c>
      <c r="I3" s="18"/>
      <c r="J3" s="42"/>
      <c r="K3" s="51">
        <v>141610.20000000001</v>
      </c>
    </row>
    <row r="4" spans="1:11" x14ac:dyDescent="0.3">
      <c r="A4" s="18" t="s">
        <v>14</v>
      </c>
      <c r="B4" s="16" t="s">
        <v>15</v>
      </c>
      <c r="C4" s="52">
        <v>9722.75</v>
      </c>
      <c r="H4" s="18" t="s">
        <v>14</v>
      </c>
      <c r="I4" s="16" t="s">
        <v>15</v>
      </c>
      <c r="J4" s="53">
        <v>2017</v>
      </c>
      <c r="K4" s="52">
        <v>9722.75</v>
      </c>
    </row>
    <row r="5" spans="1:11" x14ac:dyDescent="0.3">
      <c r="A5" s="18" t="s">
        <v>14</v>
      </c>
      <c r="B5" s="16" t="s">
        <v>16</v>
      </c>
      <c r="C5" s="52">
        <v>4227.54</v>
      </c>
      <c r="H5" s="18" t="s">
        <v>14</v>
      </c>
      <c r="I5" s="16" t="s">
        <v>16</v>
      </c>
      <c r="J5" s="53">
        <v>2017</v>
      </c>
      <c r="K5" s="52">
        <v>4227.54</v>
      </c>
    </row>
    <row r="6" spans="1:11" x14ac:dyDescent="0.3">
      <c r="A6" s="18" t="s">
        <v>14</v>
      </c>
      <c r="B6" s="16" t="s">
        <v>17</v>
      </c>
      <c r="C6" s="52">
        <v>1696.39</v>
      </c>
      <c r="H6" s="18" t="s">
        <v>14</v>
      </c>
      <c r="I6" s="16" t="s">
        <v>17</v>
      </c>
      <c r="J6" s="53">
        <v>2017</v>
      </c>
      <c r="K6" s="52">
        <v>1696.39</v>
      </c>
    </row>
    <row r="7" spans="1:11" x14ac:dyDescent="0.3">
      <c r="A7" s="18" t="s">
        <v>14</v>
      </c>
      <c r="B7" s="16" t="s">
        <v>18</v>
      </c>
      <c r="C7" s="52">
        <v>9113.48</v>
      </c>
      <c r="H7" s="18" t="s">
        <v>14</v>
      </c>
      <c r="I7" s="16" t="s">
        <v>18</v>
      </c>
      <c r="J7" s="53">
        <v>2017</v>
      </c>
      <c r="K7" s="52">
        <v>9113.48</v>
      </c>
    </row>
    <row r="8" spans="1:11" x14ac:dyDescent="0.3">
      <c r="A8" s="18" t="s">
        <v>14</v>
      </c>
      <c r="B8" s="16" t="s">
        <v>19</v>
      </c>
      <c r="C8" s="52">
        <v>4514.24</v>
      </c>
      <c r="H8" s="18" t="s">
        <v>14</v>
      </c>
      <c r="I8" s="16" t="s">
        <v>19</v>
      </c>
      <c r="J8" s="53">
        <v>2017</v>
      </c>
      <c r="K8" s="52">
        <v>4514.24</v>
      </c>
    </row>
    <row r="9" spans="1:11" x14ac:dyDescent="0.3">
      <c r="A9" s="18" t="s">
        <v>14</v>
      </c>
      <c r="B9" s="16" t="s">
        <v>20</v>
      </c>
      <c r="C9" s="52">
        <v>864.03</v>
      </c>
      <c r="H9" s="18" t="s">
        <v>14</v>
      </c>
      <c r="I9" s="16" t="s">
        <v>20</v>
      </c>
      <c r="J9" s="53">
        <v>2017</v>
      </c>
      <c r="K9" s="52">
        <v>864.03</v>
      </c>
    </row>
    <row r="10" spans="1:11" x14ac:dyDescent="0.3">
      <c r="A10" s="18" t="s">
        <v>14</v>
      </c>
      <c r="B10" s="16" t="s">
        <v>21</v>
      </c>
      <c r="C10" s="52">
        <v>4276.8</v>
      </c>
      <c r="H10" s="18" t="s">
        <v>14</v>
      </c>
      <c r="I10" s="16" t="s">
        <v>21</v>
      </c>
      <c r="J10" s="53">
        <v>2017</v>
      </c>
      <c r="K10" s="52">
        <v>4276.8</v>
      </c>
    </row>
    <row r="11" spans="1:11" x14ac:dyDescent="0.3">
      <c r="A11" s="18" t="s">
        <v>14</v>
      </c>
      <c r="B11" s="16" t="s">
        <v>22</v>
      </c>
      <c r="C11" s="52">
        <v>6205.85</v>
      </c>
      <c r="H11" s="18" t="s">
        <v>14</v>
      </c>
      <c r="I11" s="16" t="s">
        <v>22</v>
      </c>
      <c r="J11" s="53">
        <v>2017</v>
      </c>
      <c r="K11" s="52">
        <v>6205.85</v>
      </c>
    </row>
    <row r="12" spans="1:11" x14ac:dyDescent="0.3">
      <c r="A12" s="18" t="s">
        <v>14</v>
      </c>
      <c r="B12" s="16" t="s">
        <v>23</v>
      </c>
      <c r="C12" s="52">
        <v>1388.55</v>
      </c>
      <c r="H12" s="18" t="s">
        <v>14</v>
      </c>
      <c r="I12" s="16" t="s">
        <v>23</v>
      </c>
      <c r="J12" s="53">
        <v>2017</v>
      </c>
      <c r="K12" s="52">
        <v>1388.55</v>
      </c>
    </row>
    <row r="13" spans="1:11" x14ac:dyDescent="0.3">
      <c r="A13" s="18" t="s">
        <v>14</v>
      </c>
      <c r="B13" s="16" t="s">
        <v>24</v>
      </c>
      <c r="C13" s="52">
        <v>50689.93</v>
      </c>
      <c r="H13" s="18" t="s">
        <v>14</v>
      </c>
      <c r="I13" s="16" t="s">
        <v>24</v>
      </c>
      <c r="J13" s="53">
        <v>2018</v>
      </c>
      <c r="K13" s="52">
        <v>50689.93</v>
      </c>
    </row>
    <row r="14" spans="1:11" x14ac:dyDescent="0.3">
      <c r="A14" s="18" t="s">
        <v>14</v>
      </c>
      <c r="B14" s="16" t="s">
        <v>25</v>
      </c>
      <c r="C14" s="52">
        <v>20145.259999999998</v>
      </c>
      <c r="H14" s="18" t="s">
        <v>14</v>
      </c>
      <c r="I14" s="16" t="s">
        <v>25</v>
      </c>
      <c r="J14" s="53">
        <v>2019</v>
      </c>
      <c r="K14" s="52">
        <v>20145.259999999998</v>
      </c>
    </row>
    <row r="15" spans="1:11" x14ac:dyDescent="0.3">
      <c r="A15" s="18" t="s">
        <v>14</v>
      </c>
      <c r="B15" s="16" t="s">
        <v>26</v>
      </c>
      <c r="C15" s="52">
        <v>153</v>
      </c>
      <c r="H15" s="18" t="s">
        <v>14</v>
      </c>
      <c r="I15" s="16" t="s">
        <v>26</v>
      </c>
      <c r="J15" s="53" t="s">
        <v>27</v>
      </c>
      <c r="K15" s="52">
        <v>153</v>
      </c>
    </row>
    <row r="16" spans="1:11" x14ac:dyDescent="0.3">
      <c r="A16" s="18" t="s">
        <v>14</v>
      </c>
      <c r="B16" s="16" t="s">
        <v>28</v>
      </c>
      <c r="C16" s="52">
        <v>153</v>
      </c>
      <c r="H16" s="18" t="s">
        <v>14</v>
      </c>
      <c r="I16" s="16" t="s">
        <v>28</v>
      </c>
      <c r="J16" s="53" t="s">
        <v>29</v>
      </c>
      <c r="K16" s="52">
        <v>153</v>
      </c>
    </row>
    <row r="17" spans="1:11" x14ac:dyDescent="0.3">
      <c r="A17" s="18" t="s">
        <v>14</v>
      </c>
      <c r="B17" s="16" t="s">
        <v>30</v>
      </c>
      <c r="C17" s="52">
        <v>150</v>
      </c>
      <c r="H17" s="18" t="s">
        <v>14</v>
      </c>
      <c r="I17" s="16" t="s">
        <v>30</v>
      </c>
      <c r="J17" s="53" t="s">
        <v>29</v>
      </c>
      <c r="K17" s="52">
        <v>150</v>
      </c>
    </row>
    <row r="18" spans="1:11" x14ac:dyDescent="0.3">
      <c r="A18" s="18" t="s">
        <v>14</v>
      </c>
      <c r="B18" s="16" t="s">
        <v>31</v>
      </c>
      <c r="C18" s="52">
        <v>142</v>
      </c>
      <c r="H18" s="18" t="s">
        <v>14</v>
      </c>
      <c r="I18" s="16" t="s">
        <v>31</v>
      </c>
      <c r="J18" s="53" t="s">
        <v>29</v>
      </c>
      <c r="K18" s="52">
        <v>142</v>
      </c>
    </row>
    <row r="19" spans="1:11" x14ac:dyDescent="0.3">
      <c r="A19" s="18" t="s">
        <v>14</v>
      </c>
      <c r="B19" s="16" t="s">
        <v>32</v>
      </c>
      <c r="C19" s="52">
        <v>136</v>
      </c>
      <c r="H19" s="18" t="s">
        <v>14</v>
      </c>
      <c r="I19" s="16" t="s">
        <v>32</v>
      </c>
      <c r="J19" s="53" t="s">
        <v>33</v>
      </c>
      <c r="K19" s="52">
        <v>136</v>
      </c>
    </row>
    <row r="20" spans="1:11" x14ac:dyDescent="0.3">
      <c r="A20" s="18" t="s">
        <v>14</v>
      </c>
      <c r="B20" s="16" t="s">
        <v>34</v>
      </c>
      <c r="C20" s="52">
        <v>144</v>
      </c>
      <c r="H20" s="18" t="s">
        <v>14</v>
      </c>
      <c r="I20" s="16" t="s">
        <v>34</v>
      </c>
      <c r="J20" s="53" t="s">
        <v>33</v>
      </c>
      <c r="K20" s="52">
        <v>144</v>
      </c>
    </row>
    <row r="21" spans="1:11" x14ac:dyDescent="0.3">
      <c r="A21" s="18" t="s">
        <v>14</v>
      </c>
      <c r="B21" s="16" t="s">
        <v>35</v>
      </c>
      <c r="C21" s="52">
        <v>854.1</v>
      </c>
      <c r="H21" s="18" t="s">
        <v>14</v>
      </c>
      <c r="I21" s="16" t="s">
        <v>35</v>
      </c>
      <c r="J21" s="53" t="s">
        <v>36</v>
      </c>
      <c r="K21" s="52">
        <v>854.1</v>
      </c>
    </row>
    <row r="22" spans="1:11" x14ac:dyDescent="0.3">
      <c r="A22" s="18" t="s">
        <v>14</v>
      </c>
      <c r="B22" s="16" t="s">
        <v>37</v>
      </c>
      <c r="C22" s="52">
        <v>2387.79</v>
      </c>
      <c r="H22" s="18" t="s">
        <v>14</v>
      </c>
      <c r="I22" s="16" t="s">
        <v>37</v>
      </c>
      <c r="J22" s="53" t="s">
        <v>36</v>
      </c>
      <c r="K22" s="52">
        <v>2387.79</v>
      </c>
    </row>
    <row r="23" spans="1:11" x14ac:dyDescent="0.3">
      <c r="A23" s="18" t="s">
        <v>14</v>
      </c>
      <c r="B23" s="16" t="s">
        <v>38</v>
      </c>
      <c r="C23" s="52">
        <v>1353.21</v>
      </c>
      <c r="H23" s="18" t="s">
        <v>14</v>
      </c>
      <c r="I23" s="16" t="s">
        <v>38</v>
      </c>
      <c r="J23" s="53" t="s">
        <v>36</v>
      </c>
      <c r="K23" s="52">
        <v>1353.21</v>
      </c>
    </row>
    <row r="24" spans="1:11" x14ac:dyDescent="0.3">
      <c r="A24" s="18" t="s">
        <v>14</v>
      </c>
      <c r="B24" s="16" t="s">
        <v>39</v>
      </c>
      <c r="C24" s="52">
        <v>1955.55</v>
      </c>
      <c r="H24" s="18" t="s">
        <v>14</v>
      </c>
      <c r="I24" s="16" t="s">
        <v>39</v>
      </c>
      <c r="J24" s="53" t="s">
        <v>36</v>
      </c>
      <c r="K24" s="52">
        <v>1955.55</v>
      </c>
    </row>
    <row r="25" spans="1:11" x14ac:dyDescent="0.3">
      <c r="A25" s="18" t="s">
        <v>14</v>
      </c>
      <c r="B25" s="16" t="s">
        <v>40</v>
      </c>
      <c r="C25" s="52">
        <v>5579.65</v>
      </c>
      <c r="H25" s="18" t="s">
        <v>14</v>
      </c>
      <c r="I25" s="16" t="s">
        <v>40</v>
      </c>
      <c r="J25" s="53" t="s">
        <v>36</v>
      </c>
      <c r="K25" s="52">
        <v>5579.65</v>
      </c>
    </row>
    <row r="26" spans="1:11" x14ac:dyDescent="0.3">
      <c r="A26" s="18" t="s">
        <v>14</v>
      </c>
      <c r="B26" s="16" t="s">
        <v>41</v>
      </c>
      <c r="C26" s="52">
        <v>1003.76</v>
      </c>
      <c r="H26" s="18" t="s">
        <v>14</v>
      </c>
      <c r="I26" s="16" t="s">
        <v>41</v>
      </c>
      <c r="J26" s="53" t="s">
        <v>36</v>
      </c>
      <c r="K26" s="52">
        <v>1003.76</v>
      </c>
    </row>
    <row r="27" spans="1:11" x14ac:dyDescent="0.3">
      <c r="A27" s="18" t="s">
        <v>14</v>
      </c>
      <c r="B27" s="16" t="s">
        <v>42</v>
      </c>
      <c r="C27" s="52">
        <v>1009.31</v>
      </c>
      <c r="H27" s="18" t="s">
        <v>14</v>
      </c>
      <c r="I27" s="16" t="s">
        <v>42</v>
      </c>
      <c r="J27" s="53" t="s">
        <v>36</v>
      </c>
      <c r="K27" s="52">
        <v>1009.31</v>
      </c>
    </row>
    <row r="28" spans="1:11" x14ac:dyDescent="0.3">
      <c r="A28" s="18" t="s">
        <v>14</v>
      </c>
      <c r="B28" s="16" t="s">
        <v>43</v>
      </c>
      <c r="C28" s="52">
        <v>2775</v>
      </c>
      <c r="H28" s="18" t="s">
        <v>14</v>
      </c>
      <c r="I28" s="16" t="s">
        <v>43</v>
      </c>
      <c r="J28" s="53" t="s">
        <v>36</v>
      </c>
      <c r="K28" s="52">
        <v>2775</v>
      </c>
    </row>
    <row r="29" spans="1:11" x14ac:dyDescent="0.3">
      <c r="A29" s="18" t="s">
        <v>14</v>
      </c>
      <c r="B29" s="16" t="s">
        <v>44</v>
      </c>
      <c r="C29" s="52">
        <v>5000</v>
      </c>
      <c r="H29" s="18" t="s">
        <v>14</v>
      </c>
      <c r="I29" s="16" t="s">
        <v>44</v>
      </c>
      <c r="J29" s="53">
        <v>2023</v>
      </c>
      <c r="K29" s="52">
        <v>5000</v>
      </c>
    </row>
    <row r="30" spans="1:11" x14ac:dyDescent="0.3">
      <c r="A30" s="18" t="s">
        <v>14</v>
      </c>
      <c r="B30" s="16" t="s">
        <v>45</v>
      </c>
      <c r="C30" s="52">
        <v>3000</v>
      </c>
      <c r="H30" s="18" t="s">
        <v>14</v>
      </c>
      <c r="I30" s="16" t="s">
        <v>45</v>
      </c>
      <c r="J30" s="53">
        <v>2023</v>
      </c>
      <c r="K30" s="52">
        <v>3000</v>
      </c>
    </row>
    <row r="31" spans="1:11" x14ac:dyDescent="0.3">
      <c r="A31" s="18" t="s">
        <v>14</v>
      </c>
      <c r="B31" s="16" t="s">
        <v>46</v>
      </c>
      <c r="C31" s="52">
        <v>1010</v>
      </c>
      <c r="H31" s="18" t="s">
        <v>14</v>
      </c>
      <c r="I31" s="16" t="s">
        <v>46</v>
      </c>
      <c r="J31" s="53">
        <v>2023</v>
      </c>
      <c r="K31" s="52">
        <v>1010</v>
      </c>
    </row>
    <row r="32" spans="1:11" x14ac:dyDescent="0.3">
      <c r="A32" s="18" t="s">
        <v>14</v>
      </c>
      <c r="B32" s="16" t="s">
        <v>47</v>
      </c>
      <c r="C32" s="52">
        <v>1959</v>
      </c>
      <c r="H32" s="18" t="s">
        <v>14</v>
      </c>
      <c r="I32" s="16" t="s">
        <v>47</v>
      </c>
      <c r="J32" s="53">
        <v>2023</v>
      </c>
      <c r="K32" s="52">
        <v>1959</v>
      </c>
    </row>
    <row r="33" spans="1:11" x14ac:dyDescent="0.3">
      <c r="A33" s="18" t="s">
        <v>14</v>
      </c>
      <c r="B33" s="16" t="s">
        <v>48</v>
      </c>
      <c r="C33" s="52">
        <v>4079.91</v>
      </c>
      <c r="H33" s="18" t="s">
        <v>51</v>
      </c>
      <c r="I33" s="18"/>
      <c r="J33" s="42"/>
      <c r="K33" s="51">
        <v>4416.66</v>
      </c>
    </row>
    <row r="34" spans="1:11" x14ac:dyDescent="0.3">
      <c r="A34" s="18" t="s">
        <v>14</v>
      </c>
      <c r="B34" s="16" t="s">
        <v>49</v>
      </c>
      <c r="C34" s="52">
        <v>16000</v>
      </c>
      <c r="H34" s="18" t="s">
        <v>51</v>
      </c>
      <c r="I34" s="16" t="s">
        <v>52</v>
      </c>
      <c r="J34" s="53" t="s">
        <v>53</v>
      </c>
      <c r="K34" s="52">
        <v>3073.31</v>
      </c>
    </row>
    <row r="35" spans="1:11" x14ac:dyDescent="0.3">
      <c r="A35" s="18" t="s">
        <v>14</v>
      </c>
      <c r="B35" s="16" t="s">
        <v>50</v>
      </c>
      <c r="C35" s="52">
        <v>10000</v>
      </c>
      <c r="H35" s="18" t="s">
        <v>51</v>
      </c>
      <c r="I35" s="16" t="s">
        <v>54</v>
      </c>
      <c r="J35" s="53" t="s">
        <v>55</v>
      </c>
      <c r="K35" s="52">
        <v>542</v>
      </c>
    </row>
    <row r="36" spans="1:11" x14ac:dyDescent="0.3">
      <c r="A36" s="18" t="s">
        <v>51</v>
      </c>
      <c r="B36" s="18"/>
      <c r="C36" s="51">
        <v>4416.66</v>
      </c>
      <c r="H36" s="18" t="s">
        <v>51</v>
      </c>
      <c r="I36" s="16" t="s">
        <v>56</v>
      </c>
      <c r="J36" s="53">
        <v>2023</v>
      </c>
      <c r="K36" s="52">
        <v>801.35</v>
      </c>
    </row>
    <row r="37" spans="1:11" x14ac:dyDescent="0.3">
      <c r="A37" s="18" t="s">
        <v>51</v>
      </c>
      <c r="B37" s="16" t="s">
        <v>52</v>
      </c>
      <c r="C37" s="52">
        <v>3073.31</v>
      </c>
      <c r="H37" s="18" t="s">
        <v>71</v>
      </c>
      <c r="I37" s="18"/>
      <c r="J37" s="53"/>
      <c r="K37" s="51">
        <v>146026.9</v>
      </c>
    </row>
    <row r="38" spans="1:11" x14ac:dyDescent="0.3">
      <c r="A38" s="18" t="s">
        <v>51</v>
      </c>
      <c r="B38" s="16" t="s">
        <v>54</v>
      </c>
      <c r="C38" s="52">
        <v>542</v>
      </c>
      <c r="H38" s="3" t="s">
        <v>380</v>
      </c>
      <c r="K38" s="6"/>
    </row>
    <row r="39" spans="1:11" x14ac:dyDescent="0.3">
      <c r="A39" s="18" t="s">
        <v>51</v>
      </c>
      <c r="B39" s="16" t="s">
        <v>56</v>
      </c>
      <c r="C39" s="52">
        <v>801.35</v>
      </c>
    </row>
    <row r="40" spans="1:11" x14ac:dyDescent="0.3">
      <c r="A40" s="18" t="s">
        <v>71</v>
      </c>
      <c r="B40" s="18"/>
      <c r="C40" s="51">
        <v>176106.77</v>
      </c>
    </row>
    <row r="41" spans="1:11" x14ac:dyDescent="0.3">
      <c r="A41" s="28" t="s">
        <v>133</v>
      </c>
      <c r="B41" s="16"/>
      <c r="C41" s="16"/>
      <c r="D41" s="53"/>
    </row>
    <row r="43" spans="1:11" ht="15.6" x14ac:dyDescent="0.3">
      <c r="B43" s="63" t="s">
        <v>228</v>
      </c>
      <c r="C43" s="63"/>
      <c r="D43" s="63"/>
      <c r="E43" s="63"/>
      <c r="F43" s="63"/>
    </row>
    <row r="44" spans="1:11" x14ac:dyDescent="0.3">
      <c r="B44" s="12" t="s">
        <v>8</v>
      </c>
      <c r="C44" s="12" t="s">
        <v>11</v>
      </c>
      <c r="D44" s="12" t="s">
        <v>12</v>
      </c>
      <c r="E44" s="12"/>
      <c r="F44" s="12"/>
    </row>
    <row r="45" spans="1:11" x14ac:dyDescent="0.3">
      <c r="B45" s="12" t="s">
        <v>14</v>
      </c>
      <c r="C45" s="12" t="s">
        <v>15</v>
      </c>
      <c r="D45" s="62">
        <v>9722.75</v>
      </c>
      <c r="E45" s="53"/>
      <c r="F45" s="12"/>
    </row>
    <row r="46" spans="1:11" x14ac:dyDescent="0.3">
      <c r="B46" s="12" t="s">
        <v>14</v>
      </c>
      <c r="C46" s="12" t="s">
        <v>16</v>
      </c>
      <c r="D46" s="62">
        <v>4227.54</v>
      </c>
      <c r="E46" s="53"/>
      <c r="F46" s="12"/>
    </row>
    <row r="47" spans="1:11" x14ac:dyDescent="0.3">
      <c r="B47" s="12" t="s">
        <v>14</v>
      </c>
      <c r="C47" s="12" t="s">
        <v>17</v>
      </c>
      <c r="D47" s="62">
        <v>1696.39</v>
      </c>
      <c r="E47" s="53"/>
      <c r="F47" s="12"/>
    </row>
    <row r="48" spans="1:11" x14ac:dyDescent="0.3">
      <c r="B48" s="12" t="s">
        <v>14</v>
      </c>
      <c r="C48" s="12" t="s">
        <v>18</v>
      </c>
      <c r="D48" s="62">
        <v>9113.48</v>
      </c>
      <c r="E48" s="53"/>
      <c r="F48" s="12"/>
    </row>
    <row r="49" spans="2:6" x14ac:dyDescent="0.3">
      <c r="B49" s="12" t="s">
        <v>14</v>
      </c>
      <c r="C49" s="12" t="s">
        <v>19</v>
      </c>
      <c r="D49" s="62">
        <v>4514.24</v>
      </c>
      <c r="E49" s="53"/>
      <c r="F49" s="12"/>
    </row>
    <row r="50" spans="2:6" x14ac:dyDescent="0.3">
      <c r="B50" s="12" t="s">
        <v>14</v>
      </c>
      <c r="C50" s="12" t="s">
        <v>20</v>
      </c>
      <c r="D50" s="12">
        <v>864.03</v>
      </c>
      <c r="E50" s="53"/>
      <c r="F50" s="12"/>
    </row>
    <row r="51" spans="2:6" x14ac:dyDescent="0.3">
      <c r="B51" s="12" t="s">
        <v>14</v>
      </c>
      <c r="C51" s="12" t="s">
        <v>21</v>
      </c>
      <c r="D51" s="62">
        <v>4276.8</v>
      </c>
      <c r="E51" s="53"/>
      <c r="F51" s="12"/>
    </row>
    <row r="52" spans="2:6" x14ac:dyDescent="0.3">
      <c r="B52" s="12" t="s">
        <v>14</v>
      </c>
      <c r="C52" s="12" t="s">
        <v>22</v>
      </c>
      <c r="D52" s="62">
        <v>6205.85</v>
      </c>
      <c r="E52" s="53"/>
      <c r="F52" s="12"/>
    </row>
    <row r="53" spans="2:6" x14ac:dyDescent="0.3">
      <c r="B53" s="12" t="s">
        <v>14</v>
      </c>
      <c r="C53" s="12" t="s">
        <v>23</v>
      </c>
      <c r="D53" s="62">
        <v>1388.55</v>
      </c>
      <c r="E53" s="53"/>
      <c r="F53" s="12"/>
    </row>
    <row r="54" spans="2:6" x14ac:dyDescent="0.3">
      <c r="B54" s="12" t="s">
        <v>14</v>
      </c>
      <c r="C54" s="12" t="s">
        <v>24</v>
      </c>
      <c r="D54" s="62">
        <v>50689.93</v>
      </c>
      <c r="E54" s="53"/>
      <c r="F54" s="12"/>
    </row>
    <row r="55" spans="2:6" x14ac:dyDescent="0.3">
      <c r="B55" s="12" t="s">
        <v>14</v>
      </c>
      <c r="C55" s="12" t="s">
        <v>25</v>
      </c>
      <c r="D55" s="62">
        <v>20145.259999999998</v>
      </c>
      <c r="E55" s="12"/>
      <c r="F55" s="12"/>
    </row>
    <row r="56" spans="2:6" x14ac:dyDescent="0.3">
      <c r="B56" s="12" t="s">
        <v>14</v>
      </c>
      <c r="C56" s="12" t="s">
        <v>26</v>
      </c>
      <c r="D56" s="12">
        <v>153</v>
      </c>
      <c r="E56" s="12"/>
      <c r="F56" s="12"/>
    </row>
    <row r="57" spans="2:6" x14ac:dyDescent="0.3">
      <c r="B57" s="12" t="s">
        <v>14</v>
      </c>
      <c r="C57" s="12" t="s">
        <v>28</v>
      </c>
      <c r="D57" s="12">
        <v>153</v>
      </c>
      <c r="E57" s="12"/>
      <c r="F57" s="12"/>
    </row>
    <row r="58" spans="2:6" x14ac:dyDescent="0.3">
      <c r="B58" s="12" t="s">
        <v>14</v>
      </c>
      <c r="C58" s="12" t="s">
        <v>30</v>
      </c>
      <c r="D58" s="12">
        <v>150</v>
      </c>
      <c r="E58" s="12"/>
      <c r="F58" s="12"/>
    </row>
    <row r="59" spans="2:6" x14ac:dyDescent="0.3">
      <c r="B59" s="12" t="s">
        <v>14</v>
      </c>
      <c r="C59" s="12" t="s">
        <v>31</v>
      </c>
      <c r="D59" s="12">
        <v>142</v>
      </c>
      <c r="E59" s="12"/>
      <c r="F59" s="12"/>
    </row>
    <row r="60" spans="2:6" x14ac:dyDescent="0.3">
      <c r="B60" s="12" t="s">
        <v>14</v>
      </c>
      <c r="C60" s="12" t="s">
        <v>32</v>
      </c>
      <c r="D60" s="12">
        <v>136</v>
      </c>
      <c r="E60" s="12"/>
      <c r="F60" s="12"/>
    </row>
    <row r="61" spans="2:6" x14ac:dyDescent="0.3">
      <c r="B61" s="12" t="s">
        <v>14</v>
      </c>
      <c r="C61" s="12" t="s">
        <v>34</v>
      </c>
      <c r="D61" s="12">
        <v>144</v>
      </c>
      <c r="E61" s="12"/>
      <c r="F61" s="12"/>
    </row>
    <row r="62" spans="2:6" x14ac:dyDescent="0.3">
      <c r="B62" s="12" t="s">
        <v>14</v>
      </c>
      <c r="C62" s="12" t="s">
        <v>35</v>
      </c>
      <c r="D62" s="12">
        <v>854.1</v>
      </c>
      <c r="E62" s="12"/>
      <c r="F62" s="12"/>
    </row>
    <row r="63" spans="2:6" x14ac:dyDescent="0.3">
      <c r="B63" s="12" t="s">
        <v>14</v>
      </c>
      <c r="C63" s="12" t="s">
        <v>37</v>
      </c>
      <c r="D63" s="62">
        <v>2387.79</v>
      </c>
      <c r="E63" s="12"/>
      <c r="F63" s="12"/>
    </row>
    <row r="64" spans="2:6" x14ac:dyDescent="0.3">
      <c r="B64" s="12" t="s">
        <v>14</v>
      </c>
      <c r="C64" s="12" t="s">
        <v>38</v>
      </c>
      <c r="D64" s="62">
        <v>1353.21</v>
      </c>
      <c r="E64" s="12"/>
      <c r="F64" s="12"/>
    </row>
    <row r="65" spans="2:6" x14ac:dyDescent="0.3">
      <c r="B65" s="12" t="s">
        <v>14</v>
      </c>
      <c r="C65" s="12" t="s">
        <v>39</v>
      </c>
      <c r="D65" s="62">
        <v>1955.55</v>
      </c>
      <c r="E65" s="12"/>
      <c r="F65" s="12"/>
    </row>
    <row r="66" spans="2:6" x14ac:dyDescent="0.3">
      <c r="B66" s="12" t="s">
        <v>14</v>
      </c>
      <c r="C66" s="12" t="s">
        <v>40</v>
      </c>
      <c r="D66" s="62">
        <v>5579.65</v>
      </c>
      <c r="E66" s="12"/>
      <c r="F66" s="12"/>
    </row>
    <row r="67" spans="2:6" x14ac:dyDescent="0.3">
      <c r="B67" s="12" t="s">
        <v>14</v>
      </c>
      <c r="C67" s="12" t="s">
        <v>41</v>
      </c>
      <c r="D67" s="62">
        <v>1003.76</v>
      </c>
      <c r="E67" s="12"/>
      <c r="F67" s="12"/>
    </row>
    <row r="68" spans="2:6" x14ac:dyDescent="0.3">
      <c r="B68" s="12" t="s">
        <v>14</v>
      </c>
      <c r="C68" s="12" t="s">
        <v>42</v>
      </c>
      <c r="D68" s="62">
        <v>1009.31</v>
      </c>
      <c r="E68" s="12"/>
      <c r="F68" s="12"/>
    </row>
    <row r="69" spans="2:6" x14ac:dyDescent="0.3">
      <c r="B69" s="12" t="s">
        <v>14</v>
      </c>
      <c r="C69" s="12" t="s">
        <v>43</v>
      </c>
      <c r="D69" s="62">
        <v>2775</v>
      </c>
      <c r="E69" s="12"/>
      <c r="F69" s="12"/>
    </row>
    <row r="70" spans="2:6" x14ac:dyDescent="0.3">
      <c r="B70" s="12" t="s">
        <v>14</v>
      </c>
      <c r="C70" s="12" t="s">
        <v>44</v>
      </c>
      <c r="D70" s="62">
        <v>5000</v>
      </c>
      <c r="E70" s="12"/>
      <c r="F70" s="12"/>
    </row>
    <row r="71" spans="2:6" x14ac:dyDescent="0.3">
      <c r="B71" s="12" t="s">
        <v>14</v>
      </c>
      <c r="C71" s="12" t="s">
        <v>45</v>
      </c>
      <c r="D71" s="62">
        <v>3000</v>
      </c>
      <c r="E71" s="12"/>
      <c r="F71" s="12"/>
    </row>
    <row r="72" spans="2:6" x14ac:dyDescent="0.3">
      <c r="B72" s="12" t="s">
        <v>14</v>
      </c>
      <c r="C72" s="12" t="s">
        <v>46</v>
      </c>
      <c r="D72" s="62">
        <v>1010</v>
      </c>
      <c r="E72" s="12"/>
      <c r="F72" s="12"/>
    </row>
    <row r="73" spans="2:6" x14ac:dyDescent="0.3">
      <c r="B73" s="12" t="s">
        <v>14</v>
      </c>
      <c r="C73" s="12" t="s">
        <v>47</v>
      </c>
      <c r="D73" s="62">
        <v>1959</v>
      </c>
      <c r="E73" s="12"/>
      <c r="F73" s="12"/>
    </row>
    <row r="74" spans="2:6" x14ac:dyDescent="0.3">
      <c r="B74" s="12" t="s">
        <v>14</v>
      </c>
      <c r="C74" s="12" t="s">
        <v>48</v>
      </c>
      <c r="D74" s="62">
        <v>4079.91</v>
      </c>
      <c r="E74" s="12"/>
      <c r="F74" s="12"/>
    </row>
    <row r="75" spans="2:6" x14ac:dyDescent="0.3">
      <c r="B75" s="12" t="s">
        <v>14</v>
      </c>
      <c r="C75" s="12" t="s">
        <v>49</v>
      </c>
      <c r="D75" s="62">
        <v>16000</v>
      </c>
      <c r="E75" s="12"/>
      <c r="F75" s="12"/>
    </row>
    <row r="76" spans="2:6" x14ac:dyDescent="0.3">
      <c r="B76" s="12" t="s">
        <v>14</v>
      </c>
      <c r="C76" s="12" t="s">
        <v>50</v>
      </c>
      <c r="D76" s="62">
        <v>10000</v>
      </c>
      <c r="E76" s="12"/>
      <c r="F76" s="12"/>
    </row>
    <row r="77" spans="2:6" x14ac:dyDescent="0.3">
      <c r="B77" s="12" t="s">
        <v>14</v>
      </c>
      <c r="C77" s="12" t="s">
        <v>229</v>
      </c>
      <c r="D77" s="62">
        <v>3000</v>
      </c>
      <c r="E77" s="12"/>
      <c r="F77" s="12"/>
    </row>
    <row r="78" spans="2:6" x14ac:dyDescent="0.3">
      <c r="B78" s="12" t="s">
        <v>14</v>
      </c>
      <c r="C78" s="12" t="s">
        <v>230</v>
      </c>
      <c r="D78" s="62">
        <v>3082</v>
      </c>
      <c r="E78" s="12"/>
      <c r="F78" s="12"/>
    </row>
    <row r="79" spans="2:6" x14ac:dyDescent="0.3">
      <c r="B79" s="12" t="s">
        <v>14</v>
      </c>
      <c r="C79" s="12" t="s">
        <v>231</v>
      </c>
      <c r="D79" s="12">
        <v>521.27</v>
      </c>
      <c r="E79" s="12"/>
      <c r="F79" s="12"/>
    </row>
    <row r="80" spans="2:6" x14ac:dyDescent="0.3">
      <c r="B80" s="12" t="s">
        <v>14</v>
      </c>
      <c r="C80" s="12" t="s">
        <v>232</v>
      </c>
      <c r="D80" s="62">
        <v>1310.28</v>
      </c>
      <c r="E80" s="12"/>
      <c r="F80" s="12"/>
    </row>
    <row r="81" spans="2:6" x14ac:dyDescent="0.3">
      <c r="B81" s="12" t="s">
        <v>51</v>
      </c>
      <c r="C81" s="12" t="s">
        <v>52</v>
      </c>
      <c r="D81" s="62">
        <v>3073.31</v>
      </c>
      <c r="E81" s="12"/>
      <c r="F81" s="12"/>
    </row>
    <row r="82" spans="2:6" x14ac:dyDescent="0.3">
      <c r="B82" s="12" t="s">
        <v>51</v>
      </c>
      <c r="C82" s="12" t="s">
        <v>54</v>
      </c>
      <c r="D82" s="12">
        <v>542</v>
      </c>
      <c r="E82" s="12"/>
      <c r="F82" s="12"/>
    </row>
    <row r="83" spans="2:6" x14ac:dyDescent="0.3">
      <c r="B83" s="12" t="s">
        <v>51</v>
      </c>
      <c r="C83" s="12" t="s">
        <v>56</v>
      </c>
      <c r="D83" s="12">
        <v>801.35</v>
      </c>
      <c r="E83" s="12"/>
      <c r="F83" s="12"/>
    </row>
    <row r="84" spans="2:6" x14ac:dyDescent="0.3">
      <c r="B84" s="12" t="s">
        <v>71</v>
      </c>
      <c r="C84" s="12"/>
      <c r="D84" s="62">
        <v>184020.4</v>
      </c>
      <c r="F84" s="12"/>
    </row>
    <row r="85" spans="2:6" x14ac:dyDescent="0.3">
      <c r="B85" s="64" t="s">
        <v>233</v>
      </c>
      <c r="C85" s="64"/>
      <c r="D85" s="64"/>
      <c r="E85" s="64"/>
      <c r="F85" s="64"/>
    </row>
  </sheetData>
  <mergeCells count="2">
    <mergeCell ref="B43:F43"/>
    <mergeCell ref="B85:F85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showGridLines="0" zoomScale="110" zoomScaleNormal="110" workbookViewId="0">
      <selection activeCell="G2" sqref="G2:K2"/>
    </sheetView>
  </sheetViews>
  <sheetFormatPr baseColWidth="10" defaultColWidth="8.6640625" defaultRowHeight="14.4" x14ac:dyDescent="0.3"/>
  <cols>
    <col min="1" max="1" width="16.33203125" customWidth="1"/>
    <col min="2" max="2" width="23.6640625" customWidth="1"/>
    <col min="3" max="3" width="38" customWidth="1"/>
    <col min="4" max="4" width="29.5546875" customWidth="1"/>
    <col min="5" max="5" width="16.33203125" customWidth="1"/>
    <col min="6" max="6" width="7" bestFit="1" customWidth="1"/>
  </cols>
  <sheetData>
    <row r="1" spans="1:9" x14ac:dyDescent="0.3">
      <c r="A1" s="18" t="s">
        <v>59</v>
      </c>
      <c r="B1" s="18"/>
      <c r="C1" s="18"/>
      <c r="D1" s="18"/>
      <c r="E1" s="18"/>
    </row>
    <row r="2" spans="1:9" x14ac:dyDescent="0.3">
      <c r="A2" s="18" t="s">
        <v>60</v>
      </c>
      <c r="B2" s="42">
        <v>2021</v>
      </c>
      <c r="C2" s="42">
        <v>2022</v>
      </c>
      <c r="D2" s="42">
        <v>2023</v>
      </c>
      <c r="E2" s="42">
        <v>2024</v>
      </c>
      <c r="G2" s="59"/>
      <c r="H2" s="59"/>
      <c r="I2" s="59"/>
    </row>
    <row r="3" spans="1:9" x14ac:dyDescent="0.3">
      <c r="A3" s="16" t="s">
        <v>61</v>
      </c>
      <c r="B3" s="53">
        <v>98.83</v>
      </c>
      <c r="C3" s="53">
        <v>98.9</v>
      </c>
      <c r="D3" s="53">
        <v>99.05</v>
      </c>
      <c r="E3" s="53">
        <v>99.27</v>
      </c>
    </row>
    <row r="4" spans="1:9" x14ac:dyDescent="0.3">
      <c r="A4" s="16" t="s">
        <v>62</v>
      </c>
      <c r="B4" s="53">
        <v>99.21</v>
      </c>
      <c r="C4" s="53">
        <v>99.29</v>
      </c>
      <c r="D4" s="53">
        <v>99.43</v>
      </c>
      <c r="E4" s="53">
        <v>99.64</v>
      </c>
    </row>
    <row r="5" spans="1:9" ht="3" customHeight="1" x14ac:dyDescent="0.3">
      <c r="A5" s="2"/>
      <c r="B5" s="2"/>
      <c r="C5" s="2"/>
      <c r="D5" s="2"/>
      <c r="E5" s="2"/>
    </row>
    <row r="6" spans="1:9" x14ac:dyDescent="0.3">
      <c r="A6" s="3" t="s">
        <v>145</v>
      </c>
    </row>
    <row r="8" spans="1:9" ht="15.6" x14ac:dyDescent="0.3">
      <c r="A8" s="65" t="s">
        <v>424</v>
      </c>
      <c r="B8" s="65"/>
      <c r="C8" s="65"/>
      <c r="D8" s="65"/>
      <c r="E8" s="65"/>
      <c r="F8" s="65"/>
      <c r="G8" s="65"/>
    </row>
    <row r="9" spans="1:9" x14ac:dyDescent="0.3">
      <c r="A9" s="12" t="s">
        <v>60</v>
      </c>
      <c r="B9" s="12">
        <v>2021</v>
      </c>
      <c r="C9" s="12">
        <v>2022</v>
      </c>
      <c r="D9" s="12">
        <v>2023</v>
      </c>
      <c r="E9" s="12">
        <v>2024</v>
      </c>
      <c r="F9" s="12">
        <v>2025</v>
      </c>
      <c r="G9" s="12" t="s">
        <v>219</v>
      </c>
    </row>
    <row r="10" spans="1:9" x14ac:dyDescent="0.3">
      <c r="A10" s="12" t="s">
        <v>61</v>
      </c>
      <c r="B10" s="12">
        <v>98.83</v>
      </c>
      <c r="C10" s="12">
        <v>98.9</v>
      </c>
      <c r="D10" s="12">
        <v>99.05</v>
      </c>
      <c r="E10" s="12">
        <v>99.27</v>
      </c>
      <c r="F10" s="12">
        <v>99.55</v>
      </c>
      <c r="G10" s="12"/>
    </row>
    <row r="11" spans="1:9" x14ac:dyDescent="0.3">
      <c r="A11" s="12" t="s">
        <v>62</v>
      </c>
      <c r="B11" s="12">
        <v>99.21</v>
      </c>
      <c r="C11" s="12">
        <v>99.29</v>
      </c>
      <c r="D11" s="12">
        <v>99.43</v>
      </c>
      <c r="E11" s="12">
        <v>99.64</v>
      </c>
      <c r="F11" s="12">
        <v>99.82</v>
      </c>
      <c r="G11" s="12"/>
    </row>
    <row r="12" spans="1:9" x14ac:dyDescent="0.3">
      <c r="A12" s="64" t="s">
        <v>245</v>
      </c>
      <c r="B12" s="64"/>
      <c r="C12" s="64"/>
      <c r="D12" s="64"/>
      <c r="E12" s="64"/>
      <c r="F12" s="64"/>
      <c r="G12" s="64"/>
    </row>
    <row r="15" spans="1:9" x14ac:dyDescent="0.3">
      <c r="A15" s="18" t="s">
        <v>391</v>
      </c>
      <c r="B15" s="18"/>
      <c r="C15" s="18"/>
      <c r="D15" s="18"/>
      <c r="E15" s="1"/>
    </row>
    <row r="16" spans="1:9" x14ac:dyDescent="0.3">
      <c r="A16" s="18" t="s">
        <v>387</v>
      </c>
      <c r="B16" s="42" t="s">
        <v>388</v>
      </c>
      <c r="C16" s="42" t="s">
        <v>389</v>
      </c>
      <c r="D16" s="42" t="s">
        <v>390</v>
      </c>
      <c r="E16" s="5"/>
    </row>
    <row r="17" spans="1:5" x14ac:dyDescent="0.3">
      <c r="A17" s="28" t="s">
        <v>394</v>
      </c>
      <c r="B17" s="54">
        <v>241442</v>
      </c>
      <c r="C17" s="54">
        <v>233718</v>
      </c>
      <c r="D17" s="53">
        <v>96.8</v>
      </c>
      <c r="E17" s="6"/>
    </row>
    <row r="18" spans="1:5" x14ac:dyDescent="0.3">
      <c r="A18" s="28" t="s">
        <v>395</v>
      </c>
      <c r="B18" s="54">
        <v>717393</v>
      </c>
      <c r="C18" s="54">
        <v>716038</v>
      </c>
      <c r="D18" s="53">
        <v>99.81</v>
      </c>
      <c r="E18" s="6"/>
    </row>
    <row r="19" spans="1:5" x14ac:dyDescent="0.3">
      <c r="A19" s="16"/>
      <c r="B19" s="54">
        <v>958835</v>
      </c>
      <c r="C19" s="54">
        <v>949756</v>
      </c>
      <c r="D19" s="53">
        <v>99.05</v>
      </c>
    </row>
    <row r="20" spans="1:5" x14ac:dyDescent="0.3">
      <c r="A20" t="s">
        <v>392</v>
      </c>
    </row>
    <row r="21" spans="1:5" x14ac:dyDescent="0.3">
      <c r="A21" s="3" t="s">
        <v>393</v>
      </c>
    </row>
  </sheetData>
  <mergeCells count="2">
    <mergeCell ref="A8:G8"/>
    <mergeCell ref="A12:G1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showGridLines="0" topLeftCell="B1" zoomScale="120" zoomScaleNormal="120" workbookViewId="0">
      <selection activeCell="G2" sqref="G2:I2"/>
    </sheetView>
  </sheetViews>
  <sheetFormatPr baseColWidth="10" defaultColWidth="8.6640625" defaultRowHeight="14.4" x14ac:dyDescent="0.3"/>
  <cols>
    <col min="1" max="2" width="53.5546875" customWidth="1"/>
    <col min="3" max="3" width="7" bestFit="1" customWidth="1"/>
    <col min="4" max="4" width="42.6640625" customWidth="1"/>
    <col min="5" max="5" width="10.33203125" customWidth="1"/>
  </cols>
  <sheetData>
    <row r="1" spans="1:9" x14ac:dyDescent="0.3">
      <c r="A1" s="18" t="s">
        <v>0</v>
      </c>
      <c r="B1" s="16"/>
    </row>
    <row r="2" spans="1:9" x14ac:dyDescent="0.3">
      <c r="A2" s="42" t="s">
        <v>1</v>
      </c>
      <c r="B2" s="42" t="s">
        <v>2</v>
      </c>
      <c r="G2" s="59"/>
      <c r="H2" s="59"/>
      <c r="I2" s="59"/>
    </row>
    <row r="3" spans="1:9" x14ac:dyDescent="0.3">
      <c r="A3" s="16" t="s">
        <v>3</v>
      </c>
      <c r="B3" s="16">
        <v>130</v>
      </c>
    </row>
    <row r="4" spans="1:9" x14ac:dyDescent="0.3">
      <c r="A4" s="16" t="s">
        <v>4</v>
      </c>
      <c r="B4" s="16">
        <v>15</v>
      </c>
    </row>
    <row r="5" spans="1:9" x14ac:dyDescent="0.3">
      <c r="A5" s="16" t="s">
        <v>5</v>
      </c>
      <c r="B5" s="16">
        <v>20</v>
      </c>
    </row>
    <row r="6" spans="1:9" x14ac:dyDescent="0.3">
      <c r="A6" s="16" t="s">
        <v>6</v>
      </c>
      <c r="B6" s="16">
        <v>36</v>
      </c>
    </row>
    <row r="7" spans="1:9" x14ac:dyDescent="0.3">
      <c r="A7" s="16" t="s">
        <v>7</v>
      </c>
      <c r="B7" s="16">
        <v>2</v>
      </c>
    </row>
    <row r="8" spans="1:9" x14ac:dyDescent="0.3">
      <c r="A8" s="55" t="s">
        <v>71</v>
      </c>
      <c r="B8" s="56">
        <v>203</v>
      </c>
    </row>
    <row r="9" spans="1:9" x14ac:dyDescent="0.3">
      <c r="A9" s="3" t="s">
        <v>132</v>
      </c>
    </row>
    <row r="10" spans="1:9" ht="15.6" x14ac:dyDescent="0.3">
      <c r="D10" s="40" t="s">
        <v>425</v>
      </c>
      <c r="E10" s="13"/>
    </row>
    <row r="11" spans="1:9" x14ac:dyDescent="0.3">
      <c r="D11" s="12" t="s">
        <v>1</v>
      </c>
      <c r="E11" s="12" t="s">
        <v>2</v>
      </c>
    </row>
    <row r="12" spans="1:9" x14ac:dyDescent="0.3">
      <c r="A12" s="18" t="s">
        <v>399</v>
      </c>
      <c r="B12" s="16"/>
      <c r="D12" s="12" t="s">
        <v>3</v>
      </c>
      <c r="E12" s="12">
        <v>241</v>
      </c>
    </row>
    <row r="13" spans="1:9" x14ac:dyDescent="0.3">
      <c r="A13" s="42" t="s">
        <v>1</v>
      </c>
      <c r="B13" s="42" t="s">
        <v>2</v>
      </c>
      <c r="D13" s="12" t="s">
        <v>4</v>
      </c>
      <c r="E13" s="12">
        <v>19</v>
      </c>
    </row>
    <row r="14" spans="1:9" x14ac:dyDescent="0.3">
      <c r="A14" s="16" t="s">
        <v>3</v>
      </c>
      <c r="B14" s="16">
        <v>210</v>
      </c>
      <c r="D14" s="12" t="s">
        <v>237</v>
      </c>
      <c r="E14" s="12">
        <v>2</v>
      </c>
    </row>
    <row r="15" spans="1:9" x14ac:dyDescent="0.3">
      <c r="A15" s="28" t="s">
        <v>400</v>
      </c>
      <c r="B15" s="16">
        <v>29</v>
      </c>
      <c r="D15" s="12" t="s">
        <v>238</v>
      </c>
      <c r="E15" s="12">
        <v>2</v>
      </c>
    </row>
    <row r="16" spans="1:9" x14ac:dyDescent="0.3">
      <c r="A16" s="16" t="s">
        <v>5</v>
      </c>
      <c r="B16" s="16">
        <v>19</v>
      </c>
      <c r="D16" s="12" t="s">
        <v>64</v>
      </c>
      <c r="E16" s="12">
        <v>2</v>
      </c>
    </row>
    <row r="17" spans="1:5" x14ac:dyDescent="0.3">
      <c r="A17" s="16" t="s">
        <v>6</v>
      </c>
      <c r="B17" s="16">
        <v>11</v>
      </c>
      <c r="D17" s="12" t="s">
        <v>63</v>
      </c>
      <c r="E17" s="12">
        <v>2</v>
      </c>
    </row>
    <row r="18" spans="1:5" x14ac:dyDescent="0.3">
      <c r="A18" s="28" t="s">
        <v>402</v>
      </c>
      <c r="B18" s="16">
        <v>5</v>
      </c>
      <c r="D18" s="12" t="s">
        <v>239</v>
      </c>
      <c r="E18" s="12">
        <v>1</v>
      </c>
    </row>
    <row r="19" spans="1:5" x14ac:dyDescent="0.3">
      <c r="A19" s="16" t="s">
        <v>401</v>
      </c>
      <c r="B19" s="16">
        <v>5</v>
      </c>
      <c r="D19" s="12" t="s">
        <v>235</v>
      </c>
      <c r="E19" s="12">
        <v>1</v>
      </c>
    </row>
    <row r="20" spans="1:5" x14ac:dyDescent="0.3">
      <c r="A20" s="28" t="s">
        <v>403</v>
      </c>
      <c r="B20" s="16">
        <v>3</v>
      </c>
      <c r="D20" s="12" t="s">
        <v>6</v>
      </c>
      <c r="E20" s="12">
        <v>89</v>
      </c>
    </row>
    <row r="21" spans="1:5" x14ac:dyDescent="0.3">
      <c r="A21" s="28" t="s">
        <v>404</v>
      </c>
      <c r="B21" s="16">
        <v>2</v>
      </c>
      <c r="D21" s="12" t="s">
        <v>7</v>
      </c>
      <c r="E21" s="12">
        <v>2</v>
      </c>
    </row>
    <row r="22" spans="1:5" x14ac:dyDescent="0.3">
      <c r="A22" s="28" t="s">
        <v>405</v>
      </c>
      <c r="B22" s="16">
        <v>2</v>
      </c>
      <c r="D22" s="57" t="s">
        <v>240</v>
      </c>
      <c r="E22" s="57">
        <v>361</v>
      </c>
    </row>
    <row r="23" spans="1:5" x14ac:dyDescent="0.3">
      <c r="A23" s="28" t="s">
        <v>406</v>
      </c>
      <c r="B23" s="16">
        <v>1</v>
      </c>
      <c r="D23" s="64" t="s">
        <v>236</v>
      </c>
      <c r="E23" s="64"/>
    </row>
    <row r="24" spans="1:5" x14ac:dyDescent="0.3">
      <c r="A24" s="28" t="s">
        <v>407</v>
      </c>
      <c r="B24" s="16">
        <v>1</v>
      </c>
    </row>
    <row r="25" spans="1:5" x14ac:dyDescent="0.3">
      <c r="A25" s="55" t="s">
        <v>71</v>
      </c>
      <c r="B25" s="56">
        <f>SUM(B14:B24)</f>
        <v>288</v>
      </c>
    </row>
    <row r="26" spans="1:5" x14ac:dyDescent="0.3">
      <c r="A26" s="3" t="s">
        <v>408</v>
      </c>
    </row>
  </sheetData>
  <mergeCells count="1">
    <mergeCell ref="D23:E2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showGridLines="0" workbookViewId="0">
      <selection activeCell="A19" sqref="A19"/>
    </sheetView>
  </sheetViews>
  <sheetFormatPr baseColWidth="10" defaultColWidth="8.6640625" defaultRowHeight="14.4" x14ac:dyDescent="0.3"/>
  <cols>
    <col min="1" max="1" width="44.6640625" customWidth="1"/>
    <col min="2" max="4" width="26.44140625" customWidth="1"/>
    <col min="5" max="5" width="7" bestFit="1" customWidth="1"/>
    <col min="6" max="6" width="44" customWidth="1"/>
    <col min="7" max="7" width="32.88671875" bestFit="1" customWidth="1"/>
    <col min="8" max="8" width="31.44140625" bestFit="1" customWidth="1"/>
    <col min="9" max="9" width="32.44140625" customWidth="1"/>
  </cols>
  <sheetData>
    <row r="1" spans="1:9" x14ac:dyDescent="0.3">
      <c r="A1" s="18" t="s">
        <v>122</v>
      </c>
      <c r="B1" s="16"/>
      <c r="C1" s="16"/>
      <c r="D1" s="16"/>
    </row>
    <row r="2" spans="1:9" x14ac:dyDescent="0.3">
      <c r="A2" s="73" t="s">
        <v>123</v>
      </c>
      <c r="B2" s="73" t="s">
        <v>165</v>
      </c>
      <c r="C2" s="75"/>
      <c r="D2" s="75"/>
      <c r="G2" s="59"/>
      <c r="H2" s="59"/>
      <c r="I2" s="59"/>
    </row>
    <row r="3" spans="1:9" x14ac:dyDescent="0.3">
      <c r="A3" s="74"/>
      <c r="B3" s="58" t="s">
        <v>166</v>
      </c>
      <c r="C3" s="58" t="s">
        <v>167</v>
      </c>
      <c r="D3" s="58" t="s">
        <v>168</v>
      </c>
    </row>
    <row r="4" spans="1:9" x14ac:dyDescent="0.3">
      <c r="A4" s="16" t="s">
        <v>124</v>
      </c>
      <c r="B4" s="16">
        <v>1</v>
      </c>
      <c r="C4" s="16">
        <v>0</v>
      </c>
      <c r="D4" s="16">
        <v>0</v>
      </c>
    </row>
    <row r="5" spans="1:9" x14ac:dyDescent="0.3">
      <c r="A5" s="16" t="s">
        <v>125</v>
      </c>
      <c r="B5" s="16">
        <v>0</v>
      </c>
      <c r="C5" s="16">
        <v>0</v>
      </c>
      <c r="D5" s="16">
        <v>1</v>
      </c>
    </row>
    <row r="6" spans="1:9" x14ac:dyDescent="0.3">
      <c r="A6" s="16" t="s">
        <v>126</v>
      </c>
      <c r="B6" s="16">
        <v>0</v>
      </c>
      <c r="C6" s="16">
        <v>0</v>
      </c>
      <c r="D6" s="16">
        <v>10</v>
      </c>
    </row>
    <row r="7" spans="1:9" x14ac:dyDescent="0.3">
      <c r="A7" s="16" t="s">
        <v>5</v>
      </c>
      <c r="B7" s="16">
        <v>0</v>
      </c>
      <c r="C7" s="16">
        <v>0</v>
      </c>
      <c r="D7" s="16">
        <v>2</v>
      </c>
    </row>
    <row r="8" spans="1:9" x14ac:dyDescent="0.3">
      <c r="A8" s="18" t="s">
        <v>71</v>
      </c>
      <c r="B8" s="18">
        <v>1</v>
      </c>
      <c r="C8" s="18">
        <v>0</v>
      </c>
      <c r="D8" s="18">
        <v>13</v>
      </c>
    </row>
    <row r="9" spans="1:9" x14ac:dyDescent="0.3">
      <c r="A9" s="3" t="s">
        <v>132</v>
      </c>
    </row>
    <row r="11" spans="1:9" ht="15.6" x14ac:dyDescent="0.3">
      <c r="F11" s="76" t="s">
        <v>242</v>
      </c>
      <c r="G11" s="76"/>
      <c r="H11" s="76"/>
      <c r="I11" s="76"/>
    </row>
    <row r="12" spans="1:9" x14ac:dyDescent="0.3">
      <c r="A12" s="18" t="s">
        <v>409</v>
      </c>
      <c r="B12" s="16"/>
      <c r="C12" s="16"/>
      <c r="D12" s="16"/>
      <c r="F12" s="73" t="s">
        <v>123</v>
      </c>
      <c r="G12" s="73" t="s">
        <v>165</v>
      </c>
      <c r="H12" s="75"/>
      <c r="I12" s="75"/>
    </row>
    <row r="13" spans="1:9" x14ac:dyDescent="0.3">
      <c r="A13" s="73" t="s">
        <v>123</v>
      </c>
      <c r="B13" s="73" t="s">
        <v>165</v>
      </c>
      <c r="C13" s="75"/>
      <c r="D13" s="75"/>
      <c r="F13" s="74"/>
      <c r="G13" s="58" t="s">
        <v>166</v>
      </c>
      <c r="H13" s="58" t="s">
        <v>167</v>
      </c>
      <c r="I13" s="58" t="s">
        <v>168</v>
      </c>
    </row>
    <row r="14" spans="1:9" x14ac:dyDescent="0.3">
      <c r="A14" s="74"/>
      <c r="B14" s="58" t="s">
        <v>166</v>
      </c>
      <c r="C14" s="58" t="s">
        <v>167</v>
      </c>
      <c r="D14" s="58" t="s">
        <v>168</v>
      </c>
      <c r="F14" s="12" t="s">
        <v>124</v>
      </c>
      <c r="G14" s="12">
        <v>0</v>
      </c>
      <c r="H14" s="12">
        <v>0</v>
      </c>
      <c r="I14" s="12">
        <v>17</v>
      </c>
    </row>
    <row r="15" spans="1:9" x14ac:dyDescent="0.3">
      <c r="A15" s="28" t="s">
        <v>400</v>
      </c>
      <c r="B15" s="16">
        <v>0</v>
      </c>
      <c r="C15" s="16">
        <v>0</v>
      </c>
      <c r="D15" s="16">
        <v>3</v>
      </c>
      <c r="F15" s="12" t="s">
        <v>126</v>
      </c>
      <c r="G15" s="12">
        <v>0</v>
      </c>
      <c r="H15" s="12">
        <v>0</v>
      </c>
      <c r="I15" s="12">
        <v>2</v>
      </c>
    </row>
    <row r="16" spans="1:9" x14ac:dyDescent="0.3">
      <c r="A16" s="16" t="s">
        <v>125</v>
      </c>
      <c r="B16" s="16">
        <v>0</v>
      </c>
      <c r="C16" s="16">
        <v>1</v>
      </c>
      <c r="D16" s="16">
        <v>3</v>
      </c>
      <c r="F16" s="14" t="s">
        <v>243</v>
      </c>
      <c r="G16" s="14">
        <v>0</v>
      </c>
      <c r="H16" s="14">
        <v>0</v>
      </c>
      <c r="I16" s="14">
        <v>1</v>
      </c>
    </row>
    <row r="17" spans="1:9" x14ac:dyDescent="0.3">
      <c r="A17" s="16" t="s">
        <v>126</v>
      </c>
      <c r="B17" s="16">
        <v>0</v>
      </c>
      <c r="C17" s="16">
        <v>0</v>
      </c>
      <c r="D17" s="16">
        <v>2</v>
      </c>
      <c r="F17" s="18" t="s">
        <v>416</v>
      </c>
      <c r="G17" s="18">
        <v>0</v>
      </c>
      <c r="H17" s="18">
        <v>0</v>
      </c>
      <c r="I17" s="18">
        <v>20</v>
      </c>
    </row>
    <row r="18" spans="1:9" x14ac:dyDescent="0.3">
      <c r="A18" s="16" t="s">
        <v>5</v>
      </c>
      <c r="B18" s="16">
        <v>0</v>
      </c>
      <c r="C18" s="16">
        <v>0</v>
      </c>
      <c r="D18" s="16">
        <v>1</v>
      </c>
    </row>
    <row r="19" spans="1:9" x14ac:dyDescent="0.3">
      <c r="A19" s="28" t="s">
        <v>401</v>
      </c>
      <c r="B19" s="16">
        <v>0</v>
      </c>
      <c r="C19" s="16">
        <v>0</v>
      </c>
      <c r="D19" s="16">
        <v>1</v>
      </c>
      <c r="F19" s="66" t="s">
        <v>244</v>
      </c>
      <c r="G19" s="66"/>
      <c r="H19" s="66"/>
      <c r="I19" s="66"/>
    </row>
    <row r="20" spans="1:9" x14ac:dyDescent="0.3">
      <c r="A20" s="18" t="s">
        <v>71</v>
      </c>
      <c r="B20" s="18">
        <v>0</v>
      </c>
      <c r="C20" s="18">
        <v>1</v>
      </c>
      <c r="D20" s="18">
        <f>SUM(D15:D19)</f>
        <v>10</v>
      </c>
    </row>
    <row r="21" spans="1:9" x14ac:dyDescent="0.3">
      <c r="A21" s="3" t="s">
        <v>408</v>
      </c>
    </row>
  </sheetData>
  <mergeCells count="8">
    <mergeCell ref="F19:I19"/>
    <mergeCell ref="A2:A3"/>
    <mergeCell ref="B2:D2"/>
    <mergeCell ref="F11:I11"/>
    <mergeCell ref="A13:A14"/>
    <mergeCell ref="B13:D13"/>
    <mergeCell ref="F12:F13"/>
    <mergeCell ref="G12:I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M5-006</vt:lpstr>
      <vt:lpstr>M5-007</vt:lpstr>
      <vt:lpstr>M5-009</vt:lpstr>
      <vt:lpstr>M5-010</vt:lpstr>
      <vt:lpstr>M5-012</vt:lpstr>
      <vt:lpstr>M5-015</vt:lpstr>
      <vt:lpstr>M5-017</vt:lpstr>
      <vt:lpstr>M5-020</vt:lpstr>
      <vt:lpstr>M5-023</vt:lpstr>
      <vt:lpstr>M5-024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felipe caudillo</cp:lastModifiedBy>
  <dcterms:created xsi:type="dcterms:W3CDTF">2025-05-09T20:08:57Z</dcterms:created>
  <dcterms:modified xsi:type="dcterms:W3CDTF">2026-06-22T19:32:10Z</dcterms:modified>
  <cp:category/>
</cp:coreProperties>
</file>
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D01B0CA-D565-4722-811D-4858FC3920A6}" xr6:coauthVersionLast="47" xr6:coauthVersionMax="47" xr10:uidLastSave="{00000000-0000-0000-0000-000000000000}"/>
  <bookViews>
    <workbookView xWindow="11424" yWindow="0" windowWidth="11712" windowHeight="12336" tabRatio="729" xr2:uid="{B36AF6AD-755C-4067-AA14-0D6DE5D3A789}"/>
  </bookViews>
  <sheets>
    <sheet name="Indice M2" sheetId="1" r:id="rId1"/>
    <sheet name="M2-001" sheetId="2" r:id="rId2"/>
    <sheet name="M2-007" sheetId="3" r:id="rId3"/>
    <sheet name="M2-027" sheetId="4" r:id="rId4"/>
    <sheet name="M2-037" sheetId="6" r:id="rId5"/>
    <sheet name="M2-038" sheetId="7" r:id="rId6"/>
    <sheet name="M2-039" sheetId="8" r:id="rId7"/>
    <sheet name="M2-041" sheetId="9" r:id="rId8"/>
    <sheet name="M2-043" sheetId="10" r:id="rId9"/>
    <sheet name="M2-046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" i="11" l="1"/>
  <c r="H14" i="11"/>
  <c r="E14" i="11"/>
  <c r="E15" i="11" s="1"/>
  <c r="E7" i="10"/>
  <c r="D7" i="10"/>
  <c r="I17" i="7"/>
  <c r="F17" i="4"/>
  <c r="H8" i="9"/>
  <c r="H7" i="8"/>
  <c r="J17" i="7"/>
  <c r="E21" i="7"/>
  <c r="F21" i="7"/>
  <c r="E8" i="6"/>
  <c r="G17" i="4"/>
  <c r="C17" i="4"/>
  <c r="B17" i="4"/>
  <c r="E31" i="3"/>
  <c r="H27" i="3"/>
  <c r="B25" i="3"/>
  <c r="D21" i="2"/>
  <c r="B21" i="2"/>
  <c r="E22" i="7" l="1"/>
  <c r="I18" i="7"/>
  <c r="H15" i="11"/>
</calcChain>
</file>

<file path=xl/sharedStrings.xml><?xml version="1.0" encoding="utf-8"?>
<sst xmlns="http://schemas.openxmlformats.org/spreadsheetml/2006/main" count="461" uniqueCount="276">
  <si>
    <t>Codigo</t>
  </si>
  <si>
    <t>Nombre de tabla</t>
  </si>
  <si>
    <t>Dependencia</t>
  </si>
  <si>
    <t>2023-2024</t>
  </si>
  <si>
    <t>2024-2025</t>
  </si>
  <si>
    <t>-</t>
  </si>
  <si>
    <t>M2-001</t>
  </si>
  <si>
    <t xml:space="preserve">Número de operativos implementados por la Policía Estatal, 2024.	</t>
  </si>
  <si>
    <t>SPSC</t>
  </si>
  <si>
    <t>Seguimiento</t>
  </si>
  <si>
    <t>Acciones</t>
  </si>
  <si>
    <t xml:space="preserve">Número de operativos implementados por la Policía Estatal, 2023	</t>
  </si>
  <si>
    <t>Operativos</t>
  </si>
  <si>
    <t>🔺</t>
  </si>
  <si>
    <t>M2-007</t>
  </si>
  <si>
    <t>Acciones y productos de investigación e inteligencia policial, 2023</t>
  </si>
  <si>
    <t>Acciones y productos de investigación e inteligencia policial, 2024	.</t>
  </si>
  <si>
    <t>Acciones y productos de investigación e inteligencia policial, 2025	.</t>
  </si>
  <si>
    <t>Acciones y productos</t>
  </si>
  <si>
    <t>Recibidas</t>
  </si>
  <si>
    <t>FGECAM</t>
  </si>
  <si>
    <t>M2-027</t>
  </si>
  <si>
    <t xml:space="preserve">Órdenes de Aprehensión y Detención, 2024.		</t>
  </si>
  <si>
    <t xml:space="preserve">Órdenes de Aprehensión y Detención, 2025	</t>
  </si>
  <si>
    <t>Cumplidas</t>
  </si>
  <si>
    <t>M2-030</t>
  </si>
  <si>
    <t>CESP</t>
  </si>
  <si>
    <t>M2-031</t>
  </si>
  <si>
    <t>M2-032</t>
  </si>
  <si>
    <t>M2-034</t>
  </si>
  <si>
    <t>M2-036</t>
  </si>
  <si>
    <t>Inversión para el equipamiento a diversas áreas que integran el Centro de Estudios en
Seguridad Pública del Consejo Estatal de Seguridad Pública, Julio 2023 a junio 2024.</t>
  </si>
  <si>
    <t>M2-037</t>
  </si>
  <si>
    <t xml:space="preserve">Inversión para el equipamiento a diversas áreas que integran el Centro de Estudios en Seguridad Pública del Consejo Estatal de Seguridad Pública, julio 2024 a junio 2025.	</t>
  </si>
  <si>
    <t xml:space="preserve">Inversión para el equipamiento a diversas áreas que integran el Centro de Estudios en Seguridad Pública del Consejo Estatal de Seguridad Pública, Julio 2025 a junio 2026.	</t>
  </si>
  <si>
    <t>Inversión</t>
  </si>
  <si>
    <t>Inversión para el equipamiento de las instituciones en Seguridad Pública por concepto,
Julio 2023 a junio 2024.</t>
  </si>
  <si>
    <t>M2-038</t>
  </si>
  <si>
    <t>Inversión para el equipamiento de las instituciones en Seguridad Pública por concepto, julio 2024 a junio 2025	.</t>
  </si>
  <si>
    <t>Inversión para el equipamiento de las instituciones en Seguridad Pública por concepto, Julio 2025 a junio 2026.</t>
  </si>
  <si>
    <t>Inversión para el Fortalecimiento del Sistema Penitenciario Nacional y de Ejecución de
medidas para adolescentes por concepto, Julio 2023 a junio 2024.</t>
  </si>
  <si>
    <t>M2-039</t>
  </si>
  <si>
    <t>Inversión para el Fortalecimiento del Sistema Penitenciario Nacional y de Ejecución de medidas para adolescentes por concepto, julio 2024 a junio 2025</t>
  </si>
  <si>
    <t>Inversión para el Fortalecimiento del Sistema Penitenciario Nacional y de Ejecución de medidas para adolescentes por concepto, Julio 2025 a junio 2026.</t>
  </si>
  <si>
    <t>Inversión para la profesionalización y capacitación de los elementos policiales de Seguridad Pública por institución, Julio 2023 a junio 2024.</t>
  </si>
  <si>
    <t>M2-041</t>
  </si>
  <si>
    <t>Inversión para la profesionalización y capacitación de los elementos policiales de Seguridad Pública por institución, julio 2024 a junio 2025.</t>
  </si>
  <si>
    <t>Inversión para la profesionalización y capacitación de los elementos policiales de Seguridad Pública por institución, Julio 2025 a junio 2026.</t>
  </si>
  <si>
    <t>Inversión en los Programas de Seguimiento y Evaluación proveniente de fondos del Programa Nacional de Seguridad Pública, Julio 2023 a junio 2024.</t>
  </si>
  <si>
    <t>M2-043</t>
  </si>
  <si>
    <t xml:space="preserve">Inversión en los Programas de Seguimiento y Evaluación proveniente de fondos del Programa Nacional de Seguridad Pública, julio 2024 a junio 2025	</t>
  </si>
  <si>
    <t>Inversión en los Programas de Seguimiento y Evaluación proveniente de fondos del Programa Nacional de Seguridad Pública, Julio 2025 a junio 2026.</t>
  </si>
  <si>
    <t>Vehículos</t>
  </si>
  <si>
    <t>Resumen de la inversión del Programa Nacional de Seguridad Pública por
concepto, Julio 2023 a junio 2024.</t>
  </si>
  <si>
    <t>M2-046</t>
  </si>
  <si>
    <t xml:space="preserve">Resumen de la inversión del Programa Nacional de Seguridad Pública por concepto, julio 2024 a junio 2025.	</t>
  </si>
  <si>
    <t xml:space="preserve">Resumen de la inversión del Programa Nacional de Seguridad Pública por concepto, Julio 2025 a junio 2026.	</t>
  </si>
  <si>
    <t xml:space="preserve"> OPERATIVOS</t>
  </si>
  <si>
    <t>NOMBRE DEL OPERATIVO</t>
  </si>
  <si>
    <t>2025-2026</t>
  </si>
  <si>
    <t>Campeche Seguro</t>
  </si>
  <si>
    <t>Carnaval Seguro</t>
  </si>
  <si>
    <t>Colonia Segura</t>
  </si>
  <si>
    <t>Comercio Seguro</t>
  </si>
  <si>
    <t>Cuadrante Seguro</t>
  </si>
  <si>
    <t>Escuela Segura</t>
  </si>
  <si>
    <t>Feria Segura</t>
  </si>
  <si>
    <t>Guadalupe Reyes</t>
  </si>
  <si>
    <t>Navidad Segura</t>
  </si>
  <si>
    <t>Operativo "Sí al desarme"</t>
  </si>
  <si>
    <t>Operativo interinstitucional</t>
  </si>
  <si>
    <t>Operativo "Murciélago"</t>
  </si>
  <si>
    <t>Operativo "Tren Maya"</t>
  </si>
  <si>
    <t>Playa Segura</t>
  </si>
  <si>
    <t>Recuperación de parques</t>
  </si>
  <si>
    <t xml:space="preserve">TOTAL </t>
  </si>
  <si>
    <t>Nota: Los operativos de la Policía Estatal son medidas de prevención del delito en distintos lugares y situaciones, a fin de salvaguardar la integridad de los ciudadanos y sus bienes.</t>
  </si>
  <si>
    <t>Fuente: Gobierno del Estado de Campeche. Secretaría de Protección y Seguridad Ciudadana. 2025.</t>
  </si>
  <si>
    <t xml:space="preserve">Acciones y productos de investigación e inteligencia policial, 2025.	</t>
  </si>
  <si>
    <t>CONCEPTO</t>
  </si>
  <si>
    <t>CANTIDAD</t>
  </si>
  <si>
    <t>Notas</t>
  </si>
  <si>
    <t>Búsqueda de objetivos prioritarios</t>
  </si>
  <si>
    <t>Registros administrativos recopilados de toda la SPSC</t>
  </si>
  <si>
    <t>Búsqueda de Objetivos Prioritarios</t>
  </si>
  <si>
    <t>Colaboraciones institucionales</t>
  </si>
  <si>
    <t>Informe de modelo de hechos de tránsito INFOCAM</t>
  </si>
  <si>
    <t>Colaboraciones Institucionales</t>
  </si>
  <si>
    <t>Colaboraciones interinstitucionales</t>
  </si>
  <si>
    <t>Reuniones con los enlaces operativos de la SPSC por el proyecto de hechos de tránsito 3</t>
  </si>
  <si>
    <t>Colaboraciones Interinstitucionales</t>
  </si>
  <si>
    <t>Cursos, capacitaciones y talleres</t>
  </si>
  <si>
    <t>Reunión de presentación de temas estadísticos con representantes del INFOCAM</t>
  </si>
  <si>
    <t>Investigaciones realizadas</t>
  </si>
  <si>
    <t>Cursos de capacitación INEGI</t>
  </si>
  <si>
    <t>Oficios recibidos</t>
  </si>
  <si>
    <t>Productos</t>
  </si>
  <si>
    <t xml:space="preserve">Oficios recibidos </t>
  </si>
  <si>
    <t>Puestas a disposición a Fiscalía</t>
  </si>
  <si>
    <t>Presentaciones bajo el formato de mesa de seguridad institucional o CompStat</t>
  </si>
  <si>
    <t>Puestas a disposición a fiscalía</t>
  </si>
  <si>
    <t>Remisiones administrativas</t>
  </si>
  <si>
    <t>Bitácora de información operativa de la SPSC</t>
  </si>
  <si>
    <t>Reuniones de trabajo interinstitucionales</t>
  </si>
  <si>
    <t>Reportes estadísticos para la evaluación de estrategias operativas</t>
  </si>
  <si>
    <t>Reuniones de Trabajo con otros sectores</t>
  </si>
  <si>
    <t>Análisis de redes de vínculos</t>
  </si>
  <si>
    <t>Tablero de control de complementos a las mesas de seguridad institucional o CompStat</t>
  </si>
  <si>
    <t>Reuniones de Trabajo Institucionales</t>
  </si>
  <si>
    <t>Expedientes de reportes relevantes</t>
  </si>
  <si>
    <t>Análisis geoespacial de incidencia delictiva</t>
  </si>
  <si>
    <t>Reuniones de Trabajo Interinstitucionales</t>
  </si>
  <si>
    <t>Fichas delictivas</t>
  </si>
  <si>
    <t>Mapas de calor de incidencia delictiva en el estado de Campeche</t>
  </si>
  <si>
    <t>Fichas técnicas</t>
  </si>
  <si>
    <t>Análisis bajo el sistema Risk Terrain Model (RTM) o zonas de vulnerabilidad en inseguridad</t>
  </si>
  <si>
    <t>Fichas de seguimiento</t>
  </si>
  <si>
    <t>Informes proyecto INEGI de etapa inicial de hechos de tránsito</t>
  </si>
  <si>
    <t>Expedientes clasificados</t>
  </si>
  <si>
    <t>Gacetas</t>
  </si>
  <si>
    <t>Conformación del catálogo de generadores de violencia y reincidentes de violencia 1</t>
  </si>
  <si>
    <t>Fichas Delictivas</t>
  </si>
  <si>
    <t>Informes de investigación</t>
  </si>
  <si>
    <t>Informes de logros institucionales por delitos de alto impacto</t>
  </si>
  <si>
    <t>Fichas Técnicas</t>
  </si>
  <si>
    <t>Informes del modelo estadístico</t>
  </si>
  <si>
    <t>Fichas de Seguimiento</t>
  </si>
  <si>
    <t>Panoramas y balances operativos</t>
  </si>
  <si>
    <t>Desarrollo de producto de inteligencia basado en un formato nuevo (requerimiento de investigación RI)</t>
  </si>
  <si>
    <t>Reportes de robos atendidos</t>
  </si>
  <si>
    <t>Requerimiento de investigación</t>
  </si>
  <si>
    <t>Informes de Investigación (II)</t>
  </si>
  <si>
    <t>Reportes relevantes</t>
  </si>
  <si>
    <t>Requerimientos de investigación</t>
  </si>
  <si>
    <t>Respuestas de oficios a diversas instituciones</t>
  </si>
  <si>
    <t>Tarjetas informativas realizadas</t>
  </si>
  <si>
    <t>Reportes Relevantes</t>
  </si>
  <si>
    <t>Requerimientos de Investigación (RI)</t>
  </si>
  <si>
    <t>Nota: Las acciones de investigación e inteligencia policial están encaminadas a generar productos que permitan establecer estrategias
dirigidas a reducir las actividades delictivas, mediante el uso de herramientas tecnológicas.</t>
  </si>
  <si>
    <t>Nota: Las acciones de investigación e inteligencia policial están encaminadas a generar productos que permitan establecer estrategias dirigidas a reducir las actividades delictivas, mediante el uso de herramientas tecnológicas.</t>
  </si>
  <si>
    <t>Fuente: Gobierno del Estado de Campeche. Secretaría de Protección y Seguridad Ciudadana. 2026.</t>
  </si>
  <si>
    <t>Fuente: Gobierno del Estado de Campeche. Secretaría de Seguridad y Protección Ciudadana. Subsecretaría de Inteligencia e Investigación
Policial. 2024.</t>
  </si>
  <si>
    <t>* Las acciones de investigación e inteligencia policial están encaminadas a generar productos que permitan establecer estrategias dirigidas a reducir las actividades delictivas, mediante el uso de herramientas tecnológicas.</t>
  </si>
  <si>
    <t>MES</t>
  </si>
  <si>
    <t>RECIBIDAS a/</t>
  </si>
  <si>
    <t>CUMPLIDAS b/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</si>
  <si>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</si>
  <si>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</si>
  <si>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</si>
  <si>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</si>
  <si>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</si>
  <si>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</si>
  <si>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</si>
  <si>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</si>
  <si>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</si>
  <si>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</si>
  <si>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</si>
  <si>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</si>
  <si>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a/ Los mandamientos judiciales librados o recibidos son solicitudes que efectúa el Ministerio Público al Juez de Control para la detención de una persona cuando: existen datos de prueba suficientes para determinar su probable responsabilidad, se resiste a comparecer ante la autoridad judicial, o se ha sustraído de la acción de la justicia.</t>
  </si>
  <si>
    <t>Fuente: Gobierno del Estado de Campeche. Fiscalía General del Estado de Campeche. 2026.</t>
  </si>
  <si>
    <t>b/ Los mandamientos judiciales cumplidos, son el resultado de los mandamientos librados y que se ejecutan en contra de las personas a los cuales se pone a disposición del Juez que lo requiere.</t>
  </si>
  <si>
    <t>a/ Los mandamientos judiciales librados o recibidos son solicitudes que efectúa el Ministerio Público al Juez de Control para la detención de una persona cuando: existen datos de prueba suficientes para determinar su probable responsabilidad, se resiste a comparecer ante la autoridad judicial, o se ha sustraído de la acción de la justicia.
b/ Los mandamientos judiciales cumplidos, son el resultado de los mandamientos librados y que se ejecutan en contra de las personas a los cuales se pone a disposición del Juez que lo requiere.</t>
  </si>
  <si>
    <t>Fuente: Gobierno del Estado de Campeche. Fiscalía General del Estado de Campeche. 2025.</t>
  </si>
  <si>
    <t>Fuente: Gobierno del Estado de Campeche. Secretaría de Protección y Seguridad Ciudadana. Consejo Estatal de Seguridad Pública. 2025.</t>
  </si>
  <si>
    <t>El sistema registra por default 12,142,152 y la cifra correcta es 12,149,152</t>
  </si>
  <si>
    <t>TOTAL</t>
  </si>
  <si>
    <t>El sistema registra por default la cantidad 9,335,372 y la cifra correcta es 9,395,972.</t>
  </si>
  <si>
    <t>Infraestructura</t>
  </si>
  <si>
    <t>Operación</t>
  </si>
  <si>
    <t>Equipamiento</t>
  </si>
  <si>
    <t>INVERSIÓN (PESOS)</t>
  </si>
  <si>
    <t>Fuente: Gobierno del Estado de Campeche. Secretaría de Gobierno. Consejo Estatal de Seguridad Pública. 2024.</t>
  </si>
  <si>
    <t>Nota: Inversión ejercida del Fondo de Aportaciones para la Seguridad Pública (FASP), correspondiente al periodo julio de 2023 a junio de 2024.</t>
  </si>
  <si>
    <t>Fuente: Gobierno del Estado de Campeche. Secretaría de Protección y Seguridad Ciudadana. Consejo Estatal de Seguridad Pública. 2026.</t>
  </si>
  <si>
    <t>Vestuario y uniformes</t>
  </si>
  <si>
    <t>Vehículos y equipo de transporte</t>
  </si>
  <si>
    <t>Productos químicos, farmacéuticos y de laboratorio</t>
  </si>
  <si>
    <t>Señales analógicas y digitales</t>
  </si>
  <si>
    <t>Prendas de protección</t>
  </si>
  <si>
    <t>Otros mobiliarios y equipo de administración</t>
  </si>
  <si>
    <t>Otros Equipos y Herramientas</t>
  </si>
  <si>
    <t>Productos químicos y material de laboratorio</t>
  </si>
  <si>
    <t>Muebles de oficina y estantería</t>
  </si>
  <si>
    <t>El sistema registra por default 31,621,007 y el dato correcto es 31,629,007</t>
  </si>
  <si>
    <t>Total</t>
  </si>
  <si>
    <t>Prendas de seguridad y protección personal</t>
  </si>
  <si>
    <t>Materiales y equipos de oficina</t>
  </si>
  <si>
    <t>El sistema registra por default 443,430 y el dato correcto es 443,490</t>
  </si>
  <si>
    <t>Prendas de Protección</t>
  </si>
  <si>
    <t>Otros mobiliarios y equipos de administración</t>
  </si>
  <si>
    <t>Mantenimiento de Equipo e Instrumental médico y de laboratorio</t>
  </si>
  <si>
    <t>Especies Caninas</t>
  </si>
  <si>
    <t>Mobiliario y equipo de oficina</t>
  </si>
  <si>
    <t>Licencias informáticas</t>
  </si>
  <si>
    <t>El sistema registra por default 844,445 y el dato correcto es 849,945</t>
  </si>
  <si>
    <t>Mantenimiento de Equipo</t>
  </si>
  <si>
    <t>Material de oficina e informático</t>
  </si>
  <si>
    <t>Herramientas, Refacciones y Accesorios Menores</t>
  </si>
  <si>
    <t>El sistema registra por default 2,843,503 y el dato correcto es 2,843,509</t>
  </si>
  <si>
    <t>Productos Químicos</t>
  </si>
  <si>
    <t>Mantenimiento a equipo médico y de laboratorio</t>
  </si>
  <si>
    <t>Equipos y aparatos audiovisuales</t>
  </si>
  <si>
    <t>Material y Equipo Médico</t>
  </si>
  <si>
    <t>Equipo médico y de laboratorio</t>
  </si>
  <si>
    <t>Material y Equipo de Oficina</t>
  </si>
  <si>
    <t>Mejoramiento del Destacamento de Policía de Ciudad del Carmen</t>
  </si>
  <si>
    <t>Equipo de Defensa y Seguridad</t>
  </si>
  <si>
    <t>Equipo Radiocomunicación</t>
  </si>
  <si>
    <t>Refacciones de cómputo</t>
  </si>
  <si>
    <t>Equipo de comunicaciones y telecomunicaciones</t>
  </si>
  <si>
    <t>Obra Pública</t>
  </si>
  <si>
    <t>Equipo de cómputo y de tecnologías de la información</t>
  </si>
  <si>
    <t>El sistema registra por default 21,387,771 y el dato correcto es 21,387,779</t>
  </si>
  <si>
    <t>Equipo Informático</t>
  </si>
  <si>
    <t>Conservación y mantenimiento menor de inmuebles</t>
  </si>
  <si>
    <t>El sistema registra por default 26,361,364 y el dato correcto es 26,361,964</t>
  </si>
  <si>
    <t>Uniformes</t>
  </si>
  <si>
    <t>Equipo de comunicación y telecomunicación</t>
  </si>
  <si>
    <t>Cámaras fotográficas y de video</t>
  </si>
  <si>
    <t>El sistema registra por default 30,000,382 y el dato correcto es 30,900,382</t>
  </si>
  <si>
    <t>Equipo de cómputo y tecnologías de la información</t>
  </si>
  <si>
    <t>Blancos y otros productos textiles</t>
  </si>
  <si>
    <t>FOFISP</t>
  </si>
  <si>
    <t>FASP</t>
  </si>
  <si>
    <t>Inversión para el equipamiento de las instituciones en Seguridad Pública por concepto, julio 2023 a junio 2024	.</t>
  </si>
  <si>
    <t>Inversión para el Fortalecimiento del Sistema Penitenciario Nacional y de Ejecución de medidas para adolescentes por concepto, Julio 2023 a junio 2024.</t>
  </si>
  <si>
    <t>Inversión para el Fortalecimiento del Sistema Penitenciario Nacional y de Ejecución de medidas para adolescentes por concepto, julio 2024 a junio 2025	.</t>
  </si>
  <si>
    <t>Alimentos y utensilios</t>
  </si>
  <si>
    <t>Blancos  y otros productos textiles</t>
  </si>
  <si>
    <t>Cámaras de solapa</t>
  </si>
  <si>
    <t>Cámaras fográficas y de video</t>
  </si>
  <si>
    <t>El sistema registra por default 18,767,678 y el dato correcto es 18,767,698</t>
  </si>
  <si>
    <t>Equipo de computo y de tecnologías de la información</t>
  </si>
  <si>
    <t>Equipo industrial</t>
  </si>
  <si>
    <t xml:space="preserve">TOTAL INVERSIÓN </t>
  </si>
  <si>
    <t>Equipo de defensa y seguridad</t>
  </si>
  <si>
    <t>Mantenimiento de maquinaria y equipo</t>
  </si>
  <si>
    <t>Mejoramiento de los centros penitenciarios</t>
  </si>
  <si>
    <t>Maquinaria y equipo industrial</t>
  </si>
  <si>
    <t>Material de seguridad pública</t>
  </si>
  <si>
    <t>Refacciones menores</t>
  </si>
  <si>
    <t>Prendas de protección para seguridad pública y nacional</t>
  </si>
  <si>
    <t>Utensilios de alimentación</t>
  </si>
  <si>
    <t>Refacciones y accesorios menores de edificios</t>
  </si>
  <si>
    <t>Vestuario y Uniformes</t>
  </si>
  <si>
    <t>INSTITUCIÓN</t>
  </si>
  <si>
    <t>Centros Penitenciarios</t>
  </si>
  <si>
    <t>Subsecretaría del Sistema Penitenciario, Prevención y Reinserción Social del Estado</t>
  </si>
  <si>
    <t xml:space="preserve">Secretaría de Protección y Seguridad Ciudadana </t>
  </si>
  <si>
    <t>Equipamiento y operación</t>
  </si>
  <si>
    <t>Consejo Estatal de Seguridad Pública del Estado de Campeche</t>
  </si>
  <si>
    <t>Fiscalía General del Estado (FGECAM)</t>
  </si>
  <si>
    <t>Fiscalía General del Estado</t>
  </si>
  <si>
    <t>El sistema registra por default 2,374,124 y el dato correcto es 2,374,129</t>
  </si>
  <si>
    <t>Instituto de Acceso a la Justicia del Estado de Campeche (INDAJUCAM)</t>
  </si>
  <si>
    <t>Secretaría de Protección y Seguridad Ciudadana (SPSC)</t>
  </si>
  <si>
    <t xml:space="preserve">Órdenes de aprehensión y detención, 2024-2025		</t>
  </si>
  <si>
    <t>Inversión en los Programas de Seguimiento y Evaluación proveniente de fondos del Programa Nacional de Seguridad Pública, julio 2024 a junio 2025	.</t>
  </si>
  <si>
    <t>PROGRAMA</t>
  </si>
  <si>
    <t>Evaluación</t>
  </si>
  <si>
    <t>Equipamiento a diversas áreas que integran el Centro de Estudios en Seguridad Pública del Estado de Campeche</t>
  </si>
  <si>
    <t>El sistema registra por default 12,142,152 y el dato correcto es 12,149,152</t>
  </si>
  <si>
    <t>Equipamiento de las instituciones de seguridad pública</t>
  </si>
  <si>
    <t>En la inversión de FOFISP, el sistema registra por default 31,621,007 y el dato correcto es 31,629,007</t>
  </si>
  <si>
    <t>Fortalecimiento al sistema penitenciario nacional y de ejecución de medidas adolescentes</t>
  </si>
  <si>
    <t>Fortalecimiento de las Capacidades de Evaluación en Control de Confianza</t>
  </si>
  <si>
    <t>Profesionalización y capacitación de los elementos policiales de seguridad pública</t>
  </si>
  <si>
    <t>Programa de prevención de la violencia y el delito por institución ejecutora de fondos del programa nacional de seguridad pública</t>
  </si>
  <si>
    <t>Programa de Seguimiento y Evaluación de fondos del Programa Nacional de Seguridad Pública</t>
  </si>
  <si>
    <t>Sistema Nacional de Información de fondos del Programa Nacional de Seguridad Pública</t>
  </si>
  <si>
    <t>El sistema registra por default 64,483,625 y el dato correcto es 64,983,625</t>
  </si>
  <si>
    <t>Nota: Inversión ejercida del Fondo de Aportaciones para la Seguridad Pública (FASP), correspondiente al periodo julio de 2023 a junio de 2024.
La suma de los montos mencionados en el resumen Narrativo no será coincidente por $4, debido al redondeo realizado.</t>
  </si>
  <si>
    <t>ELEGÍ ESTA POR EL TEMA, A PESAR DE NO TENER DATOS EN 2023-2024</t>
  </si>
  <si>
    <t>Tema</t>
  </si>
  <si>
    <t>Código</t>
  </si>
  <si>
    <t xml:space="preserve">Título de la tabla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</si>
</sst>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Verdana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6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sz val="12"/>
      <color rgb="FF000000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1" xfId="2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2" fillId="0" borderId="1" xfId="2" applyBorder="1" applyAlignment="1">
      <alignment horizontal="left" vertical="center" wrapText="1" indent="1"/>
    </xf>
    <xf numFmtId="3" fontId="8" fillId="0" borderId="1" xfId="2" applyNumberFormat="1" applyFont="1" applyBorder="1" applyAlignment="1">
      <alignment horizontal="right" vertical="center" indent="1"/>
    </xf>
    <xf numFmtId="0" fontId="2" fillId="0" borderId="0" xfId="2" applyAlignment="1">
      <alignment horizontal="left" vertical="center"/>
    </xf>
    <xf numFmtId="0" fontId="2" fillId="0" borderId="0" xfId="2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8" fillId="0" borderId="1" xfId="2" applyNumberFormat="1" applyFont="1" applyBorder="1" applyAlignment="1">
      <alignment horizontal="left" vertical="center" indent="1"/>
    </xf>
    <xf numFmtId="3" fontId="10" fillId="0" borderId="1" xfId="2" applyNumberFormat="1" applyFont="1" applyBorder="1" applyAlignment="1">
      <alignment horizontal="right" vertical="center" indent="1"/>
    </xf>
    <xf numFmtId="0" fontId="4" fillId="4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2" applyAlignment="1">
      <alignment horizontal="right" vertical="center"/>
    </xf>
    <xf numFmtId="0" fontId="2" fillId="0" borderId="0" xfId="2" applyAlignment="1">
      <alignment horizontal="left" vertical="center" wrapText="1" indent="1"/>
    </xf>
    <xf numFmtId="0" fontId="2" fillId="0" borderId="0" xfId="2" applyAlignment="1">
      <alignment vertical="center" wrapText="1"/>
    </xf>
    <xf numFmtId="0" fontId="2" fillId="0" borderId="0" xfId="2" applyAlignment="1">
      <alignment horizontal="left" vertical="center" indent="1"/>
    </xf>
    <xf numFmtId="0" fontId="11" fillId="0" borderId="0" xfId="2" applyFont="1"/>
    <xf numFmtId="0" fontId="2" fillId="0" borderId="0" xfId="2"/>
    <xf numFmtId="0" fontId="0" fillId="0" borderId="6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3" fontId="2" fillId="0" borderId="0" xfId="2" applyNumberFormat="1"/>
    <xf numFmtId="0" fontId="0" fillId="0" borderId="0" xfId="2" applyFont="1" applyAlignment="1">
      <alignment horizontal="right"/>
    </xf>
    <xf numFmtId="0" fontId="0" fillId="0" borderId="0" xfId="2" applyFont="1"/>
    <xf numFmtId="0" fontId="12" fillId="0" borderId="7" xfId="2" applyFont="1" applyBorder="1"/>
    <xf numFmtId="0" fontId="8" fillId="0" borderId="0" xfId="2" applyFont="1"/>
    <xf numFmtId="0" fontId="1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3" fontId="0" fillId="0" borderId="0" xfId="0" applyNumberFormat="1"/>
    <xf numFmtId="0" fontId="0" fillId="0" borderId="6" xfId="0" applyBorder="1"/>
    <xf numFmtId="0" fontId="0" fillId="0" borderId="0" xfId="0" applyAlignment="1">
      <alignment horizontal="right"/>
    </xf>
    <xf numFmtId="0" fontId="0" fillId="0" borderId="6" xfId="0" applyBorder="1" applyAlignment="1">
      <alignment horizontal="left" inden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wrapText="1"/>
    </xf>
    <xf numFmtId="0" fontId="12" fillId="0" borderId="8" xfId="2" applyFont="1" applyBorder="1"/>
    <xf numFmtId="0" fontId="12" fillId="0" borderId="0" xfId="2" applyFont="1"/>
    <xf numFmtId="0" fontId="13" fillId="0" borderId="0" xfId="2" applyFont="1" applyAlignment="1">
      <alignment vertical="center" wrapText="1"/>
    </xf>
    <xf numFmtId="0" fontId="13" fillId="0" borderId="0" xfId="2" applyFont="1" applyAlignment="1">
      <alignment vertical="center"/>
    </xf>
    <xf numFmtId="0" fontId="0" fillId="0" borderId="8" xfId="0" applyBorder="1"/>
    <xf numFmtId="0" fontId="13" fillId="0" borderId="0" xfId="0" applyFont="1"/>
    <xf numFmtId="3" fontId="0" fillId="0" borderId="0" xfId="0" applyNumberFormat="1" applyAlignment="1">
      <alignment horizontal="right"/>
    </xf>
    <xf numFmtId="0" fontId="12" fillId="0" borderId="0" xfId="2" applyFont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2" applyFont="1" applyAlignment="1">
      <alignment vertical="center" wrapText="1"/>
    </xf>
    <xf numFmtId="0" fontId="13" fillId="0" borderId="0" xfId="2" applyFont="1" applyAlignment="1">
      <alignment horizontal="left" vertical="center" indent="1"/>
    </xf>
    <xf numFmtId="3" fontId="12" fillId="0" borderId="8" xfId="0" applyNumberFormat="1" applyFont="1" applyBorder="1" applyAlignment="1">
      <alignment horizontal="right" vertical="center" indent="1"/>
    </xf>
    <xf numFmtId="0" fontId="2" fillId="0" borderId="8" xfId="2" applyBorder="1" applyAlignment="1">
      <alignment horizontal="left" vertical="center" indent="1"/>
    </xf>
    <xf numFmtId="3" fontId="2" fillId="0" borderId="6" xfId="2" applyNumberFormat="1" applyBorder="1" applyAlignment="1">
      <alignment horizontal="right" vertical="center" indent="1"/>
    </xf>
    <xf numFmtId="0" fontId="2" fillId="0" borderId="6" xfId="2" applyBorder="1" applyAlignment="1">
      <alignment horizontal="left" vertical="center" indent="1"/>
    </xf>
    <xf numFmtId="3" fontId="2" fillId="0" borderId="0" xfId="2" applyNumberFormat="1" applyAlignment="1">
      <alignment horizontal="right" vertical="center" indent="1"/>
    </xf>
    <xf numFmtId="3" fontId="12" fillId="0" borderId="8" xfId="2" applyNumberFormat="1" applyFont="1" applyBorder="1" applyAlignment="1">
      <alignment horizontal="right" vertical="center" indent="1"/>
    </xf>
    <xf numFmtId="0" fontId="0" fillId="0" borderId="8" xfId="2" applyFont="1" applyBorder="1" applyAlignment="1">
      <alignment horizontal="left" vertical="center" indent="1"/>
    </xf>
    <xf numFmtId="0" fontId="2" fillId="0" borderId="0" xfId="2" applyAlignment="1">
      <alignment horizontal="right" vertical="center" indent="1"/>
    </xf>
    <xf numFmtId="0" fontId="14" fillId="0" borderId="6" xfId="2" applyFont="1" applyBorder="1" applyAlignment="1">
      <alignment horizontal="center" vertical="center"/>
    </xf>
    <xf numFmtId="0" fontId="15" fillId="0" borderId="0" xfId="2" applyFont="1" applyAlignment="1">
      <alignment horizontal="left" vertical="center" indent="1"/>
    </xf>
    <xf numFmtId="0" fontId="11" fillId="0" borderId="0" xfId="2" applyFont="1" applyAlignment="1">
      <alignment vertical="center"/>
    </xf>
    <xf numFmtId="0" fontId="11" fillId="0" borderId="0" xfId="2" applyFont="1" applyAlignment="1">
      <alignment horizontal="left" vertical="center" indent="1"/>
    </xf>
    <xf numFmtId="0" fontId="11" fillId="0" borderId="0" xfId="2" applyFont="1" applyAlignment="1">
      <alignment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 indent="1"/>
    </xf>
    <xf numFmtId="3" fontId="0" fillId="0" borderId="0" xfId="0" applyNumberFormat="1" applyAlignment="1">
      <alignment vertical="center"/>
    </xf>
    <xf numFmtId="0" fontId="13" fillId="0" borderId="0" xfId="0" applyFont="1" applyAlignment="1">
      <alignment vertical="center"/>
    </xf>
    <xf numFmtId="0" fontId="0" fillId="0" borderId="8" xfId="2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6" xfId="0" applyNumberFormat="1" applyBorder="1" applyAlignment="1">
      <alignment horizontal="right" vertical="center" indent="1"/>
    </xf>
    <xf numFmtId="0" fontId="0" fillId="0" borderId="0" xfId="2" applyFont="1" applyAlignment="1">
      <alignment horizontal="left" vertical="center"/>
    </xf>
    <xf numFmtId="3" fontId="2" fillId="0" borderId="0" xfId="2" applyNumberFormat="1" applyAlignment="1">
      <alignment horizontal="right" vertical="center"/>
    </xf>
    <xf numFmtId="0" fontId="11" fillId="0" borderId="0" xfId="2" applyFont="1" applyAlignment="1">
      <alignment wrapText="1"/>
    </xf>
    <xf numFmtId="3" fontId="0" fillId="0" borderId="0" xfId="0" applyNumberFormat="1" applyAlignment="1">
      <alignment horizontal="right" indent="1"/>
    </xf>
    <xf numFmtId="3" fontId="2" fillId="0" borderId="0" xfId="2" applyNumberFormat="1" applyAlignment="1">
      <alignment horizontal="right" indent="1"/>
    </xf>
    <xf numFmtId="0" fontId="0" fillId="0" borderId="8" xfId="2" applyFont="1" applyBorder="1"/>
    <xf numFmtId="0" fontId="16" fillId="0" borderId="0" xfId="2" applyFont="1" applyAlignment="1">
      <alignment horizontal="center" vertical="center"/>
    </xf>
    <xf numFmtId="0" fontId="12" fillId="6" borderId="6" xfId="2" applyFont="1" applyFill="1" applyBorder="1" applyAlignment="1">
      <alignment horizontal="center" vertical="center"/>
    </xf>
    <xf numFmtId="0" fontId="16" fillId="0" borderId="6" xfId="2" applyFont="1" applyBorder="1" applyAlignment="1">
      <alignment horizontal="center" vertical="center"/>
    </xf>
    <xf numFmtId="3" fontId="12" fillId="0" borderId="0" xfId="2" applyNumberFormat="1" applyFont="1"/>
    <xf numFmtId="3" fontId="12" fillId="2" borderId="7" xfId="2" applyNumberFormat="1" applyFont="1" applyFill="1" applyBorder="1"/>
    <xf numFmtId="0" fontId="0" fillId="0" borderId="0" xfId="0" applyAlignment="1">
      <alignment horizontal="right" indent="1"/>
    </xf>
    <xf numFmtId="0" fontId="0" fillId="0" borderId="6" xfId="0" applyBorder="1" applyAlignment="1">
      <alignment horizontal="right" indent="1"/>
    </xf>
    <xf numFmtId="3" fontId="12" fillId="4" borderId="0" xfId="0" applyNumberFormat="1" applyFont="1" applyFill="1" applyAlignment="1">
      <alignment horizontal="right" indent="1"/>
    </xf>
    <xf numFmtId="1" fontId="0" fillId="0" borderId="0" xfId="0" applyNumberFormat="1" applyAlignment="1">
      <alignment horizontal="right" indent="1"/>
    </xf>
    <xf numFmtId="1" fontId="0" fillId="0" borderId="6" xfId="0" applyNumberFormat="1" applyBorder="1" applyAlignment="1">
      <alignment horizontal="right" indent="1"/>
    </xf>
    <xf numFmtId="0" fontId="11" fillId="0" borderId="0" xfId="0" applyFont="1"/>
    <xf numFmtId="0" fontId="16" fillId="0" borderId="6" xfId="0" applyFont="1" applyBorder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6" fillId="0" borderId="6" xfId="2" applyFont="1" applyBorder="1" applyAlignment="1">
      <alignment horizontal="center"/>
    </xf>
    <xf numFmtId="0" fontId="16" fillId="4" borderId="6" xfId="2" applyFont="1" applyFill="1" applyBorder="1" applyAlignment="1">
      <alignment horizontal="center"/>
    </xf>
    <xf numFmtId="0" fontId="12" fillId="4" borderId="8" xfId="2" applyFont="1" applyFill="1" applyBorder="1"/>
    <xf numFmtId="0" fontId="12" fillId="4" borderId="8" xfId="2" applyFont="1" applyFill="1" applyBorder="1" applyAlignment="1">
      <alignment horizontal="center" vertical="center"/>
    </xf>
    <xf numFmtId="3" fontId="12" fillId="4" borderId="8" xfId="0" applyNumberFormat="1" applyFont="1" applyFill="1" applyBorder="1"/>
    <xf numFmtId="3" fontId="12" fillId="4" borderId="8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3" fontId="12" fillId="4" borderId="8" xfId="2" applyNumberFormat="1" applyFont="1" applyFill="1" applyBorder="1" applyAlignment="1">
      <alignment horizontal="right" indent="1"/>
    </xf>
    <xf numFmtId="0" fontId="0" fillId="0" borderId="7" xfId="0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2" fillId="0" borderId="2" xfId="2" applyBorder="1" applyAlignment="1">
      <alignment horizontal="left" vertical="center" indent="1"/>
    </xf>
    <xf numFmtId="0" fontId="2" fillId="0" borderId="4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3" fontId="12" fillId="4" borderId="6" xfId="0" applyNumberFormat="1" applyFont="1" applyFill="1" applyBorder="1" applyAlignment="1">
      <alignment horizontal="right" vertical="center" indent="1"/>
    </xf>
    <xf numFmtId="3" fontId="12" fillId="4" borderId="8" xfId="2" applyNumberFormat="1" applyFont="1" applyFill="1" applyBorder="1" applyAlignment="1">
      <alignment horizontal="right" vertical="center" indent="1"/>
    </xf>
    <xf numFmtId="3" fontId="12" fillId="4" borderId="7" xfId="0" applyNumberFormat="1" applyFont="1" applyFill="1" applyBorder="1" applyAlignment="1">
      <alignment horizontal="right" vertical="center" indent="1"/>
    </xf>
    <xf numFmtId="0" fontId="12" fillId="0" borderId="0" xfId="0" applyFont="1" applyAlignment="1">
      <alignment vertical="center"/>
    </xf>
    <xf numFmtId="3" fontId="2" fillId="0" borderId="0" xfId="2" applyNumberFormat="1" applyAlignment="1">
      <alignment vertical="center"/>
    </xf>
    <xf numFmtId="3" fontId="2" fillId="0" borderId="0" xfId="2" applyNumberFormat="1" applyAlignment="1">
      <alignment vertical="center" wrapText="1"/>
    </xf>
    <xf numFmtId="0" fontId="0" fillId="0" borderId="0" xfId="2" applyFont="1" applyAlignment="1">
      <alignment vertical="center"/>
    </xf>
    <xf numFmtId="3" fontId="0" fillId="0" borderId="0" xfId="2" applyNumberFormat="1" applyFont="1" applyAlignment="1">
      <alignment vertical="center"/>
    </xf>
    <xf numFmtId="3" fontId="0" fillId="0" borderId="6" xfId="2" applyNumberFormat="1" applyFont="1" applyBorder="1" applyAlignment="1">
      <alignment vertical="center"/>
    </xf>
    <xf numFmtId="0" fontId="0" fillId="0" borderId="8" xfId="2" applyFont="1" applyBorder="1" applyAlignment="1">
      <alignment vertical="center"/>
    </xf>
    <xf numFmtId="3" fontId="12" fillId="0" borderId="6" xfId="2" applyNumberFormat="1" applyFont="1" applyBorder="1" applyAlignment="1">
      <alignment vertical="center"/>
    </xf>
    <xf numFmtId="3" fontId="12" fillId="0" borderId="8" xfId="2" applyNumberFormat="1" applyFont="1" applyBorder="1" applyAlignment="1">
      <alignment vertical="center"/>
    </xf>
    <xf numFmtId="3" fontId="12" fillId="0" borderId="8" xfId="2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3" fillId="0" borderId="8" xfId="2" applyFont="1" applyBorder="1" applyAlignment="1">
      <alignment horizontal="left" vertical="center" indent="1"/>
    </xf>
    <xf numFmtId="0" fontId="2" fillId="0" borderId="2" xfId="2" applyBorder="1" applyAlignment="1">
      <alignment horizontal="left" vertical="center" indent="1"/>
    </xf>
    <xf numFmtId="0" fontId="2" fillId="0" borderId="3" xfId="2" applyBorder="1" applyAlignment="1">
      <alignment horizontal="left" vertical="center" inden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1" fillId="0" borderId="0" xfId="2" applyFont="1"/>
    <xf numFmtId="0" fontId="13" fillId="0" borderId="0" xfId="2" applyFont="1" applyAlignment="1">
      <alignment horizontal="left" vertical="center" wrapText="1"/>
    </xf>
    <xf numFmtId="0" fontId="16" fillId="0" borderId="0" xfId="2" applyFont="1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vertical="center" wrapText="1"/>
    </xf>
    <xf numFmtId="0" fontId="16" fillId="0" borderId="6" xfId="0" applyFont="1" applyBorder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 indent="1"/>
    </xf>
    <xf numFmtId="0" fontId="11" fillId="0" borderId="0" xfId="2" applyFont="1" applyAlignment="1">
      <alignment horizontal="left" vertical="center" wrapText="1" indent="1"/>
    </xf>
    <xf numFmtId="0" fontId="13" fillId="0" borderId="7" xfId="2" applyFont="1" applyBorder="1" applyAlignment="1">
      <alignment vertical="center"/>
    </xf>
    <xf numFmtId="0" fontId="8" fillId="0" borderId="6" xfId="2" applyFont="1" applyBorder="1" applyAlignment="1">
      <alignment horizontal="center" vertical="center"/>
    </xf>
    <xf numFmtId="0" fontId="2" fillId="0" borderId="0" xfId="2" applyAlignment="1">
      <alignment horizontal="left" vertical="center" indent="1"/>
    </xf>
    <xf numFmtId="0" fontId="2" fillId="0" borderId="6" xfId="2" applyBorder="1" applyAlignment="1">
      <alignment horizontal="left" vertical="center" indent="1"/>
    </xf>
    <xf numFmtId="3" fontId="12" fillId="0" borderId="7" xfId="0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1" fillId="0" borderId="0" xfId="2" applyFont="1" applyAlignment="1">
      <alignment horizontal="left" vertical="center" wrapText="1"/>
    </xf>
    <xf numFmtId="0" fontId="17" fillId="0" borderId="0" xfId="2" applyFont="1" applyAlignment="1">
      <alignment vertical="center" wrapText="1"/>
    </xf>
    <xf numFmtId="0" fontId="11" fillId="0" borderId="0" xfId="2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6" fillId="0" borderId="6" xfId="2" applyFont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3" fontId="12" fillId="6" borderId="7" xfId="0" applyNumberFormat="1" applyFont="1" applyFill="1" applyBorder="1" applyAlignment="1">
      <alignment horizontal="center" vertical="center"/>
    </xf>
    <xf numFmtId="0" fontId="17" fillId="0" borderId="0" xfId="2" applyFont="1" applyAlignment="1">
      <alignment horizontal="left" vertical="center" wrapText="1"/>
    </xf>
    <xf numFmtId="0" fontId="17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12" fillId="0" borderId="6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center" vertical="center"/>
    </xf>
    <xf numFmtId="0" fontId="2" fillId="0" borderId="1" xfId="2" applyFill="1" applyBorder="1" applyAlignment="1">
      <alignment horizontal="left" vertical="center" wrapText="1" indent="1"/>
    </xf>
    <xf numFmtId="0" fontId="2" fillId="0" borderId="2" xfId="2" applyFill="1" applyBorder="1" applyAlignment="1">
      <alignment horizontal="center" vertical="center"/>
    </xf>
    <xf numFmtId="0" fontId="2" fillId="0" borderId="2" xfId="2" applyFill="1" applyBorder="1" applyAlignment="1">
      <alignment horizontal="left" vertical="center" indent="1"/>
    </xf>
    <xf numFmtId="0" fontId="4" fillId="0" borderId="2" xfId="0" applyFont="1" applyFill="1" applyBorder="1" applyAlignment="1">
      <alignment horizontal="center" vertical="center"/>
    </xf>
    <xf numFmtId="0" fontId="2" fillId="0" borderId="3" xfId="2" applyFill="1" applyBorder="1" applyAlignment="1">
      <alignment horizontal="center" vertical="center"/>
    </xf>
    <xf numFmtId="0" fontId="2" fillId="0" borderId="3" xfId="2" applyFill="1" applyBorder="1" applyAlignment="1">
      <alignment horizontal="left" vertical="center" indent="1"/>
    </xf>
    <xf numFmtId="0" fontId="4" fillId="0" borderId="3" xfId="0" applyFont="1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wrapText="1" indent="1"/>
    </xf>
    <xf numFmtId="0" fontId="2" fillId="0" borderId="2" xfId="2" applyFill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center" vertical="center"/>
    </xf>
  </cellXfs>
  <cellStyles count="3">
    <cellStyle name="Normal" xfId="0" builtinId="0"/>
    <cellStyle name="Normal 2 2" xfId="2" xr:uid="{4D669E2C-BD37-456F-BD17-D98293AAE9B8}"/>
    <cellStyle name="Normal 3" xfId="1" xr:uid="{C467C7A6-963F-49DB-B5DF-709354E949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64F9-0862-4D83-951C-8D30540E17E5}">
  <sheetPr>
    <tabColor rgb="FFFFFF00"/>
  </sheetPr>
  <dimension ref="A1:O22"/>
  <sheetViews>
    <sheetView tabSelected="1" topLeftCell="K1" zoomScale="130" zoomScaleNormal="130" workbookViewId="0">
      <selection activeCell="P9" sqref="P9"/>
    </sheetView>
  </sheetViews>
  <sheetFormatPr baseColWidth="10" defaultColWidth="10.88671875" defaultRowHeight="14.4" outlineLevelCol="1" x14ac:dyDescent="0.3"/>
  <cols>
    <col min="1" max="1" width="6.88671875" style="21" hidden="1" customWidth="1"/>
    <col min="2" max="2" width="9.44140625" style="16" hidden="1" customWidth="1" outlineLevel="1"/>
    <col min="3" max="3" width="70.6640625" style="23" hidden="1" customWidth="1" outlineLevel="1"/>
    <col min="4" max="4" width="7.109375" style="21" hidden="1" customWidth="1" collapsed="1"/>
    <col min="5" max="5" width="9.44140625" style="16" customWidth="1" outlineLevel="1"/>
    <col min="6" max="6" width="72.6640625" style="23" hidden="1" customWidth="1" outlineLevel="1"/>
    <col min="7" max="7" width="7.109375" style="21" hidden="1" customWidth="1"/>
    <col min="8" max="8" width="77.44140625" style="23" customWidth="1"/>
    <col min="9" max="9" width="12.6640625" style="25" customWidth="1"/>
    <col min="10" max="10" width="23.6640625" style="14" customWidth="1"/>
    <col min="11" max="11" width="6.44140625" style="14" customWidth="1"/>
    <col min="12" max="12" width="12.6640625" style="14" customWidth="1"/>
    <col min="13" max="13" width="12.88671875" style="22" customWidth="1"/>
    <col min="14" max="14" width="12" style="14" customWidth="1"/>
    <col min="15" max="16384" width="10.88671875" style="14"/>
  </cols>
  <sheetData>
    <row r="1" spans="1:15" s="6" customFormat="1" x14ac:dyDescent="0.3">
      <c r="A1" s="2"/>
      <c r="B1" s="1" t="s">
        <v>0</v>
      </c>
      <c r="C1" s="1" t="s">
        <v>1</v>
      </c>
      <c r="D1" s="2"/>
      <c r="E1" s="1" t="s">
        <v>274</v>
      </c>
      <c r="F1" s="1" t="s">
        <v>1</v>
      </c>
      <c r="G1" s="2"/>
      <c r="H1" s="1" t="s">
        <v>275</v>
      </c>
      <c r="I1" s="1" t="s">
        <v>2</v>
      </c>
      <c r="J1" s="3" t="s">
        <v>273</v>
      </c>
      <c r="K1" s="5"/>
      <c r="L1" s="4" t="s">
        <v>3</v>
      </c>
      <c r="M1" s="4" t="s">
        <v>4</v>
      </c>
      <c r="N1" s="4" t="s">
        <v>4</v>
      </c>
    </row>
    <row r="2" spans="1:15" s="6" customFormat="1" ht="19.5" customHeight="1" x14ac:dyDescent="0.3">
      <c r="A2" s="7">
        <v>2023</v>
      </c>
      <c r="B2" s="8" t="s">
        <v>6</v>
      </c>
      <c r="C2" s="9" t="s">
        <v>11</v>
      </c>
      <c r="D2" s="7">
        <v>2024</v>
      </c>
      <c r="E2" s="110" t="s">
        <v>6</v>
      </c>
      <c r="F2" s="10" t="s">
        <v>7</v>
      </c>
      <c r="G2" s="7">
        <v>2025</v>
      </c>
      <c r="H2" s="11" t="s">
        <v>7</v>
      </c>
      <c r="I2" s="10" t="s">
        <v>8</v>
      </c>
      <c r="J2" s="10" t="s">
        <v>12</v>
      </c>
      <c r="K2" s="15" t="s">
        <v>13</v>
      </c>
      <c r="L2" s="12">
        <v>13245</v>
      </c>
      <c r="M2" s="12">
        <v>20523</v>
      </c>
      <c r="N2" s="12">
        <v>37759</v>
      </c>
    </row>
    <row r="3" spans="1:15" s="13" customFormat="1" ht="18" customHeight="1" x14ac:dyDescent="0.3">
      <c r="A3" s="7">
        <v>2023</v>
      </c>
      <c r="B3" s="8" t="s">
        <v>14</v>
      </c>
      <c r="C3" s="9" t="s">
        <v>15</v>
      </c>
      <c r="D3" s="7">
        <v>2024</v>
      </c>
      <c r="E3" s="169" t="s">
        <v>14</v>
      </c>
      <c r="F3" s="170" t="s">
        <v>16</v>
      </c>
      <c r="G3" s="171">
        <v>2025</v>
      </c>
      <c r="H3" s="172" t="s">
        <v>17</v>
      </c>
      <c r="I3" s="10" t="s">
        <v>8</v>
      </c>
      <c r="J3" s="10" t="s">
        <v>18</v>
      </c>
      <c r="K3" s="15" t="s">
        <v>13</v>
      </c>
      <c r="L3" s="12">
        <v>2736</v>
      </c>
      <c r="M3" s="12">
        <v>6379</v>
      </c>
      <c r="N3" s="12">
        <v>9063</v>
      </c>
      <c r="O3" s="6"/>
    </row>
    <row r="4" spans="1:15" s="6" customFormat="1" x14ac:dyDescent="0.3">
      <c r="A4" s="135">
        <v>2023</v>
      </c>
      <c r="B4" s="112" t="s">
        <v>5</v>
      </c>
      <c r="C4" s="112" t="s">
        <v>5</v>
      </c>
      <c r="D4" s="135">
        <v>2024</v>
      </c>
      <c r="E4" s="173" t="s">
        <v>21</v>
      </c>
      <c r="F4" s="174" t="s">
        <v>22</v>
      </c>
      <c r="G4" s="175">
        <v>2025</v>
      </c>
      <c r="H4" s="174" t="s">
        <v>23</v>
      </c>
      <c r="I4" s="133" t="s">
        <v>20</v>
      </c>
      <c r="J4" s="10" t="s">
        <v>19</v>
      </c>
      <c r="K4" s="15" t="s">
        <v>13</v>
      </c>
      <c r="L4" s="19" t="s">
        <v>5</v>
      </c>
      <c r="M4" s="12">
        <v>192</v>
      </c>
      <c r="N4" s="12">
        <v>219</v>
      </c>
      <c r="O4" s="131" t="s">
        <v>272</v>
      </c>
    </row>
    <row r="5" spans="1:15" s="6" customFormat="1" x14ac:dyDescent="0.3">
      <c r="A5" s="136"/>
      <c r="B5" s="113" t="s">
        <v>5</v>
      </c>
      <c r="C5" s="113" t="s">
        <v>5</v>
      </c>
      <c r="D5" s="136">
        <v>2024</v>
      </c>
      <c r="E5" s="176"/>
      <c r="F5" s="177"/>
      <c r="G5" s="178"/>
      <c r="H5" s="177"/>
      <c r="I5" s="134"/>
      <c r="J5" s="10" t="s">
        <v>24</v>
      </c>
      <c r="K5" s="15" t="s">
        <v>13</v>
      </c>
      <c r="L5" s="19" t="s">
        <v>5</v>
      </c>
      <c r="M5" s="12">
        <v>147</v>
      </c>
      <c r="N5" s="12">
        <v>163</v>
      </c>
      <c r="O5" s="131" t="s">
        <v>272</v>
      </c>
    </row>
    <row r="6" spans="1:15" s="13" customFormat="1" ht="28.8" x14ac:dyDescent="0.3">
      <c r="A6" s="7">
        <v>2023</v>
      </c>
      <c r="B6" s="8" t="s">
        <v>25</v>
      </c>
      <c r="C6" s="9" t="s">
        <v>31</v>
      </c>
      <c r="D6" s="7">
        <v>2024</v>
      </c>
      <c r="E6" s="179" t="s">
        <v>32</v>
      </c>
      <c r="F6" s="180" t="s">
        <v>33</v>
      </c>
      <c r="G6" s="171">
        <v>2025</v>
      </c>
      <c r="H6" s="180" t="s">
        <v>34</v>
      </c>
      <c r="I6" s="10" t="s">
        <v>26</v>
      </c>
      <c r="J6" s="10" t="s">
        <v>35</v>
      </c>
      <c r="K6" s="15" t="s">
        <v>13</v>
      </c>
      <c r="L6" s="19">
        <v>1356387</v>
      </c>
      <c r="M6" s="12">
        <v>5232708</v>
      </c>
      <c r="N6" s="12">
        <v>12088552</v>
      </c>
    </row>
    <row r="7" spans="1:15" s="13" customFormat="1" ht="28.8" x14ac:dyDescent="0.3">
      <c r="A7" s="17">
        <v>2023</v>
      </c>
      <c r="B7" s="114" t="s">
        <v>27</v>
      </c>
      <c r="C7" s="111" t="s">
        <v>36</v>
      </c>
      <c r="D7" s="17">
        <v>2024</v>
      </c>
      <c r="E7" s="179" t="s">
        <v>37</v>
      </c>
      <c r="F7" s="181" t="s">
        <v>38</v>
      </c>
      <c r="G7" s="182">
        <v>2025</v>
      </c>
      <c r="H7" s="181" t="s">
        <v>39</v>
      </c>
      <c r="I7" s="111" t="s">
        <v>26</v>
      </c>
      <c r="J7" s="10" t="s">
        <v>35</v>
      </c>
      <c r="K7" s="15" t="s">
        <v>13</v>
      </c>
      <c r="L7" s="19">
        <v>152047504</v>
      </c>
      <c r="M7" s="12">
        <v>178113110</v>
      </c>
      <c r="N7" s="12">
        <v>186776031</v>
      </c>
    </row>
    <row r="8" spans="1:15" s="13" customFormat="1" ht="28.8" x14ac:dyDescent="0.3">
      <c r="A8" s="7">
        <v>2023</v>
      </c>
      <c r="B8" s="8" t="s">
        <v>28</v>
      </c>
      <c r="C8" s="9" t="s">
        <v>40</v>
      </c>
      <c r="D8" s="7">
        <v>2024</v>
      </c>
      <c r="E8" s="179" t="s">
        <v>41</v>
      </c>
      <c r="F8" s="172" t="s">
        <v>42</v>
      </c>
      <c r="G8" s="171">
        <v>2025</v>
      </c>
      <c r="H8" s="172" t="s">
        <v>43</v>
      </c>
      <c r="I8" s="10" t="s">
        <v>26</v>
      </c>
      <c r="J8" s="10" t="s">
        <v>35</v>
      </c>
      <c r="K8" s="15" t="s">
        <v>13</v>
      </c>
      <c r="L8" s="19">
        <v>12043566</v>
      </c>
      <c r="M8" s="12">
        <v>17829614</v>
      </c>
      <c r="N8" s="12">
        <v>18767698</v>
      </c>
    </row>
    <row r="9" spans="1:15" s="13" customFormat="1" ht="28.8" x14ac:dyDescent="0.3">
      <c r="A9" s="20">
        <v>2023</v>
      </c>
      <c r="B9" s="8" t="s">
        <v>29</v>
      </c>
      <c r="C9" s="9" t="s">
        <v>44</v>
      </c>
      <c r="D9" s="7">
        <v>2024</v>
      </c>
      <c r="E9" s="179" t="s">
        <v>45</v>
      </c>
      <c r="F9" s="180" t="s">
        <v>46</v>
      </c>
      <c r="G9" s="171">
        <v>2025</v>
      </c>
      <c r="H9" s="172" t="s">
        <v>47</v>
      </c>
      <c r="I9" s="10" t="s">
        <v>26</v>
      </c>
      <c r="J9" s="10" t="s">
        <v>35</v>
      </c>
      <c r="K9" s="15" t="s">
        <v>13</v>
      </c>
      <c r="L9" s="19">
        <v>19420117</v>
      </c>
      <c r="M9" s="12">
        <v>16629713</v>
      </c>
      <c r="N9" s="12">
        <v>28181673</v>
      </c>
      <c r="O9" s="130"/>
    </row>
    <row r="10" spans="1:15" s="13" customFormat="1" ht="28.8" x14ac:dyDescent="0.3">
      <c r="A10" s="7">
        <v>2023</v>
      </c>
      <c r="B10" s="8" t="s">
        <v>30</v>
      </c>
      <c r="C10" s="9" t="s">
        <v>48</v>
      </c>
      <c r="D10" s="7">
        <v>2024</v>
      </c>
      <c r="E10" s="179" t="s">
        <v>49</v>
      </c>
      <c r="F10" s="172" t="s">
        <v>50</v>
      </c>
      <c r="G10" s="171">
        <v>2025</v>
      </c>
      <c r="H10" s="172" t="s">
        <v>51</v>
      </c>
      <c r="I10" s="10" t="s">
        <v>26</v>
      </c>
      <c r="J10" s="10" t="s">
        <v>35</v>
      </c>
      <c r="K10" s="15" t="s">
        <v>13</v>
      </c>
      <c r="L10" s="19">
        <v>4486923</v>
      </c>
      <c r="M10" s="12">
        <v>4751223</v>
      </c>
      <c r="N10" s="12">
        <v>6341748</v>
      </c>
    </row>
    <row r="11" spans="1:15" s="13" customFormat="1" ht="28.8" x14ac:dyDescent="0.3">
      <c r="A11" s="7">
        <v>2023</v>
      </c>
      <c r="B11" s="8" t="s">
        <v>41</v>
      </c>
      <c r="C11" s="9" t="s">
        <v>53</v>
      </c>
      <c r="D11" s="7">
        <v>2024</v>
      </c>
      <c r="E11" s="179" t="s">
        <v>54</v>
      </c>
      <c r="F11" s="172" t="s">
        <v>55</v>
      </c>
      <c r="G11" s="171">
        <v>2025</v>
      </c>
      <c r="H11" s="172" t="s">
        <v>56</v>
      </c>
      <c r="I11" s="10" t="s">
        <v>26</v>
      </c>
      <c r="J11" s="10" t="s">
        <v>35</v>
      </c>
      <c r="K11" s="15" t="s">
        <v>13</v>
      </c>
      <c r="L11" s="19">
        <v>266928015</v>
      </c>
      <c r="M11" s="12">
        <v>281057809</v>
      </c>
      <c r="N11" s="18">
        <v>326014359</v>
      </c>
    </row>
    <row r="12" spans="1:15" x14ac:dyDescent="0.3">
      <c r="B12" s="13"/>
      <c r="C12" s="13"/>
      <c r="E12" s="13"/>
      <c r="F12" s="13"/>
      <c r="H12" s="13"/>
      <c r="I12" s="13"/>
      <c r="J12" s="13"/>
      <c r="K12" s="13"/>
      <c r="L12" s="13"/>
      <c r="N12" s="13"/>
    </row>
    <row r="13" spans="1:15" s="16" customFormat="1" x14ac:dyDescent="0.3">
      <c r="A13" s="21"/>
      <c r="B13" s="13"/>
      <c r="C13" s="13"/>
      <c r="D13" s="21"/>
      <c r="E13" s="13"/>
      <c r="F13" s="13"/>
      <c r="G13" s="21"/>
      <c r="H13" s="13"/>
      <c r="I13" s="13"/>
      <c r="J13" s="13"/>
      <c r="K13" s="13"/>
      <c r="L13" s="13"/>
      <c r="M13" s="22"/>
      <c r="N13" s="13"/>
    </row>
    <row r="14" spans="1:15" s="16" customFormat="1" x14ac:dyDescent="0.3">
      <c r="A14" s="21"/>
      <c r="C14" s="23"/>
      <c r="D14" s="21"/>
      <c r="F14" s="23"/>
      <c r="G14" s="21"/>
      <c r="H14" s="23"/>
      <c r="I14" s="25"/>
      <c r="J14" s="14"/>
      <c r="K14" s="14"/>
      <c r="L14" s="14"/>
      <c r="M14" s="22"/>
      <c r="N14" s="14"/>
    </row>
    <row r="16" spans="1:15" x14ac:dyDescent="0.3">
      <c r="K16" s="16"/>
      <c r="N16" s="16"/>
    </row>
    <row r="17" spans="2:14" ht="13.2" customHeight="1" x14ac:dyDescent="0.3"/>
    <row r="18" spans="2:14" x14ac:dyDescent="0.3">
      <c r="B18" s="14"/>
      <c r="C18" s="25"/>
      <c r="K18" s="16"/>
      <c r="N18" s="16"/>
    </row>
    <row r="19" spans="2:14" x14ac:dyDescent="0.3">
      <c r="B19" s="14"/>
      <c r="C19" s="25"/>
      <c r="K19" s="16"/>
      <c r="N19" s="16"/>
    </row>
    <row r="20" spans="2:14" x14ac:dyDescent="0.3">
      <c r="B20" s="14"/>
      <c r="C20" s="25"/>
      <c r="K20" s="16"/>
      <c r="N20" s="16"/>
    </row>
    <row r="21" spans="2:14" x14ac:dyDescent="0.3">
      <c r="C21" s="25"/>
      <c r="F21" s="25"/>
      <c r="H21" s="25"/>
      <c r="K21" s="16"/>
      <c r="N21" s="16"/>
    </row>
    <row r="22" spans="2:14" x14ac:dyDescent="0.3">
      <c r="C22" s="25"/>
      <c r="F22" s="25"/>
      <c r="H22" s="25"/>
      <c r="K22" s="16"/>
      <c r="N22" s="16"/>
    </row>
  </sheetData>
  <mergeCells count="7">
    <mergeCell ref="I4:I5"/>
    <mergeCell ref="A4:A5"/>
    <mergeCell ref="D4:D5"/>
    <mergeCell ref="E4:E5"/>
    <mergeCell ref="F4:F5"/>
    <mergeCell ref="G4:G5"/>
    <mergeCell ref="H4:H5"/>
  </mergeCells>
  <pageMargins left="0.7" right="0.7" top="0.75" bottom="0.75" header="0.3" footer="0.3"/>
  <pageSetup paperSize="1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27D5-A265-49BB-BC2D-F1A0B127B652}">
  <dimension ref="A1:D24"/>
  <sheetViews>
    <sheetView zoomScaleNormal="100" zoomScalePageLayoutView="150" workbookViewId="0">
      <selection activeCell="A4" sqref="A4:A17"/>
    </sheetView>
  </sheetViews>
  <sheetFormatPr baseColWidth="10" defaultColWidth="8.88671875" defaultRowHeight="14.4" x14ac:dyDescent="0.3"/>
  <cols>
    <col min="1" max="1" width="53.44140625" style="27" customWidth="1"/>
    <col min="2" max="2" width="14" style="27" bestFit="1" customWidth="1"/>
    <col min="3" max="3" width="15.5546875" style="27" customWidth="1"/>
    <col min="4" max="4" width="13.6640625" style="27" customWidth="1"/>
    <col min="5" max="16384" width="8.88671875" style="27"/>
  </cols>
  <sheetData>
    <row r="1" spans="1:4" ht="15.6" x14ac:dyDescent="0.3">
      <c r="A1" s="137" t="s">
        <v>7</v>
      </c>
      <c r="B1" s="137"/>
    </row>
    <row r="3" spans="1:4" x14ac:dyDescent="0.3">
      <c r="B3" s="139" t="s">
        <v>57</v>
      </c>
      <c r="C3" s="139"/>
      <c r="D3" s="139"/>
    </row>
    <row r="4" spans="1:4" x14ac:dyDescent="0.3">
      <c r="A4" s="89" t="s">
        <v>58</v>
      </c>
      <c r="B4" s="88" t="s">
        <v>3</v>
      </c>
      <c r="C4" s="88" t="s">
        <v>4</v>
      </c>
      <c r="D4" s="88" t="s">
        <v>59</v>
      </c>
    </row>
    <row r="5" spans="1:4" x14ac:dyDescent="0.3">
      <c r="A5" s="27" t="s">
        <v>60</v>
      </c>
      <c r="B5" s="27">
        <v>73</v>
      </c>
      <c r="C5" s="27">
        <v>88</v>
      </c>
      <c r="D5" s="27">
        <v>251</v>
      </c>
    </row>
    <row r="6" spans="1:4" x14ac:dyDescent="0.3">
      <c r="A6" s="27" t="s">
        <v>61</v>
      </c>
      <c r="B6" s="27">
        <v>40</v>
      </c>
      <c r="C6" s="27">
        <v>62</v>
      </c>
      <c r="D6" s="27">
        <v>74</v>
      </c>
    </row>
    <row r="7" spans="1:4" x14ac:dyDescent="0.3">
      <c r="A7" s="27" t="s">
        <v>62</v>
      </c>
      <c r="B7" s="30">
        <v>1325</v>
      </c>
      <c r="C7" s="30">
        <v>3071</v>
      </c>
      <c r="D7" s="30">
        <v>3703</v>
      </c>
    </row>
    <row r="8" spans="1:4" x14ac:dyDescent="0.3">
      <c r="A8" s="27" t="s">
        <v>63</v>
      </c>
      <c r="B8" s="30">
        <v>5122</v>
      </c>
      <c r="C8" s="30">
        <v>3930</v>
      </c>
      <c r="D8" s="30">
        <v>23496</v>
      </c>
    </row>
    <row r="9" spans="1:4" x14ac:dyDescent="0.3">
      <c r="A9" s="27" t="s">
        <v>64</v>
      </c>
      <c r="B9" s="27">
        <v>533</v>
      </c>
      <c r="C9" s="27">
        <v>623</v>
      </c>
      <c r="D9" s="27">
        <v>175</v>
      </c>
    </row>
    <row r="10" spans="1:4" x14ac:dyDescent="0.3">
      <c r="A10" s="27" t="s">
        <v>65</v>
      </c>
      <c r="B10" s="30">
        <v>3109</v>
      </c>
      <c r="C10" s="30">
        <v>10561</v>
      </c>
      <c r="D10" s="30">
        <v>8289</v>
      </c>
    </row>
    <row r="11" spans="1:4" x14ac:dyDescent="0.3">
      <c r="A11" s="27" t="s">
        <v>66</v>
      </c>
      <c r="B11" s="27">
        <v>137</v>
      </c>
      <c r="C11" s="27">
        <v>142</v>
      </c>
      <c r="D11" s="27">
        <v>53</v>
      </c>
    </row>
    <row r="12" spans="1:4" x14ac:dyDescent="0.3">
      <c r="A12" s="27" t="s">
        <v>67</v>
      </c>
      <c r="B12" s="27">
        <v>91</v>
      </c>
      <c r="C12" s="27">
        <v>182</v>
      </c>
      <c r="D12" s="31" t="s">
        <v>5</v>
      </c>
    </row>
    <row r="13" spans="1:4" x14ac:dyDescent="0.3">
      <c r="A13" s="27" t="s">
        <v>68</v>
      </c>
      <c r="B13" s="27">
        <v>121</v>
      </c>
      <c r="C13" s="27">
        <v>74</v>
      </c>
      <c r="D13" s="27">
        <v>97</v>
      </c>
    </row>
    <row r="14" spans="1:4" x14ac:dyDescent="0.3">
      <c r="A14" s="32" t="s">
        <v>69</v>
      </c>
      <c r="B14" s="27">
        <v>7</v>
      </c>
      <c r="C14" s="31" t="s">
        <v>5</v>
      </c>
      <c r="D14" s="31" t="s">
        <v>5</v>
      </c>
    </row>
    <row r="15" spans="1:4" x14ac:dyDescent="0.3">
      <c r="A15" s="27" t="s">
        <v>70</v>
      </c>
      <c r="B15" s="30">
        <v>1859</v>
      </c>
      <c r="C15" s="30">
        <v>1694</v>
      </c>
      <c r="D15" s="30">
        <v>1621</v>
      </c>
    </row>
    <row r="16" spans="1:4" x14ac:dyDescent="0.3">
      <c r="A16" s="32" t="s">
        <v>71</v>
      </c>
      <c r="B16" s="30">
        <v>184</v>
      </c>
      <c r="C16" s="31" t="s">
        <v>5</v>
      </c>
      <c r="D16" s="31" t="s">
        <v>5</v>
      </c>
    </row>
    <row r="17" spans="1:4" x14ac:dyDescent="0.3">
      <c r="A17" s="27" t="s">
        <v>72</v>
      </c>
      <c r="B17" s="27">
        <v>427</v>
      </c>
      <c r="C17" s="27">
        <v>96</v>
      </c>
      <c r="D17" s="31" t="s">
        <v>5</v>
      </c>
    </row>
    <row r="18" spans="1:4" x14ac:dyDescent="0.3">
      <c r="A18" s="32" t="s">
        <v>73</v>
      </c>
      <c r="B18" s="27">
        <v>78</v>
      </c>
      <c r="C18" s="31" t="s">
        <v>5</v>
      </c>
      <c r="D18" s="31" t="s">
        <v>5</v>
      </c>
    </row>
    <row r="19" spans="1:4" x14ac:dyDescent="0.3">
      <c r="A19" s="32" t="s">
        <v>74</v>
      </c>
      <c r="B19" s="27">
        <v>139</v>
      </c>
      <c r="C19" s="31" t="s">
        <v>5</v>
      </c>
      <c r="D19" s="31" t="s">
        <v>5</v>
      </c>
    </row>
    <row r="21" spans="1:4" x14ac:dyDescent="0.3">
      <c r="A21" s="33" t="s">
        <v>75</v>
      </c>
      <c r="B21" s="91">
        <f>SUM(B5:B20)</f>
        <v>13245</v>
      </c>
      <c r="C21" s="91">
        <v>20523</v>
      </c>
      <c r="D21" s="91">
        <f>SUM(D5:D20)</f>
        <v>37759</v>
      </c>
    </row>
    <row r="22" spans="1:4" x14ac:dyDescent="0.3">
      <c r="A22" s="47"/>
      <c r="B22" s="90"/>
      <c r="C22" s="90"/>
      <c r="D22" s="90"/>
    </row>
    <row r="23" spans="1:4" s="34" customFormat="1" ht="25.5" customHeight="1" x14ac:dyDescent="0.3">
      <c r="A23" s="138" t="s">
        <v>76</v>
      </c>
      <c r="B23" s="138"/>
      <c r="C23" s="138"/>
      <c r="D23" s="138"/>
    </row>
    <row r="24" spans="1:4" s="34" customFormat="1" ht="15.75" customHeight="1" x14ac:dyDescent="0.3">
      <c r="A24" s="138" t="s">
        <v>77</v>
      </c>
      <c r="B24" s="138"/>
      <c r="C24" s="138"/>
    </row>
  </sheetData>
  <mergeCells count="4">
    <mergeCell ref="A1:B1"/>
    <mergeCell ref="A24:C24"/>
    <mergeCell ref="B3:D3"/>
    <mergeCell ref="A23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EA74-07CC-40DE-98C6-B504049311B7}">
  <dimension ref="A1:I36"/>
  <sheetViews>
    <sheetView topLeftCell="B10" zoomScaleNormal="100" zoomScalePageLayoutView="150" workbookViewId="0">
      <selection activeCell="A24" sqref="A24"/>
    </sheetView>
  </sheetViews>
  <sheetFormatPr baseColWidth="10" defaultColWidth="8.88671875" defaultRowHeight="14.4" x14ac:dyDescent="0.3"/>
  <cols>
    <col min="1" max="1" width="69.109375" customWidth="1"/>
    <col min="2" max="2" width="12.5546875" customWidth="1"/>
    <col min="4" max="4" width="59.44140625" customWidth="1"/>
    <col min="5" max="5" width="11.5546875" bestFit="1" customWidth="1"/>
    <col min="7" max="7" width="46.109375" customWidth="1"/>
    <col min="8" max="8" width="12.44140625" customWidth="1"/>
    <col min="9" max="9" width="16.5546875" customWidth="1"/>
  </cols>
  <sheetData>
    <row r="1" spans="1:9" ht="15.6" x14ac:dyDescent="0.3">
      <c r="A1" s="97" t="s">
        <v>15</v>
      </c>
      <c r="B1" s="97"/>
      <c r="D1" s="140" t="s">
        <v>16</v>
      </c>
      <c r="E1" s="140"/>
      <c r="G1" s="140" t="s">
        <v>78</v>
      </c>
      <c r="H1" s="140"/>
      <c r="I1" s="140"/>
    </row>
    <row r="2" spans="1:9" ht="15.6" x14ac:dyDescent="0.3">
      <c r="A2" s="97"/>
      <c r="B2" s="97"/>
      <c r="D2" s="97"/>
      <c r="E2" s="97"/>
      <c r="G2" s="97"/>
      <c r="H2" s="97"/>
      <c r="I2" s="97"/>
    </row>
    <row r="3" spans="1:9" ht="15.6" x14ac:dyDescent="0.3">
      <c r="A3" s="98" t="s">
        <v>79</v>
      </c>
      <c r="B3" s="98" t="s">
        <v>80</v>
      </c>
      <c r="D3" s="98" t="s">
        <v>79</v>
      </c>
      <c r="E3" s="98" t="s">
        <v>80</v>
      </c>
      <c r="G3" s="98" t="s">
        <v>79</v>
      </c>
      <c r="H3" s="98" t="s">
        <v>80</v>
      </c>
      <c r="I3" s="97"/>
    </row>
    <row r="4" spans="1:9" ht="15.6" x14ac:dyDescent="0.3">
      <c r="A4" s="35" t="s">
        <v>10</v>
      </c>
      <c r="B4" s="92"/>
      <c r="D4" s="35" t="s">
        <v>10</v>
      </c>
      <c r="E4" s="36"/>
      <c r="G4" s="37" t="s">
        <v>82</v>
      </c>
      <c r="H4" s="84">
        <v>4927</v>
      </c>
      <c r="I4" s="97"/>
    </row>
    <row r="5" spans="1:9" ht="15.6" x14ac:dyDescent="0.3">
      <c r="A5" t="s">
        <v>83</v>
      </c>
      <c r="B5" s="84">
        <v>2253</v>
      </c>
      <c r="D5" s="37" t="s">
        <v>84</v>
      </c>
      <c r="E5" s="84">
        <v>3125</v>
      </c>
      <c r="G5" s="37" t="s">
        <v>85</v>
      </c>
      <c r="H5" s="92">
        <v>109</v>
      </c>
      <c r="I5" s="97"/>
    </row>
    <row r="6" spans="1:9" ht="15.6" x14ac:dyDescent="0.3">
      <c r="A6" t="s">
        <v>86</v>
      </c>
      <c r="B6" s="92">
        <v>1</v>
      </c>
      <c r="D6" s="37" t="s">
        <v>87</v>
      </c>
      <c r="E6" s="92">
        <v>15</v>
      </c>
      <c r="G6" s="37" t="s">
        <v>88</v>
      </c>
      <c r="H6" s="92">
        <v>207</v>
      </c>
      <c r="I6" s="97"/>
    </row>
    <row r="7" spans="1:9" ht="15.6" x14ac:dyDescent="0.3">
      <c r="A7" t="s">
        <v>89</v>
      </c>
      <c r="B7" s="92">
        <v>3</v>
      </c>
      <c r="D7" s="37" t="s">
        <v>90</v>
      </c>
      <c r="E7" s="92">
        <v>7</v>
      </c>
      <c r="G7" s="37" t="s">
        <v>91</v>
      </c>
      <c r="H7" s="92">
        <v>18</v>
      </c>
      <c r="I7" s="97"/>
    </row>
    <row r="8" spans="1:9" ht="15.6" x14ac:dyDescent="0.3">
      <c r="A8" t="s">
        <v>92</v>
      </c>
      <c r="B8" s="92">
        <v>1</v>
      </c>
      <c r="D8" s="37" t="s">
        <v>91</v>
      </c>
      <c r="E8" s="92">
        <v>19</v>
      </c>
      <c r="G8" s="37" t="s">
        <v>93</v>
      </c>
      <c r="H8" s="92">
        <v>214</v>
      </c>
      <c r="I8" s="97"/>
    </row>
    <row r="9" spans="1:9" ht="15.6" x14ac:dyDescent="0.3">
      <c r="A9" t="s">
        <v>94</v>
      </c>
      <c r="B9" s="92">
        <v>2</v>
      </c>
      <c r="D9" s="37" t="s">
        <v>93</v>
      </c>
      <c r="E9" s="92">
        <v>148</v>
      </c>
      <c r="G9" s="37" t="s">
        <v>95</v>
      </c>
      <c r="H9" s="92">
        <v>61</v>
      </c>
      <c r="I9" s="97"/>
    </row>
    <row r="10" spans="1:9" ht="15.6" x14ac:dyDescent="0.3">
      <c r="A10" s="35" t="s">
        <v>96</v>
      </c>
      <c r="B10" s="92"/>
      <c r="D10" s="37" t="s">
        <v>97</v>
      </c>
      <c r="E10" s="92">
        <v>372</v>
      </c>
      <c r="G10" s="37" t="s">
        <v>98</v>
      </c>
      <c r="H10" s="92">
        <v>27</v>
      </c>
      <c r="I10" s="97"/>
    </row>
    <row r="11" spans="1:9" ht="15.6" x14ac:dyDescent="0.3">
      <c r="A11" t="s">
        <v>99</v>
      </c>
      <c r="B11" s="92">
        <v>7</v>
      </c>
      <c r="D11" s="37" t="s">
        <v>100</v>
      </c>
      <c r="E11" s="92">
        <v>18</v>
      </c>
      <c r="G11" s="37" t="s">
        <v>101</v>
      </c>
      <c r="H11" s="92">
        <v>26</v>
      </c>
      <c r="I11" s="97"/>
    </row>
    <row r="12" spans="1:9" ht="15.6" x14ac:dyDescent="0.3">
      <c r="A12" t="s">
        <v>102</v>
      </c>
      <c r="B12" s="92">
        <v>280</v>
      </c>
      <c r="D12" s="37" t="s">
        <v>101</v>
      </c>
      <c r="E12" s="92">
        <v>7</v>
      </c>
      <c r="G12" s="37" t="s">
        <v>103</v>
      </c>
      <c r="H12" s="92">
        <v>148</v>
      </c>
      <c r="I12" s="97"/>
    </row>
    <row r="13" spans="1:9" ht="15.6" x14ac:dyDescent="0.3">
      <c r="A13" t="s">
        <v>104</v>
      </c>
      <c r="B13" s="92">
        <v>7</v>
      </c>
      <c r="D13" s="37" t="s">
        <v>105</v>
      </c>
      <c r="E13" s="92">
        <v>5</v>
      </c>
      <c r="G13" s="37" t="s">
        <v>106</v>
      </c>
      <c r="H13" s="92">
        <v>31</v>
      </c>
      <c r="I13" s="97"/>
    </row>
    <row r="14" spans="1:9" ht="15.6" x14ac:dyDescent="0.3">
      <c r="A14" t="s">
        <v>107</v>
      </c>
      <c r="B14" s="92">
        <v>7</v>
      </c>
      <c r="D14" s="37" t="s">
        <v>108</v>
      </c>
      <c r="E14" s="92">
        <v>57</v>
      </c>
      <c r="G14" s="37" t="s">
        <v>109</v>
      </c>
      <c r="H14" s="92">
        <v>185</v>
      </c>
      <c r="I14" s="97"/>
    </row>
    <row r="15" spans="1:9" ht="15.6" x14ac:dyDescent="0.3">
      <c r="A15" t="s">
        <v>110</v>
      </c>
      <c r="B15" s="92">
        <v>42</v>
      </c>
      <c r="D15" s="37" t="s">
        <v>111</v>
      </c>
      <c r="E15" s="92">
        <v>59</v>
      </c>
      <c r="G15" s="37" t="s">
        <v>112</v>
      </c>
      <c r="H15" s="92">
        <v>1363</v>
      </c>
      <c r="I15" s="97"/>
    </row>
    <row r="16" spans="1:9" ht="15.6" x14ac:dyDescent="0.3">
      <c r="A16" t="s">
        <v>113</v>
      </c>
      <c r="B16" s="92">
        <v>14</v>
      </c>
      <c r="D16" s="35" t="s">
        <v>96</v>
      </c>
      <c r="E16" s="92"/>
      <c r="G16" s="37" t="s">
        <v>114</v>
      </c>
      <c r="H16" s="95">
        <v>194</v>
      </c>
      <c r="I16" s="97"/>
    </row>
    <row r="17" spans="1:9" ht="15.6" x14ac:dyDescent="0.3">
      <c r="A17" t="s">
        <v>115</v>
      </c>
      <c r="B17" s="92">
        <v>32</v>
      </c>
      <c r="D17" s="37" t="s">
        <v>106</v>
      </c>
      <c r="E17" s="95">
        <v>34</v>
      </c>
      <c r="G17" s="37" t="s">
        <v>116</v>
      </c>
      <c r="H17" s="95">
        <v>617</v>
      </c>
      <c r="I17" s="97"/>
    </row>
    <row r="18" spans="1:9" ht="15.6" x14ac:dyDescent="0.3">
      <c r="A18" t="s">
        <v>117</v>
      </c>
      <c r="B18" s="92">
        <v>3</v>
      </c>
      <c r="D18" s="37" t="s">
        <v>118</v>
      </c>
      <c r="E18" s="95">
        <v>28</v>
      </c>
      <c r="G18" s="37" t="s">
        <v>119</v>
      </c>
      <c r="H18" s="95">
        <v>12</v>
      </c>
      <c r="I18" s="97"/>
    </row>
    <row r="19" spans="1:9" ht="15.6" x14ac:dyDescent="0.3">
      <c r="A19" t="s">
        <v>120</v>
      </c>
      <c r="B19" s="92">
        <v>1</v>
      </c>
      <c r="D19" s="37" t="s">
        <v>121</v>
      </c>
      <c r="E19" s="95">
        <v>934</v>
      </c>
      <c r="G19" s="37" t="s">
        <v>122</v>
      </c>
      <c r="H19" s="95">
        <v>62</v>
      </c>
      <c r="I19" s="97"/>
    </row>
    <row r="20" spans="1:9" ht="15.6" x14ac:dyDescent="0.3">
      <c r="A20" t="s">
        <v>123</v>
      </c>
      <c r="B20" s="92">
        <v>15</v>
      </c>
      <c r="D20" s="37" t="s">
        <v>124</v>
      </c>
      <c r="E20" s="95">
        <v>79</v>
      </c>
      <c r="G20" s="37" t="s">
        <v>123</v>
      </c>
      <c r="H20" s="95">
        <v>23</v>
      </c>
      <c r="I20" s="97"/>
    </row>
    <row r="21" spans="1:9" ht="15.6" x14ac:dyDescent="0.3">
      <c r="A21" t="s">
        <v>125</v>
      </c>
      <c r="B21" s="92">
        <v>3</v>
      </c>
      <c r="D21" s="37" t="s">
        <v>126</v>
      </c>
      <c r="E21" s="95">
        <v>536</v>
      </c>
      <c r="G21" s="37" t="s">
        <v>127</v>
      </c>
      <c r="H21" s="95">
        <v>16</v>
      </c>
      <c r="I21" s="97"/>
    </row>
    <row r="22" spans="1:9" ht="15.6" x14ac:dyDescent="0.3">
      <c r="A22" t="s">
        <v>128</v>
      </c>
      <c r="B22" s="92">
        <v>1</v>
      </c>
      <c r="D22" s="37" t="s">
        <v>119</v>
      </c>
      <c r="E22" s="95">
        <v>9</v>
      </c>
      <c r="G22" s="37" t="s">
        <v>129</v>
      </c>
      <c r="H22" s="95">
        <v>57</v>
      </c>
      <c r="I22" s="97"/>
    </row>
    <row r="23" spans="1:9" ht="15.6" x14ac:dyDescent="0.3">
      <c r="A23" t="s">
        <v>130</v>
      </c>
      <c r="B23" s="92">
        <v>51</v>
      </c>
      <c r="D23" s="37" t="s">
        <v>131</v>
      </c>
      <c r="E23" s="95">
        <v>121</v>
      </c>
      <c r="G23" s="37" t="s">
        <v>132</v>
      </c>
      <c r="H23" s="95">
        <v>284</v>
      </c>
      <c r="I23" s="97"/>
    </row>
    <row r="24" spans="1:9" ht="15.6" x14ac:dyDescent="0.3">
      <c r="A24" s="39" t="s">
        <v>122</v>
      </c>
      <c r="B24" s="93">
        <v>13</v>
      </c>
      <c r="D24" s="37" t="s">
        <v>123</v>
      </c>
      <c r="E24" s="95">
        <v>53</v>
      </c>
      <c r="G24" s="37" t="s">
        <v>133</v>
      </c>
      <c r="H24" s="95">
        <v>238</v>
      </c>
      <c r="I24" s="97"/>
    </row>
    <row r="25" spans="1:9" ht="15.6" x14ac:dyDescent="0.3">
      <c r="B25" s="94">
        <f>SUM(B5:B24)</f>
        <v>2736</v>
      </c>
      <c r="D25" s="37" t="s">
        <v>127</v>
      </c>
      <c r="E25" s="95">
        <v>4</v>
      </c>
      <c r="G25" s="37" t="s">
        <v>134</v>
      </c>
      <c r="H25" s="95">
        <v>76</v>
      </c>
      <c r="I25" s="97"/>
    </row>
    <row r="26" spans="1:9" ht="15.6" x14ac:dyDescent="0.3">
      <c r="B26" s="40"/>
      <c r="D26" s="37" t="s">
        <v>129</v>
      </c>
      <c r="E26" s="95">
        <v>7</v>
      </c>
      <c r="G26" s="41" t="s">
        <v>135</v>
      </c>
      <c r="H26" s="96">
        <v>168</v>
      </c>
      <c r="I26" s="97"/>
    </row>
    <row r="27" spans="1:9" ht="15.6" x14ac:dyDescent="0.3">
      <c r="B27" s="40"/>
      <c r="D27" s="37" t="s">
        <v>136</v>
      </c>
      <c r="E27" s="95">
        <v>19</v>
      </c>
      <c r="H27" s="94">
        <f>SUM(H4:H26)</f>
        <v>9063</v>
      </c>
      <c r="I27" s="97"/>
    </row>
    <row r="28" spans="1:9" ht="15.6" x14ac:dyDescent="0.3">
      <c r="B28" s="40"/>
      <c r="D28" s="37" t="s">
        <v>137</v>
      </c>
      <c r="E28" s="95">
        <v>218</v>
      </c>
      <c r="I28" s="97"/>
    </row>
    <row r="29" spans="1:9" ht="15.6" x14ac:dyDescent="0.3">
      <c r="B29" s="40"/>
      <c r="D29" s="37" t="s">
        <v>134</v>
      </c>
      <c r="E29" s="95">
        <v>307</v>
      </c>
      <c r="I29" s="97"/>
    </row>
    <row r="30" spans="1:9" x14ac:dyDescent="0.3">
      <c r="B30" s="40"/>
      <c r="D30" s="41" t="s">
        <v>135</v>
      </c>
      <c r="E30" s="96">
        <v>198</v>
      </c>
    </row>
    <row r="31" spans="1:9" x14ac:dyDescent="0.3">
      <c r="E31" s="94">
        <f>SUM(E5:E30)</f>
        <v>6379</v>
      </c>
    </row>
    <row r="32" spans="1:9" s="43" customFormat="1" ht="63.75" customHeight="1" x14ac:dyDescent="0.3">
      <c r="A32" s="99" t="s">
        <v>138</v>
      </c>
      <c r="B32" s="51"/>
      <c r="C32" s="51"/>
      <c r="D32" s="141" t="s">
        <v>139</v>
      </c>
      <c r="E32" s="141"/>
      <c r="F32" s="51"/>
      <c r="G32" s="141" t="s">
        <v>140</v>
      </c>
      <c r="H32" s="141"/>
      <c r="I32" s="42"/>
    </row>
    <row r="33" spans="1:9" s="43" customFormat="1" ht="31.8" x14ac:dyDescent="0.3">
      <c r="A33" s="100" t="s">
        <v>141</v>
      </c>
      <c r="B33" s="51"/>
      <c r="C33" s="51"/>
      <c r="D33" s="142" t="s">
        <v>77</v>
      </c>
      <c r="E33" s="142"/>
      <c r="F33" s="51"/>
      <c r="G33" s="142" t="s">
        <v>142</v>
      </c>
      <c r="H33" s="142"/>
      <c r="I33" s="44"/>
    </row>
    <row r="36" spans="1:9" x14ac:dyDescent="0.3">
      <c r="A36" s="45"/>
    </row>
  </sheetData>
  <mergeCells count="6">
    <mergeCell ref="D1:E1"/>
    <mergeCell ref="G1:I1"/>
    <mergeCell ref="D32:E32"/>
    <mergeCell ref="G32:H32"/>
    <mergeCell ref="D33:E33"/>
    <mergeCell ref="G33:H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0688-08B5-45E3-8F40-B69283982C40}">
  <dimension ref="A1:H22"/>
  <sheetViews>
    <sheetView zoomScaleNormal="100" zoomScalePageLayoutView="150" workbookViewId="0">
      <selection activeCell="F18" sqref="F18"/>
    </sheetView>
  </sheetViews>
  <sheetFormatPr baseColWidth="10" defaultColWidth="8.5546875" defaultRowHeight="14.4" x14ac:dyDescent="0.3"/>
  <cols>
    <col min="1" max="1" width="20.88671875" style="27" customWidth="1"/>
    <col min="2" max="3" width="18" style="27" customWidth="1"/>
    <col min="4" max="4" width="8.5546875" style="27"/>
    <col min="5" max="5" width="21.33203125" style="27" customWidth="1"/>
    <col min="6" max="7" width="18" style="27" customWidth="1"/>
    <col min="8" max="16384" width="8.5546875" style="27"/>
  </cols>
  <sheetData>
    <row r="1" spans="1:7" ht="15.6" x14ac:dyDescent="0.3">
      <c r="A1" s="137" t="s">
        <v>256</v>
      </c>
      <c r="B1" s="137"/>
      <c r="C1" s="137"/>
      <c r="E1" s="137"/>
      <c r="F1" s="137"/>
      <c r="G1" s="137"/>
    </row>
    <row r="2" spans="1:7" ht="15.6" x14ac:dyDescent="0.3">
      <c r="A2" s="26"/>
      <c r="B2" s="26"/>
      <c r="C2" s="26"/>
      <c r="E2" s="26"/>
      <c r="F2" s="26"/>
      <c r="G2" s="26"/>
    </row>
    <row r="3" spans="1:7" ht="15.6" x14ac:dyDescent="0.3">
      <c r="A3" s="26"/>
      <c r="B3" s="144" t="s">
        <v>4</v>
      </c>
      <c r="C3" s="144"/>
      <c r="E3" s="26"/>
      <c r="F3" s="144" t="s">
        <v>59</v>
      </c>
      <c r="G3" s="144"/>
    </row>
    <row r="4" spans="1:7" x14ac:dyDescent="0.3">
      <c r="A4" s="101" t="s">
        <v>143</v>
      </c>
      <c r="B4" s="102" t="s">
        <v>144</v>
      </c>
      <c r="C4" s="102" t="s">
        <v>145</v>
      </c>
      <c r="E4" s="101" t="s">
        <v>143</v>
      </c>
      <c r="F4" s="102" t="s">
        <v>144</v>
      </c>
      <c r="G4" s="102" t="s">
        <v>145</v>
      </c>
    </row>
    <row r="5" spans="1:7" x14ac:dyDescent="0.3">
      <c r="A5" s="27" t="s">
        <v>146</v>
      </c>
      <c r="B5" s="27">
        <v>8</v>
      </c>
      <c r="C5" s="27">
        <v>12</v>
      </c>
      <c r="E5" s="27" t="s">
        <v>146</v>
      </c>
      <c r="F5" s="27">
        <v>18</v>
      </c>
      <c r="G5" s="27">
        <v>16</v>
      </c>
    </row>
    <row r="6" spans="1:7" x14ac:dyDescent="0.3">
      <c r="A6" s="27" t="s">
        <v>147</v>
      </c>
      <c r="B6" s="27">
        <v>16</v>
      </c>
      <c r="C6" s="27">
        <v>11</v>
      </c>
      <c r="E6" s="27" t="s">
        <v>147</v>
      </c>
      <c r="F6" s="27">
        <v>18</v>
      </c>
      <c r="G6" s="27">
        <v>10</v>
      </c>
    </row>
    <row r="7" spans="1:7" x14ac:dyDescent="0.3">
      <c r="A7" s="27" t="s">
        <v>148</v>
      </c>
      <c r="B7" s="27">
        <v>22</v>
      </c>
      <c r="C7" s="27">
        <v>12</v>
      </c>
      <c r="E7" s="27" t="s">
        <v>148</v>
      </c>
      <c r="F7" s="27">
        <v>21</v>
      </c>
      <c r="G7" s="27">
        <v>11</v>
      </c>
    </row>
    <row r="8" spans="1:7" x14ac:dyDescent="0.3">
      <c r="A8" s="27" t="s">
        <v>149</v>
      </c>
      <c r="B8" s="27">
        <v>14</v>
      </c>
      <c r="C8" s="27">
        <v>8</v>
      </c>
      <c r="E8" s="27" t="s">
        <v>149</v>
      </c>
      <c r="F8" s="27">
        <v>19</v>
      </c>
      <c r="G8" s="27">
        <v>14</v>
      </c>
    </row>
    <row r="9" spans="1:7" x14ac:dyDescent="0.3">
      <c r="A9" s="27" t="s">
        <v>150</v>
      </c>
      <c r="B9" s="27">
        <v>26</v>
      </c>
      <c r="C9" s="27">
        <v>13</v>
      </c>
      <c r="E9" s="27" t="s">
        <v>150</v>
      </c>
      <c r="F9" s="27">
        <v>13</v>
      </c>
      <c r="G9" s="27">
        <v>10</v>
      </c>
    </row>
    <row r="10" spans="1:7" x14ac:dyDescent="0.3">
      <c r="A10" s="27" t="s">
        <v>151</v>
      </c>
      <c r="B10" s="27">
        <v>9</v>
      </c>
      <c r="C10" s="27">
        <v>7</v>
      </c>
      <c r="E10" s="27" t="s">
        <v>151</v>
      </c>
      <c r="F10" s="27">
        <v>24</v>
      </c>
      <c r="G10" s="27">
        <v>18</v>
      </c>
    </row>
    <row r="11" spans="1:7" x14ac:dyDescent="0.3">
      <c r="A11" s="27" t="s">
        <v>152</v>
      </c>
      <c r="B11" s="27">
        <v>18</v>
      </c>
      <c r="C11" s="27">
        <v>17</v>
      </c>
      <c r="E11" s="27" t="s">
        <v>152</v>
      </c>
      <c r="F11" s="27">
        <v>15</v>
      </c>
      <c r="G11" s="27">
        <v>16</v>
      </c>
    </row>
    <row r="12" spans="1:7" x14ac:dyDescent="0.3">
      <c r="A12" s="27" t="s">
        <v>153</v>
      </c>
      <c r="B12" s="27">
        <v>14</v>
      </c>
      <c r="C12" s="27">
        <v>13</v>
      </c>
      <c r="E12" s="27" t="s">
        <v>153</v>
      </c>
      <c r="F12" s="27">
        <v>15</v>
      </c>
      <c r="G12" s="27">
        <v>15</v>
      </c>
    </row>
    <row r="13" spans="1:7" x14ac:dyDescent="0.3">
      <c r="A13" s="27" t="s">
        <v>154</v>
      </c>
      <c r="B13" s="27">
        <v>20</v>
      </c>
      <c r="C13" s="27">
        <v>15</v>
      </c>
      <c r="E13" s="27" t="s">
        <v>154</v>
      </c>
      <c r="F13" s="27">
        <v>21</v>
      </c>
      <c r="G13" s="27">
        <v>13</v>
      </c>
    </row>
    <row r="14" spans="1:7" x14ac:dyDescent="0.3">
      <c r="A14" s="27" t="s">
        <v>155</v>
      </c>
      <c r="B14" s="27">
        <v>18</v>
      </c>
      <c r="C14" s="27">
        <v>11</v>
      </c>
      <c r="E14" s="27" t="s">
        <v>155</v>
      </c>
      <c r="F14" s="27">
        <v>29</v>
      </c>
      <c r="G14" s="27">
        <v>9</v>
      </c>
    </row>
    <row r="15" spans="1:7" x14ac:dyDescent="0.3">
      <c r="A15" s="27" t="s">
        <v>156</v>
      </c>
      <c r="B15" s="27">
        <v>12</v>
      </c>
      <c r="C15" s="27">
        <v>16</v>
      </c>
      <c r="E15" s="27" t="s">
        <v>156</v>
      </c>
      <c r="F15" s="27">
        <v>16</v>
      </c>
      <c r="G15" s="27">
        <v>14</v>
      </c>
    </row>
    <row r="16" spans="1:7" x14ac:dyDescent="0.3">
      <c r="A16" s="27" t="s">
        <v>157</v>
      </c>
      <c r="B16" s="27">
        <v>15</v>
      </c>
      <c r="C16" s="27">
        <v>12</v>
      </c>
      <c r="E16" s="27" t="s">
        <v>157</v>
      </c>
      <c r="F16" s="27">
        <v>10</v>
      </c>
      <c r="G16" s="27">
        <v>17</v>
      </c>
    </row>
    <row r="17" spans="1:8" x14ac:dyDescent="0.3">
      <c r="A17" s="46" t="s">
        <v>75</v>
      </c>
      <c r="B17" s="103">
        <f>SUM(B5:B16)</f>
        <v>192</v>
      </c>
      <c r="C17" s="103">
        <f>SUM(C5:C16)</f>
        <v>147</v>
      </c>
      <c r="E17" s="46" t="s">
        <v>165</v>
      </c>
      <c r="F17" s="103">
        <f>SUM(F5:F16)</f>
        <v>219</v>
      </c>
      <c r="G17" s="103">
        <f>SUM(G5:G16)</f>
        <v>163</v>
      </c>
    </row>
    <row r="18" spans="1:8" x14ac:dyDescent="0.3">
      <c r="A18" s="47"/>
      <c r="B18" s="47"/>
      <c r="C18" s="47"/>
    </row>
    <row r="19" spans="1:8" s="49" customFormat="1" ht="61.5" customHeight="1" x14ac:dyDescent="0.3">
      <c r="A19" s="145" t="s">
        <v>158</v>
      </c>
      <c r="B19" s="145"/>
      <c r="C19" s="145"/>
      <c r="E19" s="145" t="s">
        <v>159</v>
      </c>
      <c r="F19" s="145"/>
      <c r="G19" s="145"/>
      <c r="H19" s="27"/>
    </row>
    <row r="20" spans="1:8" s="49" customFormat="1" ht="53.25" customHeight="1" x14ac:dyDescent="0.3">
      <c r="A20" s="138" t="s">
        <v>160</v>
      </c>
      <c r="B20" s="138"/>
      <c r="C20" s="138"/>
      <c r="E20" s="138" t="s">
        <v>161</v>
      </c>
      <c r="F20" s="138"/>
      <c r="G20" s="138"/>
      <c r="H20" s="27"/>
    </row>
    <row r="21" spans="1:8" s="49" customFormat="1" x14ac:dyDescent="0.3">
      <c r="A21" s="143" t="s">
        <v>162</v>
      </c>
      <c r="B21" s="143"/>
      <c r="C21" s="143"/>
      <c r="H21" s="27"/>
    </row>
    <row r="22" spans="1:8" s="49" customFormat="1" x14ac:dyDescent="0.3">
      <c r="H22" s="27"/>
    </row>
  </sheetData>
  <mergeCells count="9">
    <mergeCell ref="A21:C21"/>
    <mergeCell ref="B3:C3"/>
    <mergeCell ref="F3:G3"/>
    <mergeCell ref="A1:C1"/>
    <mergeCell ref="E1:G1"/>
    <mergeCell ref="A19:C19"/>
    <mergeCell ref="E19:G19"/>
    <mergeCell ref="A20:C20"/>
    <mergeCell ref="E20:G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FC40-E1B0-49A1-A1F7-824A4D3D6268}">
  <dimension ref="A1:G10"/>
  <sheetViews>
    <sheetView zoomScaleNormal="100" workbookViewId="0">
      <selection activeCell="C3" sqref="C3:E8"/>
    </sheetView>
  </sheetViews>
  <sheetFormatPr baseColWidth="10" defaultRowHeight="14.4" x14ac:dyDescent="0.3"/>
  <cols>
    <col min="1" max="1" width="50.33203125" customWidth="1"/>
    <col min="2" max="2" width="5.44140625" customWidth="1"/>
    <col min="3" max="4" width="14.109375" customWidth="1"/>
    <col min="5" max="5" width="13.33203125" customWidth="1"/>
    <col min="6" max="6" width="3.33203125" customWidth="1"/>
  </cols>
  <sheetData>
    <row r="1" spans="1:7" ht="43.5" customHeight="1" x14ac:dyDescent="0.3">
      <c r="A1" s="147" t="s">
        <v>33</v>
      </c>
      <c r="B1" s="147"/>
      <c r="C1" s="147"/>
      <c r="D1" s="147"/>
      <c r="E1" s="147"/>
      <c r="F1" s="55"/>
    </row>
    <row r="2" spans="1:7" ht="21" customHeight="1" x14ac:dyDescent="0.3">
      <c r="A2" s="55"/>
      <c r="B2" s="55"/>
      <c r="C2" s="55"/>
      <c r="D2" s="55"/>
      <c r="E2" s="55"/>
      <c r="F2" s="55"/>
    </row>
    <row r="3" spans="1:7" x14ac:dyDescent="0.3">
      <c r="B3" s="36"/>
      <c r="C3" s="146" t="s">
        <v>170</v>
      </c>
      <c r="D3" s="146"/>
      <c r="E3" s="146"/>
      <c r="F3" s="36"/>
    </row>
    <row r="4" spans="1:7" x14ac:dyDescent="0.3">
      <c r="A4" s="98" t="s">
        <v>79</v>
      </c>
      <c r="B4" s="36"/>
      <c r="C4" s="54" t="s">
        <v>3</v>
      </c>
      <c r="D4" s="54" t="s">
        <v>4</v>
      </c>
      <c r="E4" s="54" t="s">
        <v>59</v>
      </c>
      <c r="F4" s="53"/>
    </row>
    <row r="5" spans="1:7" x14ac:dyDescent="0.3">
      <c r="A5" t="s">
        <v>169</v>
      </c>
      <c r="C5" s="40" t="s">
        <v>5</v>
      </c>
      <c r="D5" s="52">
        <v>3917728</v>
      </c>
      <c r="E5" s="38">
        <v>841440</v>
      </c>
      <c r="F5" s="38"/>
    </row>
    <row r="6" spans="1:7" x14ac:dyDescent="0.3">
      <c r="A6" t="s">
        <v>168</v>
      </c>
      <c r="C6" s="40" t="s">
        <v>5</v>
      </c>
      <c r="D6" s="52">
        <v>1314980</v>
      </c>
      <c r="E6" s="38">
        <v>1911740</v>
      </c>
      <c r="F6" s="38"/>
    </row>
    <row r="7" spans="1:7" x14ac:dyDescent="0.3">
      <c r="A7" t="s">
        <v>167</v>
      </c>
      <c r="C7" s="40" t="s">
        <v>5</v>
      </c>
      <c r="D7" s="52"/>
      <c r="E7" s="38">
        <v>9395972</v>
      </c>
      <c r="F7" s="38"/>
      <c r="G7" s="51" t="s">
        <v>166</v>
      </c>
    </row>
    <row r="8" spans="1:7" x14ac:dyDescent="0.3">
      <c r="A8" s="50" t="s">
        <v>165</v>
      </c>
      <c r="C8" s="105">
        <v>1356387</v>
      </c>
      <c r="D8" s="106">
        <v>5232708</v>
      </c>
      <c r="E8" s="106">
        <f>SUM(E5:E7)</f>
        <v>12149152</v>
      </c>
      <c r="F8" s="52"/>
      <c r="G8" s="51" t="s">
        <v>164</v>
      </c>
    </row>
    <row r="9" spans="1:7" ht="13.5" customHeight="1" x14ac:dyDescent="0.3"/>
    <row r="10" spans="1:7" x14ac:dyDescent="0.3">
      <c r="A10" s="77" t="s">
        <v>163</v>
      </c>
      <c r="B10" s="77"/>
      <c r="C10" s="77"/>
      <c r="D10" s="77"/>
    </row>
  </sheetData>
  <mergeCells count="2">
    <mergeCell ref="C3:E3"/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48F3-8FA7-4142-B678-77850BD513BA}">
  <dimension ref="A1:K27"/>
  <sheetViews>
    <sheetView topLeftCell="F1" zoomScale="140" zoomScaleNormal="140" workbookViewId="0">
      <selection activeCell="K21" sqref="K21"/>
    </sheetView>
  </sheetViews>
  <sheetFormatPr baseColWidth="10" defaultColWidth="11.44140625" defaultRowHeight="14.4" x14ac:dyDescent="0.3"/>
  <cols>
    <col min="1" max="1" width="62.6640625" style="58" customWidth="1"/>
    <col min="2" max="2" width="19.5546875" style="56" customWidth="1"/>
    <col min="3" max="3" width="11.44140625" style="56"/>
    <col min="4" max="4" width="60.5546875" style="58" customWidth="1"/>
    <col min="5" max="6" width="14.88671875" style="56" customWidth="1"/>
    <col min="7" max="7" width="11.44140625" style="56"/>
    <col min="8" max="8" width="30.88671875" style="58" customWidth="1"/>
    <col min="9" max="10" width="14.88671875" style="56" customWidth="1"/>
    <col min="11" max="11" width="53.109375" style="57" customWidth="1"/>
    <col min="12" max="16384" width="11.44140625" style="56"/>
  </cols>
  <sheetData>
    <row r="1" spans="1:11" ht="34.5" customHeight="1" x14ac:dyDescent="0.3">
      <c r="A1" s="149" t="s">
        <v>224</v>
      </c>
      <c r="B1" s="149"/>
      <c r="D1" s="149" t="s">
        <v>38</v>
      </c>
      <c r="E1" s="149"/>
      <c r="F1" s="149"/>
      <c r="H1" s="156" t="s">
        <v>39</v>
      </c>
      <c r="I1" s="156"/>
      <c r="J1" s="156"/>
      <c r="K1" s="156"/>
    </row>
    <row r="2" spans="1:11" ht="15.6" x14ac:dyDescent="0.3">
      <c r="A2" s="72"/>
      <c r="B2" s="71"/>
      <c r="D2" s="72"/>
      <c r="E2" s="71"/>
      <c r="F2" s="71"/>
      <c r="H2" s="72"/>
      <c r="I2" s="71"/>
      <c r="J2" s="71"/>
      <c r="K2" s="70"/>
    </row>
    <row r="3" spans="1:11" x14ac:dyDescent="0.3">
      <c r="D3" s="152" t="s">
        <v>79</v>
      </c>
      <c r="E3" s="151" t="s">
        <v>170</v>
      </c>
      <c r="F3" s="151"/>
      <c r="H3" s="152"/>
      <c r="I3" s="151" t="s">
        <v>170</v>
      </c>
      <c r="J3" s="151"/>
      <c r="K3" s="49"/>
    </row>
    <row r="4" spans="1:11" ht="20.25" customHeight="1" x14ac:dyDescent="0.3">
      <c r="A4" s="64" t="s">
        <v>79</v>
      </c>
      <c r="B4" s="69" t="s">
        <v>170</v>
      </c>
      <c r="D4" s="153"/>
      <c r="E4" s="28" t="s">
        <v>223</v>
      </c>
      <c r="F4" s="28" t="s">
        <v>222</v>
      </c>
      <c r="H4" s="153" t="s">
        <v>79</v>
      </c>
      <c r="I4" s="28" t="s">
        <v>223</v>
      </c>
      <c r="J4" s="28" t="s">
        <v>222</v>
      </c>
      <c r="K4" s="49" t="s">
        <v>81</v>
      </c>
    </row>
    <row r="5" spans="1:11" x14ac:dyDescent="0.3">
      <c r="A5" s="25" t="s">
        <v>221</v>
      </c>
      <c r="B5" s="65">
        <v>251720</v>
      </c>
      <c r="D5" s="25" t="s">
        <v>220</v>
      </c>
      <c r="E5" s="65">
        <v>13005046</v>
      </c>
      <c r="F5" s="68">
        <v>0</v>
      </c>
      <c r="H5" s="25" t="s">
        <v>52</v>
      </c>
      <c r="I5" s="65">
        <v>82125801</v>
      </c>
      <c r="J5" s="65">
        <v>30900382</v>
      </c>
      <c r="K5" s="60" t="s">
        <v>219</v>
      </c>
    </row>
    <row r="6" spans="1:11" x14ac:dyDescent="0.3">
      <c r="A6" s="25" t="s">
        <v>218</v>
      </c>
      <c r="B6" s="65">
        <v>5145638</v>
      </c>
      <c r="D6" s="25" t="s">
        <v>217</v>
      </c>
      <c r="E6" s="65">
        <v>6412144</v>
      </c>
      <c r="F6" s="68">
        <v>0</v>
      </c>
      <c r="H6" s="25" t="s">
        <v>216</v>
      </c>
      <c r="I6" s="65">
        <v>26361964</v>
      </c>
      <c r="J6" s="68">
        <v>0</v>
      </c>
      <c r="K6" s="60" t="s">
        <v>215</v>
      </c>
    </row>
    <row r="7" spans="1:11" x14ac:dyDescent="0.3">
      <c r="A7" s="25" t="s">
        <v>214</v>
      </c>
      <c r="B7" s="65">
        <v>2514756</v>
      </c>
      <c r="D7" s="25" t="s">
        <v>203</v>
      </c>
      <c r="E7" s="65">
        <v>2639937</v>
      </c>
      <c r="F7" s="68">
        <v>0</v>
      </c>
      <c r="H7" s="25" t="s">
        <v>213</v>
      </c>
      <c r="I7" s="65">
        <v>21387779</v>
      </c>
      <c r="J7" s="68">
        <v>0</v>
      </c>
      <c r="K7" s="60" t="s">
        <v>212</v>
      </c>
    </row>
    <row r="8" spans="1:11" x14ac:dyDescent="0.3">
      <c r="A8" s="25" t="s">
        <v>211</v>
      </c>
      <c r="B8" s="65">
        <v>6332644</v>
      </c>
      <c r="D8" s="25" t="s">
        <v>201</v>
      </c>
      <c r="E8" s="65">
        <v>410158</v>
      </c>
      <c r="F8" s="68">
        <v>0</v>
      </c>
      <c r="H8" s="25" t="s">
        <v>210</v>
      </c>
      <c r="I8" s="65">
        <v>6480316</v>
      </c>
      <c r="J8" s="68">
        <v>0</v>
      </c>
      <c r="K8" s="60"/>
    </row>
    <row r="9" spans="1:11" x14ac:dyDescent="0.3">
      <c r="A9" s="25" t="s">
        <v>209</v>
      </c>
      <c r="B9" s="65">
        <v>635981</v>
      </c>
      <c r="D9" s="25" t="s">
        <v>208</v>
      </c>
      <c r="E9" s="65">
        <v>649363</v>
      </c>
      <c r="F9" s="68">
        <v>0</v>
      </c>
      <c r="H9" s="25" t="s">
        <v>207</v>
      </c>
      <c r="I9" s="65">
        <v>5272668</v>
      </c>
      <c r="J9" s="68">
        <v>0</v>
      </c>
      <c r="K9" s="60"/>
    </row>
    <row r="10" spans="1:11" x14ac:dyDescent="0.3">
      <c r="A10" s="25" t="s">
        <v>206</v>
      </c>
      <c r="B10" s="65">
        <v>780732</v>
      </c>
      <c r="D10" s="25" t="s">
        <v>205</v>
      </c>
      <c r="E10" s="65">
        <v>10741764</v>
      </c>
      <c r="F10" s="68">
        <v>0</v>
      </c>
      <c r="H10" s="25" t="s">
        <v>204</v>
      </c>
      <c r="I10" s="65">
        <v>4556867</v>
      </c>
      <c r="J10" s="68">
        <v>0</v>
      </c>
      <c r="K10" s="60"/>
    </row>
    <row r="11" spans="1:11" x14ac:dyDescent="0.3">
      <c r="A11" s="25" t="s">
        <v>203</v>
      </c>
      <c r="B11" s="65">
        <v>4522390</v>
      </c>
      <c r="D11" s="25" t="s">
        <v>193</v>
      </c>
      <c r="E11" s="65">
        <v>13964655</v>
      </c>
      <c r="F11" s="68">
        <v>0</v>
      </c>
      <c r="H11" s="25" t="s">
        <v>202</v>
      </c>
      <c r="I11" s="65">
        <v>4252573</v>
      </c>
      <c r="J11" s="68">
        <v>0</v>
      </c>
      <c r="K11" s="60"/>
    </row>
    <row r="12" spans="1:11" x14ac:dyDescent="0.3">
      <c r="A12" s="25" t="s">
        <v>201</v>
      </c>
      <c r="B12" s="65">
        <v>83089</v>
      </c>
      <c r="D12" s="25" t="s">
        <v>200</v>
      </c>
      <c r="E12" s="65">
        <v>3165077</v>
      </c>
      <c r="F12" s="68">
        <v>0</v>
      </c>
      <c r="H12" s="25" t="s">
        <v>199</v>
      </c>
      <c r="I12" s="65">
        <v>2843509</v>
      </c>
      <c r="J12" s="68">
        <v>0</v>
      </c>
      <c r="K12" s="60" t="s">
        <v>198</v>
      </c>
    </row>
    <row r="13" spans="1:11" x14ac:dyDescent="0.3">
      <c r="A13" s="25" t="s">
        <v>197</v>
      </c>
      <c r="B13" s="65">
        <v>436717</v>
      </c>
      <c r="D13" s="25" t="s">
        <v>196</v>
      </c>
      <c r="E13" s="65">
        <v>740512</v>
      </c>
      <c r="F13" s="68">
        <v>0</v>
      </c>
      <c r="H13" s="25" t="s">
        <v>195</v>
      </c>
      <c r="I13" s="65">
        <v>849945</v>
      </c>
      <c r="J13" s="68">
        <v>0</v>
      </c>
      <c r="K13" s="60" t="s">
        <v>194</v>
      </c>
    </row>
    <row r="14" spans="1:11" x14ac:dyDescent="0.3">
      <c r="A14" s="25" t="s">
        <v>193</v>
      </c>
      <c r="B14" s="65">
        <v>4561445</v>
      </c>
      <c r="D14" s="25" t="s">
        <v>192</v>
      </c>
      <c r="E14" s="65">
        <v>2294545</v>
      </c>
      <c r="F14" s="68">
        <v>0</v>
      </c>
      <c r="H14" s="25" t="s">
        <v>191</v>
      </c>
      <c r="I14" s="65">
        <v>572112</v>
      </c>
      <c r="J14" s="68">
        <v>0</v>
      </c>
      <c r="K14" s="60"/>
    </row>
    <row r="15" spans="1:11" x14ac:dyDescent="0.3">
      <c r="A15" s="25" t="s">
        <v>190</v>
      </c>
      <c r="B15" s="65">
        <v>497408</v>
      </c>
      <c r="D15" s="25" t="s">
        <v>189</v>
      </c>
      <c r="E15" s="65">
        <v>942645</v>
      </c>
      <c r="F15" s="68">
        <v>0</v>
      </c>
      <c r="H15" s="25" t="s">
        <v>188</v>
      </c>
      <c r="I15" s="65">
        <v>443490</v>
      </c>
      <c r="J15" s="65">
        <v>728625</v>
      </c>
      <c r="K15" s="60" t="s">
        <v>187</v>
      </c>
    </row>
    <row r="16" spans="1:11" x14ac:dyDescent="0.3">
      <c r="A16" s="25" t="s">
        <v>186</v>
      </c>
      <c r="B16" s="65">
        <v>1836805</v>
      </c>
      <c r="D16" s="25" t="s">
        <v>185</v>
      </c>
      <c r="E16" s="65">
        <v>9159936</v>
      </c>
      <c r="F16" s="65">
        <v>859661</v>
      </c>
      <c r="H16" s="25" t="s">
        <v>184</v>
      </c>
      <c r="I16" s="65">
        <v>155147023</v>
      </c>
      <c r="J16" s="65">
        <v>31629007</v>
      </c>
      <c r="K16" s="60" t="s">
        <v>183</v>
      </c>
    </row>
    <row r="17" spans="1:11" x14ac:dyDescent="0.3">
      <c r="A17" s="25" t="s">
        <v>182</v>
      </c>
      <c r="B17" s="65">
        <v>1519343</v>
      </c>
      <c r="D17" s="25" t="s">
        <v>181</v>
      </c>
      <c r="E17" s="65">
        <v>3265848</v>
      </c>
      <c r="F17" s="68">
        <v>0</v>
      </c>
      <c r="H17" s="67"/>
      <c r="I17" s="66">
        <f>SUM(I5:I15)</f>
        <v>155147024</v>
      </c>
      <c r="J17" s="66">
        <f>SUM(J5:J15)</f>
        <v>31629007</v>
      </c>
      <c r="K17" s="132"/>
    </row>
    <row r="18" spans="1:11" x14ac:dyDescent="0.3">
      <c r="A18" s="25" t="s">
        <v>180</v>
      </c>
      <c r="B18" s="65">
        <v>88422</v>
      </c>
      <c r="D18" s="25" t="s">
        <v>175</v>
      </c>
      <c r="E18" s="65">
        <v>59560315</v>
      </c>
      <c r="F18" s="65">
        <v>19790784</v>
      </c>
      <c r="H18" s="25"/>
      <c r="I18" s="154">
        <f>SUM(I17:J17)</f>
        <v>186776031</v>
      </c>
      <c r="J18" s="154"/>
      <c r="K18" s="60"/>
    </row>
    <row r="19" spans="1:11" x14ac:dyDescent="0.3">
      <c r="A19" s="25" t="s">
        <v>179</v>
      </c>
      <c r="B19" s="65">
        <v>1105103</v>
      </c>
      <c r="D19" s="25" t="s">
        <v>174</v>
      </c>
      <c r="E19" s="65">
        <v>25963376</v>
      </c>
      <c r="F19" s="65">
        <v>4466956</v>
      </c>
      <c r="I19" s="65"/>
      <c r="J19" s="65"/>
      <c r="K19" s="60"/>
    </row>
    <row r="20" spans="1:11" x14ac:dyDescent="0.3">
      <c r="A20" s="25" t="s">
        <v>178</v>
      </c>
      <c r="B20" s="65">
        <v>8390233</v>
      </c>
      <c r="D20" s="25" t="s">
        <v>177</v>
      </c>
      <c r="E20" s="65">
        <v>80388</v>
      </c>
      <c r="F20" s="68">
        <v>0</v>
      </c>
      <c r="H20" s="25"/>
      <c r="I20" s="65"/>
      <c r="J20" s="68"/>
      <c r="K20" s="60"/>
    </row>
    <row r="21" spans="1:11" x14ac:dyDescent="0.3">
      <c r="A21" s="25" t="s">
        <v>176</v>
      </c>
      <c r="B21" s="65">
        <v>2011684</v>
      </c>
      <c r="D21" s="67" t="s">
        <v>165</v>
      </c>
      <c r="E21" s="66">
        <f>SUM(E5:E20)</f>
        <v>152995709</v>
      </c>
      <c r="F21" s="66">
        <f>SUM(F5:F20)</f>
        <v>25117401</v>
      </c>
    </row>
    <row r="22" spans="1:11" ht="15.75" customHeight="1" x14ac:dyDescent="0.3">
      <c r="A22" s="25" t="s">
        <v>175</v>
      </c>
      <c r="B22" s="65">
        <v>89121356</v>
      </c>
      <c r="E22" s="154">
        <f>SUM(E21:F21)</f>
        <v>178113110</v>
      </c>
      <c r="F22" s="154"/>
      <c r="I22" s="155"/>
      <c r="J22" s="155"/>
    </row>
    <row r="23" spans="1:11" x14ac:dyDescent="0.3">
      <c r="A23" s="64" t="s">
        <v>174</v>
      </c>
      <c r="B23" s="63">
        <v>22212038</v>
      </c>
      <c r="D23" s="25"/>
      <c r="E23" s="14"/>
      <c r="F23" s="14"/>
      <c r="H23" s="25"/>
      <c r="I23" s="14"/>
      <c r="J23" s="14"/>
      <c r="K23" s="60"/>
    </row>
    <row r="24" spans="1:11" x14ac:dyDescent="0.3">
      <c r="A24" s="62" t="s">
        <v>165</v>
      </c>
      <c r="B24" s="61">
        <v>152047504</v>
      </c>
      <c r="D24" s="150" t="s">
        <v>163</v>
      </c>
      <c r="E24" s="150"/>
      <c r="F24" s="150"/>
      <c r="H24" s="60" t="s">
        <v>173</v>
      </c>
      <c r="I24" s="59"/>
      <c r="J24" s="59"/>
      <c r="K24" s="48"/>
    </row>
    <row r="26" spans="1:11" ht="36.75" customHeight="1" x14ac:dyDescent="0.3">
      <c r="A26" s="148" t="s">
        <v>172</v>
      </c>
      <c r="B26" s="148"/>
    </row>
    <row r="27" spans="1:11" ht="31.5" customHeight="1" x14ac:dyDescent="0.3">
      <c r="A27" s="148" t="s">
        <v>171</v>
      </c>
      <c r="B27" s="148"/>
    </row>
  </sheetData>
  <mergeCells count="13">
    <mergeCell ref="H3:H4"/>
    <mergeCell ref="I3:J3"/>
    <mergeCell ref="I22:J22"/>
    <mergeCell ref="I18:J18"/>
    <mergeCell ref="H1:K1"/>
    <mergeCell ref="A26:B26"/>
    <mergeCell ref="A27:B27"/>
    <mergeCell ref="D1:F1"/>
    <mergeCell ref="D24:F24"/>
    <mergeCell ref="E3:F3"/>
    <mergeCell ref="D3:D4"/>
    <mergeCell ref="A1:B1"/>
    <mergeCell ref="E22:F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AE02-1D15-4761-BED6-8F0A0B8EC03D}">
  <dimension ref="A1:I27"/>
  <sheetViews>
    <sheetView workbookViewId="0">
      <selection activeCell="D1" sqref="D1:E1"/>
    </sheetView>
  </sheetViews>
  <sheetFormatPr baseColWidth="10" defaultColWidth="11.44140625" defaultRowHeight="14.4" x14ac:dyDescent="0.3"/>
  <cols>
    <col min="1" max="1" width="58.33203125" style="56" customWidth="1"/>
    <col min="2" max="2" width="19.88671875" style="56" customWidth="1"/>
    <col min="3" max="3" width="11.44140625" style="56"/>
    <col min="4" max="4" width="51.109375" style="56" customWidth="1"/>
    <col min="5" max="5" width="26.33203125" style="56" customWidth="1"/>
    <col min="6" max="6" width="11.44140625" style="56"/>
    <col min="7" max="7" width="22.6640625" style="56" customWidth="1"/>
    <col min="8" max="8" width="22.109375" style="56" customWidth="1"/>
    <col min="9" max="16384" width="11.44140625" style="56"/>
  </cols>
  <sheetData>
    <row r="1" spans="1:9" ht="39.75" customHeight="1" x14ac:dyDescent="0.3">
      <c r="A1" s="158" t="s">
        <v>225</v>
      </c>
      <c r="B1" s="158"/>
      <c r="D1" s="158" t="s">
        <v>226</v>
      </c>
      <c r="E1" s="158"/>
      <c r="G1" s="158" t="s">
        <v>43</v>
      </c>
      <c r="H1" s="158"/>
    </row>
    <row r="2" spans="1:9" ht="18" customHeight="1" x14ac:dyDescent="0.3">
      <c r="D2" s="73"/>
      <c r="E2" s="73"/>
    </row>
    <row r="3" spans="1:9" x14ac:dyDescent="0.3">
      <c r="A3" s="89" t="s">
        <v>79</v>
      </c>
      <c r="B3" s="89" t="s">
        <v>170</v>
      </c>
      <c r="D3" s="89" t="s">
        <v>79</v>
      </c>
      <c r="E3" s="89" t="s">
        <v>170</v>
      </c>
      <c r="G3" s="89" t="s">
        <v>79</v>
      </c>
      <c r="H3" s="89" t="s">
        <v>170</v>
      </c>
    </row>
    <row r="4" spans="1:9" x14ac:dyDescent="0.3">
      <c r="A4" s="74" t="s">
        <v>227</v>
      </c>
      <c r="B4" s="75">
        <v>111063</v>
      </c>
      <c r="D4" s="13" t="s">
        <v>228</v>
      </c>
      <c r="E4" s="65">
        <v>188500</v>
      </c>
      <c r="G4" s="56" t="s">
        <v>169</v>
      </c>
      <c r="H4" s="76">
        <v>9105764</v>
      </c>
    </row>
    <row r="5" spans="1:9" x14ac:dyDescent="0.3">
      <c r="A5" s="74" t="s">
        <v>221</v>
      </c>
      <c r="B5" s="75">
        <v>397996</v>
      </c>
      <c r="D5" s="13" t="s">
        <v>229</v>
      </c>
      <c r="E5" s="65">
        <v>207245</v>
      </c>
      <c r="G5" s="56" t="s">
        <v>167</v>
      </c>
      <c r="H5" s="76">
        <v>9223781</v>
      </c>
    </row>
    <row r="6" spans="1:9" x14ac:dyDescent="0.3">
      <c r="A6" s="74" t="s">
        <v>230</v>
      </c>
      <c r="B6" s="75">
        <v>477572</v>
      </c>
      <c r="D6" s="13" t="s">
        <v>217</v>
      </c>
      <c r="E6" s="65">
        <v>1674869</v>
      </c>
      <c r="G6" s="56" t="s">
        <v>168</v>
      </c>
      <c r="H6" s="76">
        <v>438153</v>
      </c>
    </row>
    <row r="7" spans="1:9" x14ac:dyDescent="0.3">
      <c r="A7" s="74" t="s">
        <v>232</v>
      </c>
      <c r="B7" s="75">
        <v>804286</v>
      </c>
      <c r="D7" s="13" t="s">
        <v>233</v>
      </c>
      <c r="E7" s="65">
        <v>58464</v>
      </c>
      <c r="G7" s="78" t="s">
        <v>234</v>
      </c>
      <c r="H7" s="116">
        <f>SUM(H4:H6)</f>
        <v>18767698</v>
      </c>
      <c r="I7" s="77" t="s">
        <v>231</v>
      </c>
    </row>
    <row r="8" spans="1:9" x14ac:dyDescent="0.3">
      <c r="A8" s="74" t="s">
        <v>217</v>
      </c>
      <c r="B8" s="75">
        <v>2744336</v>
      </c>
      <c r="D8" s="13" t="s">
        <v>220</v>
      </c>
      <c r="E8" s="65">
        <v>867023</v>
      </c>
    </row>
    <row r="9" spans="1:9" x14ac:dyDescent="0.3">
      <c r="A9" s="74" t="s">
        <v>235</v>
      </c>
      <c r="B9" s="75">
        <v>2273600</v>
      </c>
      <c r="D9" s="13" t="s">
        <v>236</v>
      </c>
      <c r="E9" s="65">
        <v>347200</v>
      </c>
    </row>
    <row r="10" spans="1:9" x14ac:dyDescent="0.3">
      <c r="A10" s="74" t="s">
        <v>201</v>
      </c>
      <c r="B10" s="75">
        <v>290000</v>
      </c>
      <c r="D10" s="13" t="s">
        <v>237</v>
      </c>
      <c r="E10" s="65">
        <v>7727905</v>
      </c>
      <c r="G10" s="77" t="s">
        <v>173</v>
      </c>
    </row>
    <row r="11" spans="1:9" x14ac:dyDescent="0.3">
      <c r="A11" s="74" t="s">
        <v>238</v>
      </c>
      <c r="B11" s="75">
        <v>1765113</v>
      </c>
      <c r="D11" s="13" t="s">
        <v>192</v>
      </c>
      <c r="E11" s="65">
        <v>440096</v>
      </c>
    </row>
    <row r="12" spans="1:9" x14ac:dyDescent="0.3">
      <c r="A12" s="74" t="s">
        <v>239</v>
      </c>
      <c r="B12" s="75">
        <v>74263</v>
      </c>
      <c r="D12" s="13" t="s">
        <v>189</v>
      </c>
      <c r="E12" s="65">
        <v>383141</v>
      </c>
    </row>
    <row r="13" spans="1:9" x14ac:dyDescent="0.3">
      <c r="A13" s="74" t="s">
        <v>182</v>
      </c>
      <c r="B13" s="75">
        <v>104201</v>
      </c>
      <c r="D13" s="13" t="s">
        <v>185</v>
      </c>
      <c r="E13" s="65">
        <v>743444</v>
      </c>
    </row>
    <row r="14" spans="1:9" x14ac:dyDescent="0.3">
      <c r="A14" s="74" t="s">
        <v>189</v>
      </c>
      <c r="B14" s="75">
        <v>215440</v>
      </c>
      <c r="D14" s="13" t="s">
        <v>240</v>
      </c>
      <c r="E14" s="65">
        <v>181265</v>
      </c>
    </row>
    <row r="15" spans="1:9" x14ac:dyDescent="0.3">
      <c r="A15" s="74" t="s">
        <v>241</v>
      </c>
      <c r="B15" s="75">
        <v>991667</v>
      </c>
      <c r="D15" s="13" t="s">
        <v>174</v>
      </c>
      <c r="E15" s="65">
        <v>1249805</v>
      </c>
    </row>
    <row r="16" spans="1:9" x14ac:dyDescent="0.3">
      <c r="A16" s="74" t="s">
        <v>185</v>
      </c>
      <c r="B16" s="75">
        <v>40600</v>
      </c>
      <c r="D16" s="13" t="s">
        <v>242</v>
      </c>
      <c r="E16" s="65">
        <v>126261</v>
      </c>
    </row>
    <row r="17" spans="1:5" x14ac:dyDescent="0.3">
      <c r="A17" s="74" t="s">
        <v>243</v>
      </c>
      <c r="B17" s="75">
        <v>64399</v>
      </c>
      <c r="D17" s="13" t="s">
        <v>175</v>
      </c>
      <c r="E17" s="65">
        <v>3634396</v>
      </c>
    </row>
    <row r="18" spans="1:5" x14ac:dyDescent="0.3">
      <c r="A18" s="79" t="s">
        <v>244</v>
      </c>
      <c r="B18" s="80">
        <v>1689030</v>
      </c>
      <c r="D18" s="78" t="s">
        <v>165</v>
      </c>
      <c r="E18" s="116">
        <v>17829614</v>
      </c>
    </row>
    <row r="19" spans="1:5" x14ac:dyDescent="0.3">
      <c r="A19" s="79" t="s">
        <v>165</v>
      </c>
      <c r="B19" s="115">
        <v>12043566</v>
      </c>
      <c r="D19" s="81"/>
      <c r="E19" s="82"/>
    </row>
    <row r="21" spans="1:5" ht="36" customHeight="1" x14ac:dyDescent="0.3">
      <c r="A21" s="157" t="s">
        <v>172</v>
      </c>
      <c r="B21" s="157"/>
      <c r="C21" s="107"/>
      <c r="D21" s="157" t="s">
        <v>163</v>
      </c>
      <c r="E21" s="157"/>
    </row>
    <row r="22" spans="1:5" x14ac:dyDescent="0.3">
      <c r="A22" s="107"/>
      <c r="B22" s="107"/>
      <c r="C22" s="107"/>
      <c r="D22" s="107"/>
      <c r="E22" s="107"/>
    </row>
    <row r="23" spans="1:5" ht="30.75" customHeight="1" x14ac:dyDescent="0.3">
      <c r="A23" s="157" t="s">
        <v>171</v>
      </c>
      <c r="B23" s="157"/>
      <c r="C23" s="107"/>
      <c r="D23" s="107"/>
      <c r="E23" s="107"/>
    </row>
    <row r="24" spans="1:5" x14ac:dyDescent="0.3">
      <c r="A24" s="157"/>
      <c r="B24" s="157"/>
      <c r="C24" s="107"/>
      <c r="D24" s="107"/>
      <c r="E24" s="107"/>
    </row>
    <row r="25" spans="1:5" x14ac:dyDescent="0.3">
      <c r="A25" s="107"/>
      <c r="B25" s="107"/>
      <c r="C25" s="107"/>
      <c r="D25" s="107"/>
      <c r="E25" s="107"/>
    </row>
    <row r="26" spans="1:5" x14ac:dyDescent="0.3">
      <c r="A26" s="107"/>
      <c r="B26" s="107"/>
      <c r="C26" s="107"/>
      <c r="D26" s="107"/>
      <c r="E26" s="107"/>
    </row>
    <row r="27" spans="1:5" x14ac:dyDescent="0.3">
      <c r="A27" s="107"/>
      <c r="B27" s="107"/>
      <c r="C27" s="107"/>
      <c r="D27" s="107"/>
      <c r="E27" s="107"/>
    </row>
  </sheetData>
  <mergeCells count="7">
    <mergeCell ref="A23:B23"/>
    <mergeCell ref="A24:B24"/>
    <mergeCell ref="G1:H1"/>
    <mergeCell ref="A1:B1"/>
    <mergeCell ref="D1:E1"/>
    <mergeCell ref="A21:B21"/>
    <mergeCell ref="D21:E2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CC77-330E-4EE6-A26D-F352A1BC4019}">
  <dimension ref="A1:I13"/>
  <sheetViews>
    <sheetView topLeftCell="B1" workbookViewId="0">
      <selection activeCell="I6" sqref="I6"/>
    </sheetView>
  </sheetViews>
  <sheetFormatPr baseColWidth="10" defaultRowHeight="14.4" x14ac:dyDescent="0.3"/>
  <cols>
    <col min="1" max="1" width="56.33203125" customWidth="1"/>
    <col min="2" max="2" width="19.88671875" customWidth="1"/>
    <col min="3" max="3" width="6.6640625" customWidth="1"/>
    <col min="4" max="4" width="51.5546875" customWidth="1"/>
    <col min="5" max="5" width="19.5546875" customWidth="1"/>
    <col min="7" max="7" width="58.6640625" customWidth="1"/>
    <col min="8" max="8" width="19.109375" customWidth="1"/>
  </cols>
  <sheetData>
    <row r="1" spans="1:9" ht="35.25" customHeight="1" x14ac:dyDescent="0.3">
      <c r="A1" s="158" t="s">
        <v>44</v>
      </c>
      <c r="B1" s="158"/>
      <c r="C1" s="56"/>
      <c r="D1" s="158" t="s">
        <v>46</v>
      </c>
      <c r="E1" s="158"/>
      <c r="G1" s="158" t="s">
        <v>47</v>
      </c>
      <c r="H1" s="158"/>
    </row>
    <row r="2" spans="1:9" ht="20.25" customHeight="1" x14ac:dyDescent="0.3">
      <c r="A2" s="83"/>
      <c r="B2" s="83"/>
      <c r="D2" s="83"/>
      <c r="E2" s="83"/>
      <c r="G2" s="83"/>
      <c r="H2" s="83"/>
      <c r="I2" t="s">
        <v>81</v>
      </c>
    </row>
    <row r="3" spans="1:9" x14ac:dyDescent="0.3">
      <c r="A3" s="89" t="s">
        <v>245</v>
      </c>
      <c r="B3" s="89" t="s">
        <v>170</v>
      </c>
      <c r="D3" s="89" t="s">
        <v>245</v>
      </c>
      <c r="E3" s="89" t="s">
        <v>170</v>
      </c>
      <c r="G3" s="89" t="s">
        <v>245</v>
      </c>
      <c r="H3" s="89" t="s">
        <v>170</v>
      </c>
    </row>
    <row r="4" spans="1:9" x14ac:dyDescent="0.3">
      <c r="A4" t="s">
        <v>246</v>
      </c>
      <c r="B4" s="84">
        <v>724100</v>
      </c>
      <c r="D4" s="27" t="s">
        <v>247</v>
      </c>
      <c r="E4" s="85">
        <v>2212622</v>
      </c>
      <c r="G4" s="27" t="s">
        <v>248</v>
      </c>
      <c r="H4" s="85">
        <v>22616441</v>
      </c>
    </row>
    <row r="5" spans="1:9" x14ac:dyDescent="0.3">
      <c r="A5" t="s">
        <v>249</v>
      </c>
      <c r="B5" s="84">
        <v>3320078</v>
      </c>
      <c r="D5" s="27" t="s">
        <v>250</v>
      </c>
      <c r="E5" s="85">
        <v>87954</v>
      </c>
      <c r="G5" s="27" t="s">
        <v>250</v>
      </c>
      <c r="H5" s="85">
        <v>764686</v>
      </c>
    </row>
    <row r="6" spans="1:9" x14ac:dyDescent="0.3">
      <c r="A6" t="s">
        <v>251</v>
      </c>
      <c r="B6" s="84">
        <v>1885245</v>
      </c>
      <c r="D6" s="27" t="s">
        <v>252</v>
      </c>
      <c r="E6" s="85">
        <v>2950799</v>
      </c>
      <c r="G6" s="27" t="s">
        <v>252</v>
      </c>
      <c r="H6" s="85">
        <v>2374129</v>
      </c>
      <c r="I6" s="51" t="s">
        <v>253</v>
      </c>
    </row>
    <row r="7" spans="1:9" x14ac:dyDescent="0.3">
      <c r="A7" t="s">
        <v>254</v>
      </c>
      <c r="B7" s="84">
        <v>300000</v>
      </c>
      <c r="D7" s="27" t="s">
        <v>248</v>
      </c>
      <c r="E7" s="85">
        <v>11378338</v>
      </c>
      <c r="G7" s="27" t="s">
        <v>247</v>
      </c>
      <c r="H7" s="85">
        <v>2426417</v>
      </c>
    </row>
    <row r="8" spans="1:9" x14ac:dyDescent="0.3">
      <c r="A8" t="s">
        <v>255</v>
      </c>
      <c r="B8" s="84">
        <v>13190694</v>
      </c>
      <c r="D8" s="86" t="s">
        <v>75</v>
      </c>
      <c r="E8" s="108">
        <v>16629713</v>
      </c>
      <c r="G8" s="86" t="s">
        <v>234</v>
      </c>
      <c r="H8" s="108">
        <f>SUM(H4:H7)</f>
        <v>28181673</v>
      </c>
    </row>
    <row r="9" spans="1:9" x14ac:dyDescent="0.3">
      <c r="A9" s="86" t="s">
        <v>75</v>
      </c>
      <c r="B9" s="108">
        <v>19420117</v>
      </c>
    </row>
    <row r="11" spans="1:9" s="43" customFormat="1" ht="30.75" customHeight="1" x14ac:dyDescent="0.3">
      <c r="A11" s="159" t="s">
        <v>172</v>
      </c>
      <c r="B11" s="159"/>
      <c r="D11" s="159" t="s">
        <v>163</v>
      </c>
      <c r="E11" s="159"/>
      <c r="G11" s="159" t="s">
        <v>173</v>
      </c>
      <c r="H11" s="159"/>
    </row>
    <row r="12" spans="1:9" s="43" customFormat="1" ht="13.8" x14ac:dyDescent="0.3">
      <c r="D12" s="34"/>
      <c r="E12" s="34"/>
    </row>
    <row r="13" spans="1:9" s="43" customFormat="1" ht="30.75" customHeight="1" x14ac:dyDescent="0.3">
      <c r="A13" s="159" t="s">
        <v>171</v>
      </c>
      <c r="B13" s="159"/>
    </row>
  </sheetData>
  <mergeCells count="7">
    <mergeCell ref="A13:B13"/>
    <mergeCell ref="A1:B1"/>
    <mergeCell ref="D1:E1"/>
    <mergeCell ref="G1:H1"/>
    <mergeCell ref="A11:B11"/>
    <mergeCell ref="D11:E11"/>
    <mergeCell ref="G11:H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1221-A98C-47D2-9286-7DCE6A65B0F4}">
  <dimension ref="A1:E15"/>
  <sheetViews>
    <sheetView workbookViewId="0">
      <selection activeCell="A10" sqref="A10:D10"/>
    </sheetView>
  </sheetViews>
  <sheetFormatPr baseColWidth="10" defaultColWidth="11.44140625" defaultRowHeight="14.4" x14ac:dyDescent="0.3"/>
  <cols>
    <col min="1" max="1" width="22.109375" style="56" customWidth="1"/>
    <col min="2" max="2" width="3.88671875" style="56" customWidth="1"/>
    <col min="3" max="5" width="18.88671875" style="56" customWidth="1"/>
    <col min="6" max="16384" width="11.44140625" style="56"/>
  </cols>
  <sheetData>
    <row r="1" spans="1:5" ht="35.25" customHeight="1" x14ac:dyDescent="0.3">
      <c r="A1" s="156" t="s">
        <v>257</v>
      </c>
      <c r="B1" s="156"/>
      <c r="C1" s="156"/>
      <c r="D1" s="156"/>
      <c r="E1" s="156"/>
    </row>
    <row r="2" spans="1:5" ht="18.75" customHeight="1" x14ac:dyDescent="0.3">
      <c r="A2" s="73"/>
      <c r="B2" s="73"/>
      <c r="C2" s="73"/>
      <c r="D2" s="73"/>
    </row>
    <row r="3" spans="1:5" x14ac:dyDescent="0.3">
      <c r="A3" s="89" t="s">
        <v>258</v>
      </c>
      <c r="B3" s="87"/>
      <c r="C3" s="160" t="s">
        <v>170</v>
      </c>
      <c r="D3" s="160"/>
      <c r="E3" s="160"/>
    </row>
    <row r="4" spans="1:5" x14ac:dyDescent="0.3">
      <c r="C4" s="104" t="s">
        <v>3</v>
      </c>
      <c r="D4" s="104" t="s">
        <v>4</v>
      </c>
      <c r="E4" s="104" t="s">
        <v>59</v>
      </c>
    </row>
    <row r="5" spans="1:5" x14ac:dyDescent="0.3">
      <c r="A5" s="14" t="s">
        <v>9</v>
      </c>
      <c r="B5" s="14"/>
      <c r="C5" s="65">
        <v>3759203</v>
      </c>
      <c r="D5" s="65">
        <v>4000723</v>
      </c>
      <c r="E5" s="65">
        <v>5701748</v>
      </c>
    </row>
    <row r="6" spans="1:5" x14ac:dyDescent="0.3">
      <c r="A6" s="14" t="s">
        <v>259</v>
      </c>
      <c r="B6" s="14"/>
      <c r="C6" s="65">
        <v>727720</v>
      </c>
      <c r="D6" s="65">
        <v>750500</v>
      </c>
      <c r="E6" s="65">
        <v>640000</v>
      </c>
    </row>
    <row r="7" spans="1:5" x14ac:dyDescent="0.3">
      <c r="A7" s="109" t="s">
        <v>75</v>
      </c>
      <c r="C7" s="117">
        <v>4486923</v>
      </c>
      <c r="D7" s="117">
        <f>SUM(D5:D6)</f>
        <v>4751223</v>
      </c>
      <c r="E7" s="117">
        <f>SUM(E5:E6)</f>
        <v>6341748</v>
      </c>
    </row>
    <row r="8" spans="1:5" x14ac:dyDescent="0.3">
      <c r="C8" s="53"/>
      <c r="D8" s="53"/>
    </row>
    <row r="9" spans="1:5" ht="32.1" customHeight="1" x14ac:dyDescent="0.3">
      <c r="A9" s="161" t="s">
        <v>172</v>
      </c>
      <c r="B9" s="161"/>
      <c r="C9" s="161"/>
      <c r="D9" s="161"/>
    </row>
    <row r="10" spans="1:5" ht="31.5" customHeight="1" x14ac:dyDescent="0.3">
      <c r="A10" s="161" t="s">
        <v>171</v>
      </c>
      <c r="B10" s="161"/>
      <c r="C10" s="161"/>
      <c r="D10" s="161"/>
    </row>
    <row r="11" spans="1:5" x14ac:dyDescent="0.3">
      <c r="A11" s="107"/>
      <c r="B11" s="107"/>
      <c r="C11" s="107"/>
      <c r="D11" s="107"/>
    </row>
    <row r="12" spans="1:5" x14ac:dyDescent="0.3">
      <c r="A12" s="107"/>
      <c r="B12" s="107"/>
      <c r="C12" s="107"/>
      <c r="D12" s="107"/>
    </row>
    <row r="13" spans="1:5" ht="30.75" customHeight="1" x14ac:dyDescent="0.3">
      <c r="A13" s="161" t="s">
        <v>163</v>
      </c>
      <c r="B13" s="161"/>
      <c r="C13" s="161"/>
      <c r="D13" s="161"/>
    </row>
    <row r="14" spans="1:5" x14ac:dyDescent="0.3">
      <c r="A14" s="107"/>
      <c r="B14" s="107"/>
      <c r="C14" s="107"/>
      <c r="D14" s="107"/>
    </row>
    <row r="15" spans="1:5" x14ac:dyDescent="0.3">
      <c r="A15" s="107"/>
      <c r="B15" s="107"/>
      <c r="C15" s="107"/>
      <c r="D15" s="107"/>
    </row>
  </sheetData>
  <mergeCells count="5">
    <mergeCell ref="C3:E3"/>
    <mergeCell ref="A9:D9"/>
    <mergeCell ref="A10:D10"/>
    <mergeCell ref="A13:D13"/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3E9B-666C-4AB8-BCCD-0B162C289B74}">
  <dimension ref="A1:J20"/>
  <sheetViews>
    <sheetView topLeftCell="B1" zoomScaleNormal="100" workbookViewId="0">
      <selection activeCell="F27" sqref="F27"/>
    </sheetView>
  </sheetViews>
  <sheetFormatPr baseColWidth="10" defaultColWidth="11.44140625" defaultRowHeight="14.4" x14ac:dyDescent="0.3"/>
  <cols>
    <col min="1" max="1" width="96.33203125" style="56" customWidth="1"/>
    <col min="2" max="2" width="3.33203125" style="56" customWidth="1"/>
    <col min="3" max="3" width="21.88671875" style="56" customWidth="1"/>
    <col min="4" max="4" width="3.33203125" style="56" customWidth="1"/>
    <col min="5" max="5" width="14.6640625" style="56" customWidth="1"/>
    <col min="6" max="6" width="12.33203125" style="56" customWidth="1"/>
    <col min="7" max="7" width="4.33203125" style="56" customWidth="1"/>
    <col min="8" max="8" width="14.44140625" style="56" customWidth="1"/>
    <col min="9" max="9" width="12.5546875" style="56" customWidth="1"/>
    <col min="10" max="16384" width="11.44140625" style="56"/>
  </cols>
  <sheetData>
    <row r="1" spans="1:10" ht="15.6" x14ac:dyDescent="0.3">
      <c r="A1" s="165" t="s">
        <v>55</v>
      </c>
      <c r="B1" s="165"/>
      <c r="C1" s="165"/>
      <c r="D1" s="165"/>
      <c r="E1" s="165"/>
      <c r="F1" s="165"/>
      <c r="G1" s="71"/>
    </row>
    <row r="2" spans="1:10" ht="15.6" x14ac:dyDescent="0.3">
      <c r="A2" s="71"/>
      <c r="B2" s="71"/>
      <c r="C2" s="71"/>
      <c r="D2" s="71"/>
      <c r="E2" s="71"/>
      <c r="F2" s="71"/>
      <c r="G2" s="71"/>
    </row>
    <row r="3" spans="1:10" ht="15.6" x14ac:dyDescent="0.3">
      <c r="A3" s="166" t="s">
        <v>79</v>
      </c>
      <c r="B3" s="53"/>
      <c r="C3" s="87" t="s">
        <v>170</v>
      </c>
      <c r="D3" s="87"/>
      <c r="E3" s="160" t="s">
        <v>170</v>
      </c>
      <c r="F3" s="160"/>
      <c r="G3" s="71"/>
      <c r="H3" s="160" t="s">
        <v>170</v>
      </c>
      <c r="I3" s="160"/>
    </row>
    <row r="4" spans="1:10" ht="15.6" x14ac:dyDescent="0.3">
      <c r="A4" s="167"/>
      <c r="B4" s="53"/>
      <c r="C4" s="29"/>
      <c r="D4" s="53"/>
      <c r="E4" s="54" t="s">
        <v>223</v>
      </c>
      <c r="F4" s="54" t="s">
        <v>222</v>
      </c>
      <c r="G4" s="71"/>
      <c r="H4" s="54" t="s">
        <v>223</v>
      </c>
      <c r="I4" s="54" t="s">
        <v>222</v>
      </c>
    </row>
    <row r="5" spans="1:10" s="118" customFormat="1" ht="15.6" x14ac:dyDescent="0.3">
      <c r="A5" s="53"/>
      <c r="B5" s="53"/>
      <c r="C5" s="53" t="s">
        <v>3</v>
      </c>
      <c r="D5" s="53"/>
      <c r="E5" s="168" t="s">
        <v>4</v>
      </c>
      <c r="F5" s="168"/>
      <c r="G5" s="71"/>
      <c r="H5" s="168" t="s">
        <v>59</v>
      </c>
      <c r="I5" s="168"/>
    </row>
    <row r="6" spans="1:10" ht="15.6" x14ac:dyDescent="0.3">
      <c r="A6" s="14" t="s">
        <v>260</v>
      </c>
      <c r="B6" s="14"/>
      <c r="C6" s="119">
        <v>1356387</v>
      </c>
      <c r="D6" s="14"/>
      <c r="E6" s="119">
        <v>5232708</v>
      </c>
      <c r="F6" s="14">
        <v>0</v>
      </c>
      <c r="G6" s="71"/>
      <c r="H6" s="119">
        <v>12149152</v>
      </c>
      <c r="I6" s="14">
        <v>0</v>
      </c>
      <c r="J6" s="57" t="s">
        <v>261</v>
      </c>
    </row>
    <row r="7" spans="1:10" ht="15.6" x14ac:dyDescent="0.3">
      <c r="A7" s="14" t="s">
        <v>262</v>
      </c>
      <c r="B7" s="14"/>
      <c r="C7" s="119">
        <v>152047504</v>
      </c>
      <c r="D7" s="14"/>
      <c r="E7" s="119">
        <v>152995708</v>
      </c>
      <c r="F7" s="119">
        <v>25117401</v>
      </c>
      <c r="G7" s="71"/>
      <c r="H7" s="119">
        <v>155147023</v>
      </c>
      <c r="I7" s="119">
        <v>31629007</v>
      </c>
      <c r="J7" s="57" t="s">
        <v>263</v>
      </c>
    </row>
    <row r="8" spans="1:10" ht="15.6" x14ac:dyDescent="0.3">
      <c r="A8" s="14" t="s">
        <v>264</v>
      </c>
      <c r="B8" s="14"/>
      <c r="C8" s="119">
        <v>12043566</v>
      </c>
      <c r="D8" s="14"/>
      <c r="E8" s="119">
        <v>17829614</v>
      </c>
      <c r="F8" s="14">
        <v>0</v>
      </c>
      <c r="G8" s="71"/>
      <c r="H8" s="119">
        <v>18767678</v>
      </c>
      <c r="I8" s="14">
        <v>0</v>
      </c>
      <c r="J8" s="57" t="s">
        <v>231</v>
      </c>
    </row>
    <row r="9" spans="1:10" ht="15.6" x14ac:dyDescent="0.3">
      <c r="A9" s="14" t="s">
        <v>265</v>
      </c>
      <c r="B9" s="14"/>
      <c r="C9" s="119">
        <v>10682946</v>
      </c>
      <c r="D9" s="14"/>
      <c r="E9" s="119">
        <v>5111030</v>
      </c>
      <c r="F9" s="14">
        <v>0</v>
      </c>
      <c r="G9" s="71"/>
      <c r="H9" s="119">
        <v>6483400</v>
      </c>
      <c r="I9" s="14">
        <v>0</v>
      </c>
      <c r="J9" s="57"/>
    </row>
    <row r="10" spans="1:10" ht="15.6" x14ac:dyDescent="0.3">
      <c r="A10" s="14" t="s">
        <v>266</v>
      </c>
      <c r="B10" s="14"/>
      <c r="C10" s="119">
        <v>19420117</v>
      </c>
      <c r="D10" s="14"/>
      <c r="E10" s="119">
        <v>16629713</v>
      </c>
      <c r="F10" s="14">
        <v>0</v>
      </c>
      <c r="G10" s="71"/>
      <c r="H10" s="119">
        <v>28181673</v>
      </c>
      <c r="I10" s="14">
        <v>0</v>
      </c>
      <c r="J10" s="57"/>
    </row>
    <row r="11" spans="1:10" ht="28.8" x14ac:dyDescent="0.3">
      <c r="A11" s="24" t="s">
        <v>267</v>
      </c>
      <c r="B11" s="24"/>
      <c r="C11" s="120">
        <v>2193820</v>
      </c>
      <c r="D11" s="24"/>
      <c r="E11" s="119">
        <v>1686160</v>
      </c>
      <c r="F11" s="14">
        <v>0</v>
      </c>
      <c r="G11" s="71"/>
      <c r="H11" s="119">
        <v>2331053</v>
      </c>
      <c r="I11" s="14">
        <v>0</v>
      </c>
      <c r="J11" s="57"/>
    </row>
    <row r="12" spans="1:10" ht="15.6" x14ac:dyDescent="0.3">
      <c r="A12" s="121" t="s">
        <v>268</v>
      </c>
      <c r="B12" s="121"/>
      <c r="C12" s="122">
        <v>4486923</v>
      </c>
      <c r="D12" s="121"/>
      <c r="E12" s="119">
        <v>4751223</v>
      </c>
      <c r="F12" s="14">
        <v>0</v>
      </c>
      <c r="G12" s="71"/>
      <c r="H12" s="119">
        <v>6341748</v>
      </c>
      <c r="I12" s="14">
        <v>0</v>
      </c>
      <c r="J12" s="57"/>
    </row>
    <row r="13" spans="1:10" ht="15.6" x14ac:dyDescent="0.3">
      <c r="A13" s="121" t="s">
        <v>269</v>
      </c>
      <c r="B13" s="121"/>
      <c r="C13" s="123">
        <v>64696752</v>
      </c>
      <c r="D13" s="121"/>
      <c r="E13" s="119">
        <v>51704252</v>
      </c>
      <c r="F13" s="14">
        <v>0</v>
      </c>
      <c r="G13" s="71"/>
      <c r="H13" s="119">
        <v>64983625</v>
      </c>
      <c r="I13" s="14">
        <v>0</v>
      </c>
      <c r="J13" s="57" t="s">
        <v>270</v>
      </c>
    </row>
    <row r="14" spans="1:10" ht="15.6" x14ac:dyDescent="0.3">
      <c r="A14" s="124" t="s">
        <v>75</v>
      </c>
      <c r="B14" s="121"/>
      <c r="C14" s="125">
        <v>266928015</v>
      </c>
      <c r="D14" s="121"/>
      <c r="E14" s="126">
        <f>SUM(E6:E13)</f>
        <v>255940408</v>
      </c>
      <c r="F14" s="127">
        <v>25117401</v>
      </c>
      <c r="G14" s="71"/>
      <c r="H14" s="126">
        <f>SUM(H6:H13)</f>
        <v>294385352</v>
      </c>
      <c r="I14" s="126">
        <f>SUM(I6:I13)</f>
        <v>31629007</v>
      </c>
      <c r="J14" s="57" t="s">
        <v>183</v>
      </c>
    </row>
    <row r="15" spans="1:10" ht="15.6" x14ac:dyDescent="0.3">
      <c r="E15" s="162">
        <f>SUM(E14:F14)</f>
        <v>281057809</v>
      </c>
      <c r="F15" s="162"/>
      <c r="G15" s="71"/>
      <c r="H15" s="162">
        <f>SUM(H14:I14)</f>
        <v>326014359</v>
      </c>
      <c r="I15" s="162"/>
    </row>
    <row r="17" spans="1:7" s="44" customFormat="1" ht="32.25" customHeight="1" x14ac:dyDescent="0.3">
      <c r="A17" s="163" t="s">
        <v>271</v>
      </c>
      <c r="B17" s="163"/>
      <c r="C17" s="163"/>
      <c r="D17" s="163"/>
      <c r="E17" s="163"/>
      <c r="F17" s="163"/>
      <c r="G17" s="71"/>
    </row>
    <row r="18" spans="1:7" s="44" customFormat="1" ht="13.8" x14ac:dyDescent="0.3">
      <c r="A18" s="129" t="s">
        <v>171</v>
      </c>
      <c r="B18" s="129"/>
      <c r="C18" s="129"/>
      <c r="D18" s="129"/>
      <c r="E18" s="129"/>
      <c r="F18" s="129"/>
      <c r="G18" s="128"/>
    </row>
    <row r="19" spans="1:7" s="44" customFormat="1" ht="13.8" x14ac:dyDescent="0.3">
      <c r="A19" s="129"/>
      <c r="B19" s="129"/>
      <c r="C19" s="129"/>
      <c r="D19" s="129"/>
      <c r="E19" s="129"/>
      <c r="F19" s="129"/>
      <c r="G19" s="128"/>
    </row>
    <row r="20" spans="1:7" s="44" customFormat="1" ht="13.8" x14ac:dyDescent="0.3">
      <c r="A20" s="164" t="s">
        <v>163</v>
      </c>
      <c r="B20" s="164"/>
      <c r="C20" s="164"/>
      <c r="D20" s="164"/>
      <c r="E20" s="164"/>
      <c r="F20" s="164"/>
      <c r="G20" s="128"/>
    </row>
  </sheetData>
  <mergeCells count="10">
    <mergeCell ref="E15:F15"/>
    <mergeCell ref="H15:I15"/>
    <mergeCell ref="A17:F17"/>
    <mergeCell ref="A20:F20"/>
    <mergeCell ref="A1:F1"/>
    <mergeCell ref="A3:A4"/>
    <mergeCell ref="E3:F3"/>
    <mergeCell ref="H3:I3"/>
    <mergeCell ref="E5:F5"/>
    <mergeCell ref="H5:I5"/>
  </mergeCells>
  <pageMargins left="0.7" right="0.7" top="0.75" bottom="0.75" header="0.3" footer="0.3"/>
  <pageSetup paperSize="1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 M2</vt:lpstr>
      <vt:lpstr>M2-001</vt:lpstr>
      <vt:lpstr>M2-007</vt:lpstr>
      <vt:lpstr>M2-027</vt:lpstr>
      <vt:lpstr>M2-037</vt:lpstr>
      <vt:lpstr>M2-038</vt:lpstr>
      <vt:lpstr>M2-039</vt:lpstr>
      <vt:lpstr>M2-041</vt:lpstr>
      <vt:lpstr>M2-043</vt:lpstr>
      <vt:lpstr>M2-046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Eira Arispe</dc:creator>
  <cp:lastModifiedBy>Admin</cp:lastModifiedBy>
  <dcterms:created xsi:type="dcterms:W3CDTF">2026-06-01T16:10:17Z</dcterms:created>
  <dcterms:modified xsi:type="dcterms:W3CDTF">2026-06-09T18:12:46Z</dcterms:modified>
</cp:coreProperties>
</file>
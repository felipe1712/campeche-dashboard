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DECEBA5-E5A0-4996-B474-663AC888D947}" xr6:coauthVersionLast="47" xr6:coauthVersionMax="47" xr10:uidLastSave="{00000000-0000-0000-0000-000000000000}"/>
  <bookViews>
    <workbookView xWindow="-108" yWindow="-108" windowWidth="41496" windowHeight="16896" tabRatio="760" xr2:uid="{00000000-000D-0000-FFFF-FFFF00000000}"/>
  </bookViews>
  <sheets>
    <sheet name="INDICE" sheetId="85" r:id="rId1"/>
    <sheet name="M4-009" sheetId="78" state="hidden" r:id="rId2"/>
    <sheet name="M4-011" sheetId="54" state="hidden" r:id="rId3"/>
    <sheet name="M4-014" sheetId="5" r:id="rId4"/>
    <sheet name="M4-015" sheetId="3" r:id="rId5"/>
    <sheet name="M4-017" sheetId="62" state="hidden" r:id="rId6"/>
    <sheet name="M4-020" sheetId="16" r:id="rId7"/>
    <sheet name="M4-022" sheetId="18" r:id="rId8"/>
    <sheet name="M4-049" sheetId="83" r:id="rId9"/>
    <sheet name="M4-050" sheetId="81" r:id="rId10"/>
    <sheet name="M4-051" sheetId="56" r:id="rId11"/>
    <sheet name="M4-058" sheetId="84" r:id="rId12"/>
    <sheet name="M4-066" sheetId="25" state="hidden" r:id="rId13"/>
    <sheet name="M4-079" sheetId="69" state="hidden" r:id="rId14"/>
    <sheet name="Coyuntura1" sheetId="74" state="hidden" r:id="rId15"/>
    <sheet name="Coyuntura2" sheetId="75" state="hidden" r:id="rId16"/>
    <sheet name="Coyuntura3" sheetId="76" state="hidden" r:id="rId17"/>
    <sheet name="Coyuntura4" sheetId="77" state="hidden" r:id="rId18"/>
  </sheets>
  <definedNames>
    <definedName name="_xlnm._FilterDatabase" localSheetId="0" hidden="1">INDICE!$A$1:$J$9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7" i="84" l="1"/>
  <c r="M17" i="84"/>
  <c r="K17" i="84"/>
  <c r="J17" i="84"/>
  <c r="E17" i="56"/>
  <c r="B17" i="56"/>
  <c r="P38" i="83"/>
  <c r="O37" i="83"/>
  <c r="O36" i="83"/>
  <c r="O33" i="83"/>
  <c r="O28" i="83"/>
  <c r="O27" i="83"/>
  <c r="O25" i="83"/>
  <c r="O24" i="83"/>
  <c r="N38" i="83"/>
  <c r="K38" i="83"/>
  <c r="J38" i="83"/>
  <c r="I38" i="83"/>
  <c r="H38" i="83"/>
  <c r="G38" i="83"/>
  <c r="F38" i="83"/>
  <c r="D38" i="83"/>
  <c r="C38" i="83"/>
  <c r="B38" i="83"/>
  <c r="P15" i="18"/>
  <c r="O15" i="18"/>
  <c r="N16" i="16"/>
  <c r="M16" i="16"/>
  <c r="M30" i="3"/>
  <c r="K30" i="3"/>
  <c r="J30" i="3"/>
  <c r="G35" i="5"/>
  <c r="F35" i="5"/>
  <c r="E35" i="5"/>
  <c r="D35" i="5"/>
  <c r="C35" i="5"/>
  <c r="B35" i="5"/>
  <c r="O38" i="83" l="1"/>
</calcChain>
</file>

<file path=xl/sharedStrings.xml><?xml version="1.0" encoding="utf-8"?>
<sst xmlns="http://schemas.openxmlformats.org/spreadsheetml/2006/main" count="863" uniqueCount="417">
  <si>
    <t>Acciones del programa de sanidad e inocuidad agroalimentaria - salud acuícola y pesquera por municipio, 2024.</t>
  </si>
  <si>
    <t>MUNICIPIO</t>
  </si>
  <si>
    <t>PLÁTICAS</t>
  </si>
  <si>
    <t>ACCIONES DE MONITOREO</t>
  </si>
  <si>
    <t>SEGUIMIENTO A LAS UNIDADES DE PRODUCCIÓN</t>
  </si>
  <si>
    <t>CERTIFICACIONES DE INOCUIDAD</t>
  </si>
  <si>
    <t>CALAKMUL</t>
  </si>
  <si>
    <t>CAMPECHE</t>
  </si>
  <si>
    <t>CANDELARIA</t>
  </si>
  <si>
    <t>CARMEN</t>
  </si>
  <si>
    <t>PALIZADA</t>
  </si>
  <si>
    <t>SEYBAPLAYA</t>
  </si>
  <si>
    <t>TENABO</t>
  </si>
  <si>
    <t>Acciones del programa de sanidad e inocuidad agroalimentaria - salud vegetal por municipio, 2024.</t>
  </si>
  <si>
    <t>PLÁTICAS A PRODUCTORES</t>
  </si>
  <si>
    <t>ACCIONES DE CONTROL</t>
  </si>
  <si>
    <t>TRAMPEO</t>
  </si>
  <si>
    <t>SEGUIMIENTO A LAS UNIDADES DE PRODUCCIÓN PARA TEMAS DE INOCUIDAD</t>
  </si>
  <si>
    <t>CERTIFICACIÓN DE INOCUIDAD A LAS UNIDADES DE PRODUCCIÓN</t>
  </si>
  <si>
    <t>BENEFICIARIOS</t>
  </si>
  <si>
    <t>PUERTO</t>
  </si>
  <si>
    <t>Fuente: Gobierno del Estado de Campeche. Administración Portuaria Integral de Campeche, S.A. de C.V. Dirección de Planeación. 2025</t>
  </si>
  <si>
    <t>Fuente: Gobierno del Estado de Campeche. Administración Portuaria Integral de Campeche, S.A. de C.V. Dirección de Planeación. 2025.</t>
  </si>
  <si>
    <t>HECTÁREAS</t>
  </si>
  <si>
    <t>Fuente: Gobierno del Estado de Campeche. Secretaría de Desarrollo Agropecuario. Dirección General de Atención a Productores y Programas de Desarrollo Agropecuario. 2025.</t>
  </si>
  <si>
    <t>Fuente: Gobierno del Estado de Campeche. Secretaría de Desarrollo Agropecuario. Dirección General de Fomento Agrícola. 2025.</t>
  </si>
  <si>
    <t>Beneficiarios de los apoyos de entrega de semilla de maíz por municipio, 2024.</t>
  </si>
  <si>
    <t>SEMILLA DE MAÍZ (BULTOS)</t>
  </si>
  <si>
    <t>Beneficiarios del apoyo para la productividad de los cultivos hortícolas por municipio, 2024.</t>
  </si>
  <si>
    <t>TOTAL</t>
  </si>
  <si>
    <t>Fuente: Gobierno del Estado de Campeche. Fideicomiso Fondo Campeche. Subdirección de Vinculación y Seguimiento Institucional. 2025.</t>
  </si>
  <si>
    <t>Créditos otorgados con intermediarios financieros no bancarios por municipio según sexo, 2024.</t>
  </si>
  <si>
    <t>Fuente: Gobierno del Estado de Campeche. Secretaría de Turismo. 2025</t>
  </si>
  <si>
    <t>CALKINÍ</t>
  </si>
  <si>
    <t>DZITBALCHÉ</t>
  </si>
  <si>
    <t>ESCÁRCEGA</t>
  </si>
  <si>
    <t>HECELCHAKÁN</t>
  </si>
  <si>
    <t>HOPELCHÉN</t>
  </si>
  <si>
    <t>ESPECIE</t>
  </si>
  <si>
    <t>REGISTRO NACIONAL DE TURISMO</t>
  </si>
  <si>
    <t>Inventario de maquinaria agropecuaria por tipo, 2024.</t>
  </si>
  <si>
    <t>TIPO DE MAQUINARIA</t>
  </si>
  <si>
    <t>OPERANDO</t>
  </si>
  <si>
    <t>NO OPERABLE</t>
  </si>
  <si>
    <t>INVERSIÓN (PESOS)</t>
  </si>
  <si>
    <t>Estudios y seguimiento ambiental</t>
  </si>
  <si>
    <t>Inversión en obras de construcción y mantenimiento por puerto, 2024.</t>
  </si>
  <si>
    <t>CONSTRUCCIÓN</t>
  </si>
  <si>
    <t>MANTENIMIENTO</t>
  </si>
  <si>
    <t>SEÑALAMIENTO MARÍTIMO</t>
  </si>
  <si>
    <t>INVERSIÓN TOTAL (PESOS)</t>
  </si>
  <si>
    <t>Isla de Carmen</t>
  </si>
  <si>
    <t>Lerma</t>
  </si>
  <si>
    <t>Seybaplaya</t>
  </si>
  <si>
    <t>Otros puertos concesionados</t>
  </si>
  <si>
    <t>Champotón</t>
  </si>
  <si>
    <t>Número de dosis entregadas de control biológico, en apoyo a productores agrícolas por municipio, 2024.</t>
  </si>
  <si>
    <t>DOSIS ENTREGADAS</t>
  </si>
  <si>
    <t>Fuente: Gobierno del Estado de Campeche. Instituto Estatal para el Fomento de las Actividades Artesanales en Campeche. Dirección de Planeación, Evaluación y Control. 2025.</t>
  </si>
  <si>
    <t>Personas artesanas beneficiadas con equipo y/o material para impulsar la producción por municipio, 2024.</t>
  </si>
  <si>
    <t>EQUIPO/MATERIAL</t>
  </si>
  <si>
    <t>Recurso económico para compra de materia prima</t>
  </si>
  <si>
    <t>Producción agrícola en el estado, 2024.</t>
  </si>
  <si>
    <t>CULTIVO</t>
  </si>
  <si>
    <t>RENDIMIENTO (%)</t>
  </si>
  <si>
    <t>Aguacate</t>
  </si>
  <si>
    <t>Arroz palay</t>
  </si>
  <si>
    <t>Cacahuate</t>
  </si>
  <si>
    <t>Calabacita</t>
  </si>
  <si>
    <t>Caña de azúcar</t>
  </si>
  <si>
    <t>Chile verde</t>
  </si>
  <si>
    <t>Ciruela</t>
  </si>
  <si>
    <t>Chihua</t>
  </si>
  <si>
    <t>Copra</t>
  </si>
  <si>
    <t>Frijol</t>
  </si>
  <si>
    <t>Guanábana</t>
  </si>
  <si>
    <t>Jamaica</t>
  </si>
  <si>
    <t>Jícama</t>
  </si>
  <si>
    <t>Limón</t>
  </si>
  <si>
    <t>Maíz</t>
  </si>
  <si>
    <t>Mamey</t>
  </si>
  <si>
    <t>Mandarina</t>
  </si>
  <si>
    <t>Mango</t>
  </si>
  <si>
    <t>Marañón</t>
  </si>
  <si>
    <t>Nanche</t>
  </si>
  <si>
    <t>Naranja</t>
  </si>
  <si>
    <t>Palma de aceite</t>
  </si>
  <si>
    <t>Papaya</t>
  </si>
  <si>
    <t>Pepino</t>
  </si>
  <si>
    <t>Pimienta</t>
  </si>
  <si>
    <t>Piña</t>
  </si>
  <si>
    <t>Plátano</t>
  </si>
  <si>
    <t>Sábila</t>
  </si>
  <si>
    <t>Sandía</t>
  </si>
  <si>
    <t>Sorgo</t>
  </si>
  <si>
    <t>Soya</t>
  </si>
  <si>
    <t>Tamarindo</t>
  </si>
  <si>
    <t>Tomate rojo</t>
  </si>
  <si>
    <t>Toronja</t>
  </si>
  <si>
    <t>Zapote</t>
  </si>
  <si>
    <t>Producción ganadera en el estado, 2024.</t>
  </si>
  <si>
    <t>PRODUCTO/ESPECIE</t>
  </si>
  <si>
    <t>PRODUCCIÓN (TONELADAS)</t>
  </si>
  <si>
    <t>VALOR DE LA PRODUCCIÓN (MILES DE PESOS)</t>
  </si>
  <si>
    <t>Cera</t>
  </si>
  <si>
    <t>Huevo</t>
  </si>
  <si>
    <t>Miel</t>
  </si>
  <si>
    <t>Producción pesquera y acuícola por especie y municipio, 2024.</t>
  </si>
  <si>
    <t>Pulpo</t>
  </si>
  <si>
    <t>Robalo</t>
  </si>
  <si>
    <t>Jaiba</t>
  </si>
  <si>
    <t>Sierra</t>
  </si>
  <si>
    <t>Corvina</t>
  </si>
  <si>
    <t>Otros crustáceos y moluscos</t>
  </si>
  <si>
    <t>Tiburón, Cazón y Raya</t>
  </si>
  <si>
    <t>Escama y otros</t>
  </si>
  <si>
    <t>Fuente: Comisión Nacional de Acuacultura y Pesca. Subdelegación de Pesca en Campeche. 2025</t>
  </si>
  <si>
    <t>Producción pesquera y acuícola por especie, 2024.</t>
  </si>
  <si>
    <t>VOLUMEN (TONELADAS)</t>
  </si>
  <si>
    <t>VALOR (MILLONES DE PESOS)</t>
  </si>
  <si>
    <t>Productores agropecuarios apoyados con seguro de vida por municipio, 2024.</t>
  </si>
  <si>
    <t>PRODUCTORES ASEGURADOS</t>
  </si>
  <si>
    <t>Resumen de inversiones de la Administración Portuaria Integral de Campeche, 2024.</t>
  </si>
  <si>
    <t>OBRA</t>
  </si>
  <si>
    <t>Obras de construcción y mantenimiento</t>
  </si>
  <si>
    <t>Construcción</t>
  </si>
  <si>
    <t>Mantenimiento</t>
  </si>
  <si>
    <t>Señalamiento marítimo</t>
  </si>
  <si>
    <t>Obras en refugios pesqueros ribereños</t>
  </si>
  <si>
    <t>Obras sociales</t>
  </si>
  <si>
    <t>Estudios y proyectos</t>
  </si>
  <si>
    <t xml:space="preserve">Estudios y proyectos de infraestructura </t>
  </si>
  <si>
    <t>Fuente: Gobierno del Estado de Campeche. Secretaría de Desarrollo Agropecuario. Unidad Administrativa. 2025.</t>
  </si>
  <si>
    <t>Servicios turísticos de apoyo según municipio, 2024</t>
  </si>
  <si>
    <t>SERVICIOS TURÍSTICOS DE APOYO</t>
  </si>
  <si>
    <t>CHAMPOTÓN</t>
  </si>
  <si>
    <t>Agencias de viajes</t>
  </si>
  <si>
    <t>Arrendadoras de Autos</t>
  </si>
  <si>
    <t>Balnearios</t>
  </si>
  <si>
    <t>Bares</t>
  </si>
  <si>
    <t>Cafeterías</t>
  </si>
  <si>
    <t>Campos de golf</t>
  </si>
  <si>
    <t>Centros de Convenciones</t>
  </si>
  <si>
    <t>Centros de enseñanza turística</t>
  </si>
  <si>
    <t>Discotecas y centros nocturnos</t>
  </si>
  <si>
    <t>Guías de Turistas</t>
  </si>
  <si>
    <t>Marinas Turísticas</t>
  </si>
  <si>
    <t>Muelles de atraque</t>
  </si>
  <si>
    <t>Restaurantes</t>
  </si>
  <si>
    <t>Transportadoras turísticas</t>
  </si>
  <si>
    <t>Solicitudes de inscripción para su registro de marca por municipio, según beneficiarios y actividad económica 2024.</t>
  </si>
  <si>
    <t>Fuente: Gobierno del Estado de Campeche. Secretaría de Desarrollo Económico. Dirección General de Industria y Comercio. Dirección de Desarrollo Comercial y Servicios. 2025.</t>
  </si>
  <si>
    <t>SDA</t>
  </si>
  <si>
    <t>APICAM</t>
  </si>
  <si>
    <t>SECTUR</t>
  </si>
  <si>
    <t>SEDECO</t>
  </si>
  <si>
    <t>Calakmul</t>
  </si>
  <si>
    <t>Calkiní</t>
  </si>
  <si>
    <t>Campeche</t>
  </si>
  <si>
    <t>Candelaria</t>
  </si>
  <si>
    <t>Carmen</t>
  </si>
  <si>
    <t>Dzitbalché</t>
  </si>
  <si>
    <t>Escárcega</t>
  </si>
  <si>
    <t>Hecelchakán</t>
  </si>
  <si>
    <t>Hopelchén</t>
  </si>
  <si>
    <t>Palizada</t>
  </si>
  <si>
    <t>Tenabo</t>
  </si>
  <si>
    <t>ESTADO</t>
  </si>
  <si>
    <t>MUJERES</t>
  </si>
  <si>
    <t>HOMBRES</t>
  </si>
  <si>
    <t>CRÉDITO</t>
  </si>
  <si>
    <t>Cama baja low-boy</t>
  </si>
  <si>
    <t>Cama baja low-boy con cuello fijo</t>
  </si>
  <si>
    <t>Camión 10 ton</t>
  </si>
  <si>
    <t>Camión grúa hiab</t>
  </si>
  <si>
    <t>Camión grúa which</t>
  </si>
  <si>
    <t>Camión pipa</t>
  </si>
  <si>
    <t>Camión tipo volteo</t>
  </si>
  <si>
    <t>Excavadora de orugas</t>
  </si>
  <si>
    <t>Motoniveladora</t>
  </si>
  <si>
    <t>Perforadora de percusión</t>
  </si>
  <si>
    <t>Perforadora neumática</t>
  </si>
  <si>
    <t>Retroexcavadora</t>
  </si>
  <si>
    <t>Tractor de orugas</t>
  </si>
  <si>
    <t>PERSONAS ARTESANAS BENEFICIADAS</t>
  </si>
  <si>
    <t>PRODUCCIÓN</t>
  </si>
  <si>
    <t>SEMBRADAS</t>
  </si>
  <si>
    <t>COSECHADAS</t>
  </si>
  <si>
    <t>VOLUMEN</t>
  </si>
  <si>
    <t>VALOR (MILES DE PESOS)</t>
  </si>
  <si>
    <t>Carne</t>
  </si>
  <si>
    <t>Ave</t>
  </si>
  <si>
    <t>Bovino</t>
  </si>
  <si>
    <t>Caprino</t>
  </si>
  <si>
    <t>Guajolote</t>
  </si>
  <si>
    <t>Ovino</t>
  </si>
  <si>
    <t>Porcino</t>
  </si>
  <si>
    <t>Leche</t>
  </si>
  <si>
    <t>Camarón a/</t>
  </si>
  <si>
    <t>Escama de cultivo b/</t>
  </si>
  <si>
    <t>a/  Incluye camarón de línea y camarón 7 barbas</t>
  </si>
  <si>
    <t>b/ Incluye mojarra tilapia</t>
  </si>
  <si>
    <t>a/ Incluye camarón de línea y camarón 7 barbas</t>
  </si>
  <si>
    <t>Nota: Datos no definitivos; Tabla aún en proceso de integración.</t>
  </si>
  <si>
    <t>ACTIVIDAD ECONÓMICA</t>
  </si>
  <si>
    <t>COMERCIO</t>
  </si>
  <si>
    <t>SERVICIOS</t>
  </si>
  <si>
    <t>M4-014</t>
  </si>
  <si>
    <t>M4-015</t>
  </si>
  <si>
    <t>M4-020</t>
  </si>
  <si>
    <t>M4-022</t>
  </si>
  <si>
    <t>M4-049</t>
  </si>
  <si>
    <t>M4-050</t>
  </si>
  <si>
    <t>M4-051</t>
  </si>
  <si>
    <t>M4-058</t>
  </si>
  <si>
    <t>Fuente: Gobierno del Estado de Campeche. Secretaría de Desarrollo Agropecuario. Dirección General de Sanidades. 2025.</t>
  </si>
  <si>
    <t>1.1. VISIÓN DE CAMPO: APROVECHAR LA RIQUEZA DE NUESTRA TIERRA</t>
  </si>
  <si>
    <t>2.4. EVENTOS Y ACCIONES QUE ATRAEN TURISMO</t>
  </si>
  <si>
    <t>3.1. FOMENTO A LA INDUSTRIA</t>
  </si>
  <si>
    <t>3.2. DESARROLLO EMPRESARIAL</t>
  </si>
  <si>
    <t>TEMA_indice</t>
  </si>
  <si>
    <t>DEPENDENCIA</t>
  </si>
  <si>
    <t>Fuente: Gobierno del Estado de Campeche. Secretaría de Desarrollo Agropecuario. 2025.</t>
  </si>
  <si>
    <t>MONTO(PESOS)</t>
  </si>
  <si>
    <t>Comión 350 redilas chasis cabina</t>
  </si>
  <si>
    <t>Perforadora barrenar o automático</t>
  </si>
  <si>
    <t>Perforadora de pulsera</t>
  </si>
  <si>
    <t>Tractocamión</t>
  </si>
  <si>
    <t>Vibro compactador</t>
  </si>
  <si>
    <t>Total: 159,702</t>
  </si>
  <si>
    <t>Total: 52,492</t>
  </si>
  <si>
    <t>Total:1,789</t>
  </si>
  <si>
    <t>Total:1,708</t>
  </si>
  <si>
    <t>Beneficiarios:12,414</t>
  </si>
  <si>
    <t>Beneficiarios:10,973</t>
  </si>
  <si>
    <t>Beneficiarios:119</t>
  </si>
  <si>
    <t>Beneficiarios:75</t>
  </si>
  <si>
    <t>Total:1,230</t>
  </si>
  <si>
    <t>Total:1,179</t>
  </si>
  <si>
    <t>INVERSIÓN (PESOS):180,600,041</t>
  </si>
  <si>
    <t>INVERSIÓN (PESOS):83,078,519</t>
  </si>
  <si>
    <t>INVERSIÓN TOTAL (PESOS): 111,744,760</t>
  </si>
  <si>
    <t>INVERSIÓN TOTAL (PESOS):59,351,724</t>
  </si>
  <si>
    <t>Total beneficiarios:404</t>
  </si>
  <si>
    <t>Total beneficiarios:151</t>
  </si>
  <si>
    <t>SEMAFORO</t>
  </si>
  <si>
    <t>2024-2025</t>
  </si>
  <si>
    <t>2023-2024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</si>
  <si>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</si>
  <si>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Notas</t>
  </si>
  <si>
    <t>Total de total</t>
  </si>
  <si>
    <t>2025-2026</t>
  </si>
  <si>
    <t>Total de beneficiarios</t>
  </si>
  <si>
    <t>BENEFICIARIOS (MUJERES)</t>
  </si>
  <si>
    <t>BENEFICIARIOS (HOMBRES)</t>
  </si>
  <si>
    <t>ACTIVIDAD ECONÓMICA (COMERCIO)</t>
  </si>
  <si>
    <t>ACTIVIDAD ECONÓMICA (SERVICIOS)</t>
  </si>
  <si>
    <t>CALKINI</t>
  </si>
  <si>
    <t>CHAMPOTON</t>
  </si>
  <si>
    <t>DZITBALCHE</t>
  </si>
  <si>
    <t>ESCARCEGA</t>
  </si>
  <si>
    <t>HECELCHAKAN</t>
  </si>
  <si>
    <t>HOPELCHEN</t>
  </si>
  <si>
    <t>Total de beneficiarios (mujeres)</t>
  </si>
  <si>
    <t>Total de beneficiarios (hombres)</t>
  </si>
  <si>
    <t>Total de actividad económica (comercio)</t>
  </si>
  <si>
    <t>Total de actividad económica (servicios)</t>
  </si>
  <si>
    <t>Fuente: Gobierno del Estado de Campeche. Secretaría de Desarrollo Económico. 2026.</t>
  </si>
  <si>
    <t>Total beneficiarios:482</t>
  </si>
  <si>
    <t>Fuente: Gobierno del Estado de Campeche. Secretaría de Desarrollo Agropecuario. 2026.</t>
  </si>
  <si>
    <t>209,380,625</t>
  </si>
  <si>
    <t>15,142,798</t>
  </si>
  <si>
    <t>5,766,488</t>
  </si>
  <si>
    <t xml:space="preserve">Obras en refugios pesqueros ribereños
</t>
  </si>
  <si>
    <t>5,048,675</t>
  </si>
  <si>
    <t>8,537,856</t>
  </si>
  <si>
    <t>3,588,940</t>
  </si>
  <si>
    <t>10,728,076</t>
  </si>
  <si>
    <t>Total de inversión (pesos)</t>
  </si>
  <si>
    <t>258,193,458</t>
  </si>
  <si>
    <t>Fuente: Gobierno del Estado de Campeche. Secretaría de Desarrollo Económico. Administración Portuaria Integral de Campeche, S.A. de C.V. 2026.</t>
  </si>
  <si>
    <t>INVERSIÓN (PESOS):258,193,458</t>
  </si>
  <si>
    <t>Inversión en obras de construcción y mantenimiento por puerto, 2025.</t>
  </si>
  <si>
    <t>40,104,514</t>
  </si>
  <si>
    <t>4,397,919</t>
  </si>
  <si>
    <t>1,989,499</t>
  </si>
  <si>
    <t>46,491,932</t>
  </si>
  <si>
    <t>13,472,043</t>
  </si>
  <si>
    <t>6,012,158</t>
  </si>
  <si>
    <t>200,100</t>
  </si>
  <si>
    <t>19,684,301</t>
  </si>
  <si>
    <t>150,753,587</t>
  </si>
  <si>
    <t>4,017,069</t>
  </si>
  <si>
    <t>433,428</t>
  </si>
  <si>
    <t>155,204,084</t>
  </si>
  <si>
    <t>5,050,481</t>
  </si>
  <si>
    <t>715,652</t>
  </si>
  <si>
    <t>3,143,461</t>
  </si>
  <si>
    <t>8,909,594</t>
  </si>
  <si>
    <t>Total de construcción</t>
  </si>
  <si>
    <t>Total de mantenimiento</t>
  </si>
  <si>
    <t>Total de señalamiento marítimo</t>
  </si>
  <si>
    <t>Total de hectáreas</t>
  </si>
  <si>
    <t>Acciones del programa de sanidad e inocuidad agroalimentaria - salud vegetal por municipio, 2025.</t>
  </si>
  <si>
    <t>4,678</t>
  </si>
  <si>
    <t>7,219</t>
  </si>
  <si>
    <t>2,769</t>
  </si>
  <si>
    <t>36,665</t>
  </si>
  <si>
    <t>1,149</t>
  </si>
  <si>
    <t>6,457</t>
  </si>
  <si>
    <t>8,705</t>
  </si>
  <si>
    <t>2,789</t>
  </si>
  <si>
    <t>60,978</t>
  </si>
  <si>
    <t>1,514</t>
  </si>
  <si>
    <t>7,291</t>
  </si>
  <si>
    <t>11,465</t>
  </si>
  <si>
    <t>9,935</t>
  </si>
  <si>
    <t>3,841</t>
  </si>
  <si>
    <t>6,493</t>
  </si>
  <si>
    <t>Total de pláticas a productores</t>
  </si>
  <si>
    <t>Total de acciones de control</t>
  </si>
  <si>
    <t>9,915</t>
  </si>
  <si>
    <t>Total de acciones de monitoreo</t>
  </si>
  <si>
    <t>166,233</t>
  </si>
  <si>
    <t>Total de trampeo</t>
  </si>
  <si>
    <t>4,541</t>
  </si>
  <si>
    <t>Total de seguimiento a las unidades de producción para temas de inocuidad</t>
  </si>
  <si>
    <t>1,123</t>
  </si>
  <si>
    <t>Total de certificación de inocuidad a las unidades de producción</t>
  </si>
  <si>
    <t>Total: 182,241</t>
  </si>
  <si>
    <t>Total de pláticas</t>
  </si>
  <si>
    <t>Total de acciones de seguimiento a las unidades de producción</t>
  </si>
  <si>
    <t>2,284</t>
  </si>
  <si>
    <t>Total de certificaciones de inocuidad</t>
  </si>
  <si>
    <r>
      <t xml:space="preserve">Acciones del programa de sanidad e inocuidad agroalimentaria - salud acuícola y pesquera por municipio, </t>
    </r>
    <r>
      <rPr>
        <b/>
        <sz val="12"/>
        <color theme="8" tint="0.39997558519241921"/>
        <rFont val="Calibri"/>
        <family val="2"/>
      </rPr>
      <t>2025.</t>
    </r>
  </si>
  <si>
    <t>Total: 2,896</t>
  </si>
  <si>
    <t>2,342</t>
  </si>
  <si>
    <t>1,183</t>
  </si>
  <si>
    <t>1,265</t>
  </si>
  <si>
    <t>3,390</t>
  </si>
  <si>
    <t>1,704</t>
  </si>
  <si>
    <t>1,824</t>
  </si>
  <si>
    <t>5,121</t>
  </si>
  <si>
    <t>2,571</t>
  </si>
  <si>
    <t>8,125</t>
  </si>
  <si>
    <t>4,135</t>
  </si>
  <si>
    <t>1,411</t>
  </si>
  <si>
    <t>Total de semilla de maíz (bultos)</t>
  </si>
  <si>
    <t>Fuente: Fuente: Gobierno del Estado de Campeche. Secretaría de Desarrollo Agropecuario. 2026.</t>
  </si>
  <si>
    <t>Beneficiarios: 12,691</t>
  </si>
  <si>
    <t>Beneficiarios:140</t>
  </si>
  <si>
    <t>Total de registro nacional de turismo</t>
  </si>
  <si>
    <t>Agencias de Viajes</t>
  </si>
  <si>
    <t>Campos de Golf</t>
  </si>
  <si>
    <t>Centros de convenciones</t>
  </si>
  <si>
    <t>Guías de turistas</t>
  </si>
  <si>
    <t>Marinas turísticas</t>
  </si>
  <si>
    <t>Total de Calakmul</t>
  </si>
  <si>
    <t>Total de Calkiní</t>
  </si>
  <si>
    <t>Total de Campeche</t>
  </si>
  <si>
    <t>Total de Candelaria</t>
  </si>
  <si>
    <t>Total de Carmen</t>
  </si>
  <si>
    <t>Total de Champotón</t>
  </si>
  <si>
    <t>Total de Dzitbalché</t>
  </si>
  <si>
    <t>Total de Escárcega</t>
  </si>
  <si>
    <t>Total de Hecelchakán</t>
  </si>
  <si>
    <t>Total de Hopelchén</t>
  </si>
  <si>
    <t>Total de Palizada</t>
  </si>
  <si>
    <t>Total de Seybaplaya</t>
  </si>
  <si>
    <t>Total de Tenabo</t>
  </si>
  <si>
    <t>1,273</t>
  </si>
  <si>
    <t>Fuente: Gobierno el Estado de Campeche. Secretaría de Turismo. 2026.</t>
  </si>
  <si>
    <t>Total:1,273</t>
  </si>
  <si>
    <t>TEMA</t>
  </si>
  <si>
    <t>Acciones del programa de sanidad - Salud Vegetal</t>
  </si>
  <si>
    <t>Acciones del programa de sanidad - Salud Acuicola y pesquera</t>
  </si>
  <si>
    <t>Acciones del programa de sanidad e inocuidad agroalimentaria - salud vegetal por municipio, 2023.</t>
  </si>
  <si>
    <t>Fuente: Gobierno del Estado de Campeche. Secretaría de Desarrollo Agropecuario. Dirección General de Sanidades. 2024.</t>
  </si>
  <si>
    <t>Acciones del programa de sanidad e inocuidad agroalimentaria - salud acuícola y pesquera por municipio, 2023.</t>
  </si>
  <si>
    <t>Beneficiarios entrega de semilla de maiz</t>
  </si>
  <si>
    <t>Beneficiarios de los apoyos de entrega de semilla de maíz por municipio, 2023.</t>
  </si>
  <si>
    <t>Fuente: Gobierno del Estado de Campeche. Secretaría de Desarrollo Agropecuario. Dirección General de Fomento Agrícola. 2024.</t>
  </si>
  <si>
    <t>Nota: Estas acciones derivan del Programa Entregar Apoyo e Insumos Agricolas a Productores.</t>
  </si>
  <si>
    <t>En los municipios que no tienen apoyos registrados se suscitaron cuestiones sociales en el ejercicio 2023.</t>
  </si>
  <si>
    <t>Los criterios estan establecidos em la regla de operación.</t>
  </si>
  <si>
    <t>Beneficiarios cultivos hortícolas</t>
  </si>
  <si>
    <t>Beneficiarios del Programa de Apoyo para la Productividad de los Cultivos Hortícolas Anuales Fomentados y Promovidos  por municipio, 2023.</t>
  </si>
  <si>
    <t>Nota: En los municipios que no tienen apoyos registrados se suscitaron cuestiones financiersas en el ejercicio 2023.</t>
  </si>
  <si>
    <t>Los criterios están establecidos en la regla de operación.</t>
  </si>
  <si>
    <t>Servicios turisticos</t>
  </si>
  <si>
    <t>Centros de Convenciones a/</t>
  </si>
  <si>
    <t>Centros de enseñanza turística a/</t>
  </si>
  <si>
    <t>Muelles de atraque a/</t>
  </si>
  <si>
    <t>Servicios turísticos de apoyo según municipio, 2023.</t>
  </si>
  <si>
    <t>Fuente: Gobierno del Estado de Campeche. Secretaría de Turismo. 2024.</t>
  </si>
  <si>
    <t>a/ La normativa turística para el Registro Nacional de Turismo no obliga a los establecimientos de Centros de Convenciones, Centros de Enseñanza Turística y Muelles de atraque.</t>
  </si>
  <si>
    <t>Inversiones API</t>
  </si>
  <si>
    <t>Resumen de inversiones de la Administración Portuaria Integral de Campeche, 2023.</t>
  </si>
  <si>
    <t>Fuente: Gobierno del Estado de Campeche. Administración Portuaria Integral de Campeche, S.A. de C.V. Dirección de Planeación. 2024.</t>
  </si>
  <si>
    <t>Inversión en obras de construcción y mantenimiento por puerto, 2023.</t>
  </si>
  <si>
    <t xml:space="preserve">INVERSIÓN TOTAL </t>
  </si>
  <si>
    <t>a/ Terminal de San Francisco y Puerto de Champotón.</t>
  </si>
  <si>
    <t>b/ Puerto de Isla Arena, Terminal de Isla Aguada, Puerto de Cayo Arcas y Sabancuy.</t>
  </si>
  <si>
    <t>1,605,557 a/</t>
  </si>
  <si>
    <t>3,343,315 b/</t>
  </si>
  <si>
    <t>Inverisón obras por puerto</t>
  </si>
  <si>
    <t>Beneficiarios registro de marca</t>
  </si>
  <si>
    <t>Solicitudes de inscripción para su registro de marca por municipio, por actividad económica según sexo, 2023.</t>
  </si>
  <si>
    <t>Fuente: Gobierno del Estado de Campeche. Secretaría de Desarrollo Económico. Dirección General de Industria y Comercio. Dirección de Desarrollo Comercial y Servicios. 2024.</t>
  </si>
  <si>
    <t>Código</t>
  </si>
  <si>
    <t xml:space="preserve">Título de la tabla </t>
  </si>
  <si>
    <t>INVERSIÓN TOTALl: 230,289,911</t>
  </si>
  <si>
    <t>Beneficiarios de los apoyos de entrega de semilla de maíz por municipio, 2025.</t>
  </si>
  <si>
    <t>Beneficiarios del apoyo para la productividad de los cultivos hortícolas por municipio, 2025.</t>
  </si>
  <si>
    <t>Servicios turísticos de apoyo según municipio, 2025.</t>
  </si>
  <si>
    <t>Resumen de inversiones de la Administración Portuaria Integral de Campeche, 2025.</t>
  </si>
  <si>
    <t>Solicitudes de inscripción para su registro de marca por municipio, según beneficiarios y actividad económica,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</si>
</sst>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</font>
    <font>
      <b/>
      <sz val="12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8"/>
      <name val="Calibri"/>
      <family val="2"/>
    </font>
    <font>
      <b/>
      <sz val="12"/>
      <color rgb="FF000000"/>
      <name val="Calibri"/>
      <family val="2"/>
    </font>
    <font>
      <b/>
      <sz val="12"/>
      <color theme="8" tint="0.39997558519241921"/>
      <name val="Calibri"/>
      <family val="2"/>
    </font>
    <font>
      <sz val="11"/>
      <color theme="0"/>
      <name val="Calibri"/>
      <family val="2"/>
    </font>
    <font>
      <b/>
      <sz val="12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3" fillId="0" borderId="0"/>
  </cellStyleXfs>
  <cellXfs count="86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3" fontId="0" fillId="0" borderId="0" xfId="0" applyNumberFormat="1"/>
    <xf numFmtId="3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3" fontId="0" fillId="0" borderId="1" xfId="0" applyNumberFormat="1" applyBorder="1"/>
    <xf numFmtId="0" fontId="0" fillId="0" borderId="0" xfId="0" applyAlignment="1">
      <alignment horizontal="left" indent="2"/>
    </xf>
    <xf numFmtId="0" fontId="0" fillId="0" borderId="1" xfId="0" applyBorder="1"/>
    <xf numFmtId="0" fontId="2" fillId="0" borderId="1" xfId="0" applyFont="1" applyBorder="1" applyAlignment="1">
      <alignment horizontal="center" wrapText="1"/>
    </xf>
    <xf numFmtId="0" fontId="3" fillId="0" borderId="0" xfId="0" applyFont="1"/>
    <xf numFmtId="0" fontId="2" fillId="0" borderId="1" xfId="0" applyFont="1" applyBorder="1" applyAlignment="1">
      <alignment wrapText="1"/>
    </xf>
    <xf numFmtId="0" fontId="0" fillId="2" borderId="0" xfId="0" applyFill="1"/>
    <xf numFmtId="4" fontId="0" fillId="0" borderId="0" xfId="0" applyNumberFormat="1"/>
    <xf numFmtId="4" fontId="2" fillId="0" borderId="1" xfId="0" applyNumberFormat="1" applyFont="1" applyBorder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0" fillId="0" borderId="5" xfId="0" applyBorder="1"/>
    <xf numFmtId="0" fontId="0" fillId="0" borderId="7" xfId="0" applyBorder="1"/>
    <xf numFmtId="0" fontId="0" fillId="4" borderId="7" xfId="0" applyFill="1" applyBorder="1"/>
    <xf numFmtId="3" fontId="0" fillId="4" borderId="7" xfId="0" applyNumberFormat="1" applyFill="1" applyBorder="1"/>
    <xf numFmtId="0" fontId="1" fillId="0" borderId="7" xfId="0" applyFont="1" applyBorder="1"/>
    <xf numFmtId="0" fontId="1" fillId="0" borderId="0" xfId="0" applyFont="1"/>
    <xf numFmtId="0" fontId="0" fillId="0" borderId="6" xfId="0" applyBorder="1"/>
    <xf numFmtId="0" fontId="3" fillId="0" borderId="6" xfId="0" applyFont="1" applyBorder="1"/>
    <xf numFmtId="0" fontId="0" fillId="0" borderId="9" xfId="0" applyBorder="1"/>
    <xf numFmtId="0" fontId="3" fillId="0" borderId="8" xfId="0" applyFont="1" applyBorder="1"/>
    <xf numFmtId="0" fontId="0" fillId="0" borderId="8" xfId="0" applyBorder="1"/>
    <xf numFmtId="0" fontId="3" fillId="4" borderId="8" xfId="0" applyFont="1" applyFill="1" applyBorder="1"/>
    <xf numFmtId="0" fontId="7" fillId="5" borderId="4" xfId="0" applyFont="1" applyFill="1" applyBorder="1" applyAlignment="1">
      <alignment horizontal="center"/>
    </xf>
    <xf numFmtId="0" fontId="7" fillId="5" borderId="10" xfId="0" applyFont="1" applyFill="1" applyBorder="1" applyAlignment="1">
      <alignment horizontal="center"/>
    </xf>
    <xf numFmtId="0" fontId="3" fillId="0" borderId="9" xfId="0" applyFon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2" fillId="0" borderId="8" xfId="0" applyFont="1" applyBorder="1"/>
    <xf numFmtId="0" fontId="2" fillId="0" borderId="8" xfId="0" applyFont="1" applyBorder="1" applyAlignment="1">
      <alignment horizontal="center" vertical="center" wrapText="1"/>
    </xf>
    <xf numFmtId="3" fontId="0" fillId="0" borderId="8" xfId="0" applyNumberFormat="1" applyBorder="1"/>
    <xf numFmtId="3" fontId="2" fillId="0" borderId="8" xfId="0" applyNumberFormat="1" applyFont="1" applyBorder="1"/>
    <xf numFmtId="0" fontId="0" fillId="2" borderId="8" xfId="0" applyFill="1" applyBorder="1"/>
    <xf numFmtId="0" fontId="3" fillId="4" borderId="8" xfId="0" applyFont="1" applyFill="1" applyBorder="1" applyAlignment="1">
      <alignment horizontal="center"/>
    </xf>
    <xf numFmtId="0" fontId="0" fillId="4" borderId="8" xfId="0" applyFill="1" applyBorder="1"/>
    <xf numFmtId="0" fontId="7" fillId="5" borderId="8" xfId="0" applyFont="1" applyFill="1" applyBorder="1" applyAlignment="1">
      <alignment horizontal="center"/>
    </xf>
    <xf numFmtId="0" fontId="0" fillId="3" borderId="8" xfId="0" applyFill="1" applyBorder="1"/>
    <xf numFmtId="0" fontId="0" fillId="0" borderId="13" xfId="0" applyBorder="1"/>
    <xf numFmtId="0" fontId="2" fillId="0" borderId="8" xfId="0" applyFont="1" applyBorder="1" applyAlignment="1">
      <alignment horizontal="center"/>
    </xf>
    <xf numFmtId="0" fontId="8" fillId="0" borderId="7" xfId="0" applyFont="1" applyBorder="1"/>
    <xf numFmtId="0" fontId="9" fillId="0" borderId="8" xfId="0" applyFont="1" applyBorder="1"/>
    <xf numFmtId="0" fontId="10" fillId="0" borderId="8" xfId="0" applyFont="1" applyBorder="1"/>
    <xf numFmtId="0" fontId="9" fillId="0" borderId="8" xfId="0" applyFont="1" applyBorder="1" applyAlignment="1">
      <alignment horizontal="center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left" indent="2"/>
    </xf>
    <xf numFmtId="3" fontId="0" fillId="0" borderId="8" xfId="0" applyNumberFormat="1" applyBorder="1" applyAlignment="1">
      <alignment horizontal="right"/>
    </xf>
    <xf numFmtId="0" fontId="0" fillId="0" borderId="8" xfId="0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0" fillId="0" borderId="0" xfId="0"/>
    <xf numFmtId="0" fontId="0" fillId="0" borderId="7" xfId="0" applyBorder="1"/>
    <xf numFmtId="0" fontId="1" fillId="0" borderId="7" xfId="0" applyFont="1" applyBorder="1"/>
    <xf numFmtId="0" fontId="0" fillId="0" borderId="8" xfId="0" applyBorder="1"/>
    <xf numFmtId="0" fontId="1" fillId="0" borderId="8" xfId="0" applyFont="1" applyBorder="1"/>
    <xf numFmtId="0" fontId="0" fillId="4" borderId="8" xfId="0" applyFill="1" applyBorder="1"/>
    <xf numFmtId="0" fontId="0" fillId="4" borderId="7" xfId="0" applyFill="1" applyBorder="1"/>
    <xf numFmtId="0" fontId="8" fillId="0" borderId="7" xfId="0" applyFont="1" applyBorder="1"/>
    <xf numFmtId="0" fontId="2" fillId="0" borderId="8" xfId="0" applyFont="1" applyBorder="1" applyAlignment="1">
      <alignment horizontal="center" vertical="center"/>
    </xf>
    <xf numFmtId="0" fontId="5" fillId="0" borderId="7" xfId="0" applyFont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7" xfId="0" applyBorder="1" applyAlignment="1">
      <alignment wrapText="1"/>
    </xf>
    <xf numFmtId="0" fontId="0" fillId="0" borderId="7" xfId="0" applyBorder="1" applyAlignment="1">
      <alignment horizontal="center" wrapText="1"/>
    </xf>
  </cellXfs>
  <cellStyles count="2">
    <cellStyle name="Normal" xfId="0" builtinId="0"/>
    <cellStyle name="Normal 2" xfId="1" xr:uid="{ADBEE95A-D6EA-4FE8-A672-B59E58620C65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428625</xdr:colOff>
      <xdr:row>1</xdr:row>
      <xdr:rowOff>28575</xdr:rowOff>
    </xdr:from>
    <xdr:to>
      <xdr:col>5</xdr:col>
      <xdr:colOff>428625</xdr:colOff>
      <xdr:row>1</xdr:row>
      <xdr:rowOff>133350</xdr:rowOff>
    </xdr:to>
    <xdr:cxnSp macro="">
      <xdr:nvCxnSpPr>
        <xdr:cNvPr id="33" name="Conector recto de flecha 32">
          <a:extLst>
            <a:ext uri="{FF2B5EF4-FFF2-40B4-BE49-F238E27FC236}">
              <a16:creationId xmlns:a16="http://schemas.microsoft.com/office/drawing/2014/main" id="{7B53BD45-3974-40DD-A4AB-A032618B0B24}"/>
            </a:ext>
          </a:extLst>
        </xdr:cNvPr>
        <xdr:cNvCxnSpPr/>
      </xdr:nvCxnSpPr>
      <xdr:spPr>
        <a:xfrm flipV="1">
          <a:off x="10863792" y="2325158"/>
          <a:ext cx="0" cy="1047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428625</xdr:colOff>
      <xdr:row>2</xdr:row>
      <xdr:rowOff>28575</xdr:rowOff>
    </xdr:from>
    <xdr:to>
      <xdr:col>5</xdr:col>
      <xdr:colOff>428625</xdr:colOff>
      <xdr:row>2</xdr:row>
      <xdr:rowOff>133350</xdr:rowOff>
    </xdr:to>
    <xdr:cxnSp macro="">
      <xdr:nvCxnSpPr>
        <xdr:cNvPr id="34" name="Conector recto de flecha 33">
          <a:extLst>
            <a:ext uri="{FF2B5EF4-FFF2-40B4-BE49-F238E27FC236}">
              <a16:creationId xmlns:a16="http://schemas.microsoft.com/office/drawing/2014/main" id="{E8BBE6B1-C86A-4EEB-8582-3603BAE3F6EC}"/>
            </a:ext>
          </a:extLst>
        </xdr:cNvPr>
        <xdr:cNvCxnSpPr/>
      </xdr:nvCxnSpPr>
      <xdr:spPr>
        <a:xfrm flipV="1">
          <a:off x="10863792" y="2706158"/>
          <a:ext cx="0" cy="1047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428625</xdr:colOff>
      <xdr:row>3</xdr:row>
      <xdr:rowOff>28575</xdr:rowOff>
    </xdr:from>
    <xdr:to>
      <xdr:col>5</xdr:col>
      <xdr:colOff>428625</xdr:colOff>
      <xdr:row>3</xdr:row>
      <xdr:rowOff>133350</xdr:rowOff>
    </xdr:to>
    <xdr:cxnSp macro="">
      <xdr:nvCxnSpPr>
        <xdr:cNvPr id="37" name="Conector recto de flecha 36">
          <a:extLst>
            <a:ext uri="{FF2B5EF4-FFF2-40B4-BE49-F238E27FC236}">
              <a16:creationId xmlns:a16="http://schemas.microsoft.com/office/drawing/2014/main" id="{B7D1D136-FA4D-46A6-8C52-EE2230DBAD22}"/>
            </a:ext>
          </a:extLst>
        </xdr:cNvPr>
        <xdr:cNvCxnSpPr/>
      </xdr:nvCxnSpPr>
      <xdr:spPr>
        <a:xfrm flipV="1">
          <a:off x="10863792" y="4039658"/>
          <a:ext cx="0" cy="1047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428625</xdr:colOff>
      <xdr:row>4</xdr:row>
      <xdr:rowOff>28575</xdr:rowOff>
    </xdr:from>
    <xdr:to>
      <xdr:col>5</xdr:col>
      <xdr:colOff>428625</xdr:colOff>
      <xdr:row>4</xdr:row>
      <xdr:rowOff>133350</xdr:rowOff>
    </xdr:to>
    <xdr:cxnSp macro="">
      <xdr:nvCxnSpPr>
        <xdr:cNvPr id="38" name="Conector recto de flecha 37">
          <a:extLst>
            <a:ext uri="{FF2B5EF4-FFF2-40B4-BE49-F238E27FC236}">
              <a16:creationId xmlns:a16="http://schemas.microsoft.com/office/drawing/2014/main" id="{598F1959-FE62-4C10-8A9B-20F445951963}"/>
            </a:ext>
          </a:extLst>
        </xdr:cNvPr>
        <xdr:cNvCxnSpPr/>
      </xdr:nvCxnSpPr>
      <xdr:spPr>
        <a:xfrm flipV="1">
          <a:off x="10863792" y="4039658"/>
          <a:ext cx="0" cy="1047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428625</xdr:colOff>
      <xdr:row>5</xdr:row>
      <xdr:rowOff>28575</xdr:rowOff>
    </xdr:from>
    <xdr:to>
      <xdr:col>5</xdr:col>
      <xdr:colOff>428625</xdr:colOff>
      <xdr:row>5</xdr:row>
      <xdr:rowOff>133350</xdr:rowOff>
    </xdr:to>
    <xdr:cxnSp macro="">
      <xdr:nvCxnSpPr>
        <xdr:cNvPr id="62" name="Conector recto de flecha 61">
          <a:extLst>
            <a:ext uri="{FF2B5EF4-FFF2-40B4-BE49-F238E27FC236}">
              <a16:creationId xmlns:a16="http://schemas.microsoft.com/office/drawing/2014/main" id="{37ED9C65-8C80-4FC9-B38A-9B3E8EB9A4CD}"/>
            </a:ext>
          </a:extLst>
        </xdr:cNvPr>
        <xdr:cNvCxnSpPr/>
      </xdr:nvCxnSpPr>
      <xdr:spPr>
        <a:xfrm flipV="1">
          <a:off x="10863792" y="9204325"/>
          <a:ext cx="0" cy="1047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428625</xdr:colOff>
      <xdr:row>6</xdr:row>
      <xdr:rowOff>28575</xdr:rowOff>
    </xdr:from>
    <xdr:to>
      <xdr:col>5</xdr:col>
      <xdr:colOff>428625</xdr:colOff>
      <xdr:row>6</xdr:row>
      <xdr:rowOff>133350</xdr:rowOff>
    </xdr:to>
    <xdr:cxnSp macro="">
      <xdr:nvCxnSpPr>
        <xdr:cNvPr id="63" name="Conector recto de flecha 62">
          <a:extLst>
            <a:ext uri="{FF2B5EF4-FFF2-40B4-BE49-F238E27FC236}">
              <a16:creationId xmlns:a16="http://schemas.microsoft.com/office/drawing/2014/main" id="{E9C31C69-CBDE-4112-B69D-55D0F38954F2}"/>
            </a:ext>
          </a:extLst>
        </xdr:cNvPr>
        <xdr:cNvCxnSpPr/>
      </xdr:nvCxnSpPr>
      <xdr:spPr>
        <a:xfrm flipV="1">
          <a:off x="10863792" y="9394825"/>
          <a:ext cx="0" cy="1047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428625</xdr:colOff>
      <xdr:row>7</xdr:row>
      <xdr:rowOff>28575</xdr:rowOff>
    </xdr:from>
    <xdr:to>
      <xdr:col>5</xdr:col>
      <xdr:colOff>428625</xdr:colOff>
      <xdr:row>7</xdr:row>
      <xdr:rowOff>133350</xdr:rowOff>
    </xdr:to>
    <xdr:cxnSp macro="">
      <xdr:nvCxnSpPr>
        <xdr:cNvPr id="64" name="Conector recto de flecha 63">
          <a:extLst>
            <a:ext uri="{FF2B5EF4-FFF2-40B4-BE49-F238E27FC236}">
              <a16:creationId xmlns:a16="http://schemas.microsoft.com/office/drawing/2014/main" id="{9B2D6640-C94A-40D3-8970-F0FCF92EC1CA}"/>
            </a:ext>
          </a:extLst>
        </xdr:cNvPr>
        <xdr:cNvCxnSpPr/>
      </xdr:nvCxnSpPr>
      <xdr:spPr>
        <a:xfrm flipV="1">
          <a:off x="10863792" y="9394825"/>
          <a:ext cx="0" cy="1047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428625</xdr:colOff>
      <xdr:row>8</xdr:row>
      <xdr:rowOff>28575</xdr:rowOff>
    </xdr:from>
    <xdr:to>
      <xdr:col>5</xdr:col>
      <xdr:colOff>428625</xdr:colOff>
      <xdr:row>8</xdr:row>
      <xdr:rowOff>133350</xdr:rowOff>
    </xdr:to>
    <xdr:cxnSp macro="">
      <xdr:nvCxnSpPr>
        <xdr:cNvPr id="69" name="Conector recto de flecha 68">
          <a:extLst>
            <a:ext uri="{FF2B5EF4-FFF2-40B4-BE49-F238E27FC236}">
              <a16:creationId xmlns:a16="http://schemas.microsoft.com/office/drawing/2014/main" id="{1AA706F2-E34F-4A28-8209-34400EE2CBDA}"/>
            </a:ext>
          </a:extLst>
        </xdr:cNvPr>
        <xdr:cNvCxnSpPr/>
      </xdr:nvCxnSpPr>
      <xdr:spPr>
        <a:xfrm flipV="1">
          <a:off x="10863792" y="10357908"/>
          <a:ext cx="0" cy="104775"/>
        </a:xfrm>
        <a:prstGeom prst="straightConnector1">
          <a:avLst/>
        </a:prstGeom>
        <a:ln>
          <a:tailEnd type="triangle"/>
        </a:ln>
      </xdr:spPr>
      <xdr:style>
        <a:lnRef idx="3">
          <a:schemeClr val="dk1"/>
        </a:lnRef>
        <a:fillRef idx="0">
          <a:schemeClr val="dk1"/>
        </a:fillRef>
        <a:effectRef idx="2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85725</xdr:rowOff>
    </xdr:from>
    <xdr:to>
      <xdr:col>12</xdr:col>
      <xdr:colOff>477032</xdr:colOff>
      <xdr:row>29</xdr:row>
      <xdr:rowOff>124603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F6FBDB-5BC5-4F6A-92B7-937F0C779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86325" y="85725"/>
          <a:ext cx="5601482" cy="557290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</xdr:row>
      <xdr:rowOff>0</xdr:rowOff>
    </xdr:from>
    <xdr:to>
      <xdr:col>16</xdr:col>
      <xdr:colOff>286520</xdr:colOff>
      <xdr:row>35</xdr:row>
      <xdr:rowOff>77115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C50A2EB-3B8A-482F-9A9C-8A141D398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34200" y="190500"/>
          <a:ext cx="5515745" cy="65541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0</xdr:row>
      <xdr:rowOff>0</xdr:rowOff>
    </xdr:from>
    <xdr:to>
      <xdr:col>20</xdr:col>
      <xdr:colOff>572472</xdr:colOff>
      <xdr:row>37</xdr:row>
      <xdr:rowOff>143879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2D2B5AD-0313-4955-8576-B7128FF6E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15175" y="0"/>
          <a:ext cx="6963747" cy="719237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0</xdr:rowOff>
    </xdr:from>
    <xdr:to>
      <xdr:col>8</xdr:col>
      <xdr:colOff>267664</xdr:colOff>
      <xdr:row>47</xdr:row>
      <xdr:rowOff>96327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643E682-59E0-4422-A550-2540D8C0E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33500"/>
          <a:ext cx="6906589" cy="771632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2</xdr:col>
      <xdr:colOff>600804</xdr:colOff>
      <xdr:row>39</xdr:row>
      <xdr:rowOff>105534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65292AD-A1BC-4426-A034-1F7892B90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5500"/>
          <a:ext cx="5220429" cy="543953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74083</xdr:rowOff>
    </xdr:from>
    <xdr:to>
      <xdr:col>7</xdr:col>
      <xdr:colOff>932317</xdr:colOff>
      <xdr:row>46</xdr:row>
      <xdr:rowOff>122486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802D658-2614-4284-A619-522507B9F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93583"/>
          <a:ext cx="7049484" cy="5572903"/>
        </a:xfrm>
        <a:prstGeom prst="rect">
          <a:avLst/>
        </a:prstGeom>
      </xdr:spPr>
    </xdr:pic>
    <xdr:clientData/>
  </xdr:twoCellAnchor>
  <xdr:twoCellAnchor editAs="oneCell">
    <xdr:from>
      <xdr:col>7</xdr:col>
      <xdr:colOff>963083</xdr:colOff>
      <xdr:row>17</xdr:row>
      <xdr:rowOff>63500</xdr:rowOff>
    </xdr:from>
    <xdr:to>
      <xdr:col>17</xdr:col>
      <xdr:colOff>625441</xdr:colOff>
      <xdr:row>49</xdr:row>
      <xdr:rowOff>26246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7E0EC95-3DD9-447D-8B03-A66D975A4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80250" y="3683000"/>
          <a:ext cx="7335274" cy="605874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295275</xdr:colOff>
      <xdr:row>0</xdr:row>
      <xdr:rowOff>0</xdr:rowOff>
    </xdr:from>
    <xdr:to>
      <xdr:col>10</xdr:col>
      <xdr:colOff>305769</xdr:colOff>
      <xdr:row>32</xdr:row>
      <xdr:rowOff>851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0E5EB70-651F-451C-B34D-2CB9BFFD2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86475" y="0"/>
          <a:ext cx="6944694" cy="60968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65117-B9AC-4C4C-A686-4DA71853A62A}">
  <dimension ref="A1:I9"/>
  <sheetViews>
    <sheetView tabSelected="1" topLeftCell="D1" zoomScale="90" zoomScaleNormal="90" workbookViewId="0">
      <selection activeCell="E17" sqref="E17"/>
    </sheetView>
  </sheetViews>
  <sheetFormatPr baseColWidth="10" defaultColWidth="8.88671875" defaultRowHeight="14.4" x14ac:dyDescent="0.3"/>
  <cols>
    <col min="1" max="1" width="62.5546875" hidden="1" customWidth="1"/>
    <col min="3" max="3" width="134" bestFit="1" customWidth="1"/>
    <col min="4" max="4" width="14.88671875" customWidth="1"/>
    <col min="5" max="5" width="57" customWidth="1"/>
    <col min="6" max="6" width="11.109375" customWidth="1"/>
    <col min="7" max="7" width="28.6640625" customWidth="1"/>
    <col min="8" max="8" width="37.88671875" customWidth="1"/>
    <col min="9" max="9" width="35.44140625" customWidth="1"/>
    <col min="18" max="18" width="24.109375" customWidth="1"/>
  </cols>
  <sheetData>
    <row r="1" spans="1:9" ht="15" thickBot="1" x14ac:dyDescent="0.35">
      <c r="A1" s="36" t="s">
        <v>220</v>
      </c>
      <c r="B1" s="36" t="s">
        <v>409</v>
      </c>
      <c r="C1" s="36" t="s">
        <v>410</v>
      </c>
      <c r="D1" s="36" t="s">
        <v>221</v>
      </c>
      <c r="E1" s="48" t="s">
        <v>373</v>
      </c>
      <c r="F1" s="49" t="s">
        <v>245</v>
      </c>
      <c r="G1" s="50" t="s">
        <v>247</v>
      </c>
      <c r="H1" s="38" t="s">
        <v>246</v>
      </c>
      <c r="I1" s="37" t="s">
        <v>251</v>
      </c>
    </row>
    <row r="2" spans="1:9" ht="15" thickBot="1" x14ac:dyDescent="0.35">
      <c r="A2" s="35" t="s">
        <v>216</v>
      </c>
      <c r="B2" s="35" t="s">
        <v>207</v>
      </c>
      <c r="C2" s="35" t="s">
        <v>13</v>
      </c>
      <c r="D2" s="35" t="s">
        <v>152</v>
      </c>
      <c r="E2" s="35" t="s">
        <v>375</v>
      </c>
      <c r="F2" s="51"/>
      <c r="G2" s="34" t="s">
        <v>230</v>
      </c>
      <c r="H2" s="39" t="s">
        <v>229</v>
      </c>
      <c r="I2" s="32" t="s">
        <v>329</v>
      </c>
    </row>
    <row r="3" spans="1:9" ht="15" thickBot="1" x14ac:dyDescent="0.35">
      <c r="A3" s="35" t="s">
        <v>216</v>
      </c>
      <c r="B3" s="35" t="s">
        <v>208</v>
      </c>
      <c r="C3" s="35" t="s">
        <v>0</v>
      </c>
      <c r="D3" s="35" t="s">
        <v>152</v>
      </c>
      <c r="E3" s="35" t="s">
        <v>374</v>
      </c>
      <c r="F3" s="51"/>
      <c r="G3" s="34" t="s">
        <v>232</v>
      </c>
      <c r="H3" s="39" t="s">
        <v>231</v>
      </c>
      <c r="I3" s="31" t="s">
        <v>335</v>
      </c>
    </row>
    <row r="4" spans="1:9" ht="15" thickBot="1" x14ac:dyDescent="0.35">
      <c r="A4" s="35" t="s">
        <v>216</v>
      </c>
      <c r="B4" s="35" t="s">
        <v>209</v>
      </c>
      <c r="C4" s="35" t="s">
        <v>26</v>
      </c>
      <c r="D4" s="35" t="s">
        <v>152</v>
      </c>
      <c r="E4" s="35" t="s">
        <v>379</v>
      </c>
      <c r="F4" s="51"/>
      <c r="G4" s="35" t="s">
        <v>234</v>
      </c>
      <c r="H4" s="33" t="s">
        <v>233</v>
      </c>
      <c r="I4" s="31" t="s">
        <v>349</v>
      </c>
    </row>
    <row r="5" spans="1:9" ht="15" thickBot="1" x14ac:dyDescent="0.35">
      <c r="A5" s="35" t="s">
        <v>216</v>
      </c>
      <c r="B5" s="34" t="s">
        <v>210</v>
      </c>
      <c r="C5" s="35" t="s">
        <v>28</v>
      </c>
      <c r="D5" s="35" t="s">
        <v>152</v>
      </c>
      <c r="E5" s="35" t="s">
        <v>385</v>
      </c>
      <c r="F5" s="51"/>
      <c r="G5" s="35" t="s">
        <v>236</v>
      </c>
      <c r="H5" s="25" t="s">
        <v>235</v>
      </c>
      <c r="I5" s="31" t="s">
        <v>350</v>
      </c>
    </row>
    <row r="6" spans="1:9" ht="15" thickBot="1" x14ac:dyDescent="0.35">
      <c r="A6" s="35" t="s">
        <v>217</v>
      </c>
      <c r="B6" s="35" t="s">
        <v>211</v>
      </c>
      <c r="C6" s="35" t="s">
        <v>133</v>
      </c>
      <c r="D6" s="35" t="s">
        <v>154</v>
      </c>
      <c r="E6" s="35" t="s">
        <v>389</v>
      </c>
      <c r="F6" s="51" t="s">
        <v>248</v>
      </c>
      <c r="G6" s="35" t="s">
        <v>238</v>
      </c>
      <c r="H6" s="40" t="s">
        <v>237</v>
      </c>
      <c r="I6" s="31" t="s">
        <v>372</v>
      </c>
    </row>
    <row r="7" spans="1:9" ht="15" thickBot="1" x14ac:dyDescent="0.35">
      <c r="A7" s="35" t="s">
        <v>218</v>
      </c>
      <c r="B7" s="35" t="s">
        <v>212</v>
      </c>
      <c r="C7" s="35" t="s">
        <v>122</v>
      </c>
      <c r="D7" s="35" t="s">
        <v>153</v>
      </c>
      <c r="E7" s="35" t="s">
        <v>396</v>
      </c>
      <c r="F7" s="51" t="s">
        <v>248</v>
      </c>
      <c r="G7" s="35" t="s">
        <v>240</v>
      </c>
      <c r="H7" s="33" t="s">
        <v>239</v>
      </c>
      <c r="I7" s="31" t="s">
        <v>281</v>
      </c>
    </row>
    <row r="8" spans="1:9" ht="15" thickBot="1" x14ac:dyDescent="0.35">
      <c r="A8" s="35" t="s">
        <v>218</v>
      </c>
      <c r="B8" s="35" t="s">
        <v>213</v>
      </c>
      <c r="C8" s="35" t="s">
        <v>46</v>
      </c>
      <c r="D8" s="35" t="s">
        <v>153</v>
      </c>
      <c r="E8" s="35" t="s">
        <v>405</v>
      </c>
      <c r="F8" s="51" t="s">
        <v>248</v>
      </c>
      <c r="G8" s="35" t="s">
        <v>242</v>
      </c>
      <c r="H8" s="41" t="s">
        <v>241</v>
      </c>
      <c r="I8" s="32" t="s">
        <v>411</v>
      </c>
    </row>
    <row r="9" spans="1:9" ht="15" thickBot="1" x14ac:dyDescent="0.35">
      <c r="A9" s="35" t="s">
        <v>219</v>
      </c>
      <c r="B9" s="35" t="s">
        <v>214</v>
      </c>
      <c r="C9" s="35" t="s">
        <v>150</v>
      </c>
      <c r="D9" s="35" t="s">
        <v>155</v>
      </c>
      <c r="E9" s="35" t="s">
        <v>406</v>
      </c>
      <c r="F9" s="51" t="s">
        <v>248</v>
      </c>
      <c r="G9" s="35" t="s">
        <v>244</v>
      </c>
      <c r="H9" s="41" t="s">
        <v>243</v>
      </c>
      <c r="I9" s="31" t="s">
        <v>268</v>
      </c>
    </row>
  </sheetData>
  <autoFilter ref="A1:J9" xr:uid="{86D65117-B9AC-4C4C-A686-4DA71853A62A}">
    <filterColumn colId="7" showButton="0"/>
    <filterColumn colId="8" showButton="0"/>
  </autoFilter>
  <phoneticPr fontId="4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tabColor rgb="FF92D050"/>
  </sheetPr>
  <dimension ref="A1:R19"/>
  <sheetViews>
    <sheetView showGridLines="0" workbookViewId="0">
      <selection activeCell="O27" sqref="O27"/>
    </sheetView>
  </sheetViews>
  <sheetFormatPr baseColWidth="10" defaultColWidth="8.6640625" defaultRowHeight="14.4" x14ac:dyDescent="0.3"/>
  <cols>
    <col min="1" max="1" width="37.6640625" bestFit="1" customWidth="1"/>
    <col min="2" max="2" width="27" bestFit="1" customWidth="1"/>
    <col min="3" max="3" width="7" bestFit="1" customWidth="1"/>
    <col min="14" max="14" width="15.33203125" customWidth="1"/>
    <col min="15" max="15" width="11" customWidth="1"/>
    <col min="16" max="16" width="13.109375" customWidth="1"/>
    <col min="17" max="17" width="11.44140625" customWidth="1"/>
  </cols>
  <sheetData>
    <row r="1" spans="1:18" ht="15.6" x14ac:dyDescent="0.3">
      <c r="A1" s="1" t="s">
        <v>120</v>
      </c>
      <c r="N1" s="30"/>
      <c r="O1" s="30"/>
      <c r="P1" s="30"/>
      <c r="Q1" s="30"/>
      <c r="R1" s="30"/>
    </row>
    <row r="2" spans="1:18" x14ac:dyDescent="0.3">
      <c r="A2" s="7" t="s">
        <v>1</v>
      </c>
      <c r="B2" s="7" t="s">
        <v>121</v>
      </c>
    </row>
    <row r="3" spans="1:18" x14ac:dyDescent="0.3">
      <c r="A3" t="s">
        <v>156</v>
      </c>
      <c r="B3">
        <v>184</v>
      </c>
    </row>
    <row r="4" spans="1:18" x14ac:dyDescent="0.3">
      <c r="A4" t="s">
        <v>157</v>
      </c>
      <c r="B4">
        <v>860</v>
      </c>
    </row>
    <row r="5" spans="1:18" x14ac:dyDescent="0.3">
      <c r="A5" t="s">
        <v>158</v>
      </c>
      <c r="B5" s="5">
        <v>1647</v>
      </c>
    </row>
    <row r="6" spans="1:18" x14ac:dyDescent="0.3">
      <c r="A6" t="s">
        <v>159</v>
      </c>
      <c r="B6">
        <v>588</v>
      </c>
    </row>
    <row r="7" spans="1:18" x14ac:dyDescent="0.3">
      <c r="A7" t="s">
        <v>160</v>
      </c>
      <c r="B7">
        <v>372</v>
      </c>
    </row>
    <row r="8" spans="1:18" x14ac:dyDescent="0.3">
      <c r="A8" t="s">
        <v>55</v>
      </c>
      <c r="B8">
        <v>615</v>
      </c>
    </row>
    <row r="9" spans="1:18" x14ac:dyDescent="0.3">
      <c r="A9" t="s">
        <v>161</v>
      </c>
      <c r="B9" s="5">
        <v>1059</v>
      </c>
    </row>
    <row r="10" spans="1:18" x14ac:dyDescent="0.3">
      <c r="A10" t="s">
        <v>162</v>
      </c>
      <c r="B10">
        <v>429</v>
      </c>
    </row>
    <row r="11" spans="1:18" x14ac:dyDescent="0.3">
      <c r="A11" t="s">
        <v>163</v>
      </c>
      <c r="B11">
        <v>355</v>
      </c>
    </row>
    <row r="12" spans="1:18" x14ac:dyDescent="0.3">
      <c r="A12" t="s">
        <v>164</v>
      </c>
      <c r="B12" s="5">
        <v>3092</v>
      </c>
    </row>
    <row r="13" spans="1:18" x14ac:dyDescent="0.3">
      <c r="A13" t="s">
        <v>165</v>
      </c>
      <c r="B13">
        <v>98</v>
      </c>
    </row>
    <row r="14" spans="1:18" x14ac:dyDescent="0.3">
      <c r="A14" t="s">
        <v>53</v>
      </c>
      <c r="B14">
        <v>266</v>
      </c>
    </row>
    <row r="15" spans="1:18" x14ac:dyDescent="0.3">
      <c r="A15" t="s">
        <v>166</v>
      </c>
      <c r="B15">
        <v>435</v>
      </c>
    </row>
    <row r="16" spans="1:18" x14ac:dyDescent="0.3">
      <c r="A16" s="3" t="s">
        <v>167</v>
      </c>
      <c r="B16" s="6">
        <v>10000</v>
      </c>
      <c r="N16" s="63"/>
      <c r="O16" s="63"/>
      <c r="P16" s="63"/>
    </row>
    <row r="17" spans="1:18" x14ac:dyDescent="0.3">
      <c r="A17" t="s">
        <v>25</v>
      </c>
      <c r="N17" s="63"/>
      <c r="O17" s="63"/>
      <c r="P17" s="63"/>
    </row>
    <row r="18" spans="1:18" x14ac:dyDescent="0.3">
      <c r="N18" s="63"/>
      <c r="O18" s="63"/>
      <c r="P18" s="63"/>
    </row>
    <row r="19" spans="1:18" x14ac:dyDescent="0.3">
      <c r="N19" s="63"/>
      <c r="O19" s="63"/>
      <c r="P19" s="63"/>
      <c r="Q19" s="63"/>
      <c r="R19" s="63"/>
    </row>
  </sheetData>
  <mergeCells count="4">
    <mergeCell ref="N16:P16"/>
    <mergeCell ref="N17:P17"/>
    <mergeCell ref="N18:P18"/>
    <mergeCell ref="N19:R19"/>
  </mergeCells>
  <pageMargins left="0.7" right="0.7" top="0.75" bottom="0.75" header="0.3" footer="0.3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92D050"/>
  </sheetPr>
  <dimension ref="A1:C22"/>
  <sheetViews>
    <sheetView showGridLines="0" workbookViewId="0">
      <selection activeCell="U11" sqref="U11"/>
    </sheetView>
  </sheetViews>
  <sheetFormatPr baseColWidth="10" defaultColWidth="8.6640625" defaultRowHeight="14.4" x14ac:dyDescent="0.3"/>
  <cols>
    <col min="1" max="1" width="40" bestFit="1" customWidth="1"/>
    <col min="2" max="3" width="15.44140625" customWidth="1"/>
    <col min="4" max="4" width="7" bestFit="1" customWidth="1"/>
  </cols>
  <sheetData>
    <row r="1" spans="1:3" x14ac:dyDescent="0.3">
      <c r="A1" s="1" t="s">
        <v>40</v>
      </c>
      <c r="B1" s="1"/>
      <c r="C1" s="1"/>
    </row>
    <row r="2" spans="1:3" x14ac:dyDescent="0.3">
      <c r="A2" s="3" t="s">
        <v>41</v>
      </c>
      <c r="B2" s="3" t="s">
        <v>42</v>
      </c>
      <c r="C2" s="3" t="s">
        <v>43</v>
      </c>
    </row>
    <row r="3" spans="1:3" x14ac:dyDescent="0.3">
      <c r="A3" s="11" t="s">
        <v>171</v>
      </c>
      <c r="B3">
        <v>1</v>
      </c>
      <c r="C3">
        <v>0</v>
      </c>
    </row>
    <row r="4" spans="1:3" x14ac:dyDescent="0.3">
      <c r="A4" s="11" t="s">
        <v>172</v>
      </c>
      <c r="B4">
        <v>1</v>
      </c>
      <c r="C4">
        <v>0</v>
      </c>
    </row>
    <row r="5" spans="1:3" x14ac:dyDescent="0.3">
      <c r="A5" s="11" t="s">
        <v>224</v>
      </c>
      <c r="B5">
        <v>2</v>
      </c>
      <c r="C5">
        <v>6</v>
      </c>
    </row>
    <row r="6" spans="1:3" x14ac:dyDescent="0.3">
      <c r="A6" s="11" t="s">
        <v>173</v>
      </c>
      <c r="B6">
        <v>1</v>
      </c>
      <c r="C6">
        <v>0</v>
      </c>
    </row>
    <row r="7" spans="1:3" x14ac:dyDescent="0.3">
      <c r="A7" s="11" t="s">
        <v>174</v>
      </c>
      <c r="B7">
        <v>2</v>
      </c>
      <c r="C7">
        <v>0</v>
      </c>
    </row>
    <row r="8" spans="1:3" x14ac:dyDescent="0.3">
      <c r="A8" s="11" t="s">
        <v>175</v>
      </c>
      <c r="B8">
        <v>1</v>
      </c>
      <c r="C8">
        <v>0</v>
      </c>
    </row>
    <row r="9" spans="1:3" x14ac:dyDescent="0.3">
      <c r="A9" s="11" t="s">
        <v>176</v>
      </c>
      <c r="B9">
        <v>1</v>
      </c>
      <c r="C9">
        <v>1</v>
      </c>
    </row>
    <row r="10" spans="1:3" x14ac:dyDescent="0.3">
      <c r="A10" s="11" t="s">
        <v>177</v>
      </c>
      <c r="B10">
        <v>4</v>
      </c>
      <c r="C10">
        <v>3</v>
      </c>
    </row>
    <row r="11" spans="1:3" x14ac:dyDescent="0.3">
      <c r="A11" s="11" t="s">
        <v>178</v>
      </c>
      <c r="B11">
        <v>5</v>
      </c>
      <c r="C11">
        <v>1</v>
      </c>
    </row>
    <row r="12" spans="1:3" x14ac:dyDescent="0.3">
      <c r="A12" s="11" t="s">
        <v>179</v>
      </c>
      <c r="B12">
        <v>3</v>
      </c>
      <c r="C12">
        <v>2</v>
      </c>
    </row>
    <row r="13" spans="1:3" x14ac:dyDescent="0.3">
      <c r="A13" s="11" t="s">
        <v>225</v>
      </c>
      <c r="B13">
        <v>0</v>
      </c>
      <c r="C13">
        <v>2</v>
      </c>
    </row>
    <row r="14" spans="1:3" x14ac:dyDescent="0.3">
      <c r="A14" s="11" t="s">
        <v>180</v>
      </c>
      <c r="B14">
        <v>1</v>
      </c>
      <c r="C14">
        <v>2</v>
      </c>
    </row>
    <row r="15" spans="1:3" x14ac:dyDescent="0.3">
      <c r="A15" s="11" t="s">
        <v>226</v>
      </c>
      <c r="B15">
        <v>0</v>
      </c>
      <c r="C15">
        <v>2</v>
      </c>
    </row>
    <row r="16" spans="1:3" x14ac:dyDescent="0.3">
      <c r="A16" s="11" t="s">
        <v>181</v>
      </c>
      <c r="B16">
        <v>0</v>
      </c>
      <c r="C16">
        <v>0</v>
      </c>
    </row>
    <row r="17" spans="1:3" x14ac:dyDescent="0.3">
      <c r="A17" s="11" t="s">
        <v>182</v>
      </c>
      <c r="B17">
        <v>0</v>
      </c>
      <c r="C17">
        <v>3</v>
      </c>
    </row>
    <row r="18" spans="1:3" x14ac:dyDescent="0.3">
      <c r="A18" s="11" t="s">
        <v>227</v>
      </c>
      <c r="B18">
        <v>2</v>
      </c>
      <c r="C18">
        <v>0</v>
      </c>
    </row>
    <row r="19" spans="1:3" x14ac:dyDescent="0.3">
      <c r="A19" s="11" t="s">
        <v>183</v>
      </c>
      <c r="B19">
        <v>0</v>
      </c>
      <c r="C19">
        <v>7</v>
      </c>
    </row>
    <row r="20" spans="1:3" x14ac:dyDescent="0.3">
      <c r="A20" s="11" t="s">
        <v>228</v>
      </c>
      <c r="B20">
        <v>5</v>
      </c>
      <c r="C20">
        <v>0</v>
      </c>
    </row>
    <row r="21" spans="1:3" x14ac:dyDescent="0.3">
      <c r="A21" s="17" t="s">
        <v>29</v>
      </c>
      <c r="B21" s="3">
        <v>29</v>
      </c>
      <c r="C21" s="3">
        <v>29</v>
      </c>
    </row>
    <row r="22" spans="1:3" x14ac:dyDescent="0.3">
      <c r="A22" t="s">
        <v>132</v>
      </c>
    </row>
  </sheetData>
  <pageMargins left="0.7" right="0.7" top="0.75" bottom="0.75" header="0.3" footer="0.3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6"/>
  <sheetViews>
    <sheetView showGridLines="0" zoomScale="80" zoomScaleNormal="80" workbookViewId="0">
      <selection activeCell="Q2" sqref="Q2"/>
    </sheetView>
  </sheetViews>
  <sheetFormatPr baseColWidth="10" defaultColWidth="8.6640625" defaultRowHeight="14.4" x14ac:dyDescent="0.3"/>
  <cols>
    <col min="1" max="1" width="14.88671875" customWidth="1"/>
    <col min="2" max="7" width="26.5546875" customWidth="1"/>
    <col min="8" max="8" width="7" bestFit="1" customWidth="1"/>
    <col min="11" max="11" width="16.33203125" customWidth="1"/>
    <col min="12" max="12" width="24" bestFit="1" customWidth="1"/>
    <col min="13" max="13" width="21.21875" bestFit="1" customWidth="1"/>
    <col min="14" max="14" width="23.88671875" bestFit="1" customWidth="1"/>
    <col min="15" max="15" width="9.44140625" bestFit="1" customWidth="1"/>
    <col min="16" max="16" width="34.109375" customWidth="1"/>
    <col min="17" max="17" width="31.21875" customWidth="1"/>
    <col min="18" max="18" width="24.109375" customWidth="1"/>
  </cols>
  <sheetData>
    <row r="1" spans="1:18" ht="15.6" x14ac:dyDescent="0.3">
      <c r="A1" s="43" t="s">
        <v>13</v>
      </c>
      <c r="B1" s="43"/>
      <c r="C1" s="43"/>
      <c r="D1" s="43"/>
      <c r="E1" s="43"/>
      <c r="F1" s="43"/>
      <c r="G1" s="43"/>
      <c r="K1" s="65" t="s">
        <v>303</v>
      </c>
      <c r="L1" s="65"/>
      <c r="M1" s="65"/>
      <c r="N1" s="65"/>
      <c r="O1" s="65"/>
      <c r="P1" s="65"/>
      <c r="Q1" s="65"/>
      <c r="R1" s="65"/>
    </row>
    <row r="2" spans="1:18" ht="49.2" customHeight="1" x14ac:dyDescent="0.3">
      <c r="A2" s="44" t="s">
        <v>1</v>
      </c>
      <c r="B2" s="44" t="s">
        <v>14</v>
      </c>
      <c r="C2" s="44" t="s">
        <v>15</v>
      </c>
      <c r="D2" s="44" t="s">
        <v>3</v>
      </c>
      <c r="E2" s="44" t="s">
        <v>16</v>
      </c>
      <c r="F2" s="44" t="s">
        <v>17</v>
      </c>
      <c r="G2" s="44" t="s">
        <v>18</v>
      </c>
      <c r="K2" s="26" t="s">
        <v>1</v>
      </c>
      <c r="L2" s="26" t="s">
        <v>14</v>
      </c>
      <c r="M2" s="26" t="s">
        <v>15</v>
      </c>
      <c r="N2" s="26" t="s">
        <v>3</v>
      </c>
      <c r="O2" s="26" t="s">
        <v>16</v>
      </c>
      <c r="P2" s="84" t="s">
        <v>17</v>
      </c>
      <c r="Q2" s="85" t="s">
        <v>18</v>
      </c>
      <c r="R2" s="26" t="s">
        <v>249</v>
      </c>
    </row>
    <row r="3" spans="1:18" x14ac:dyDescent="0.3">
      <c r="A3" s="35" t="s">
        <v>156</v>
      </c>
      <c r="B3" s="35">
        <v>3</v>
      </c>
      <c r="C3" s="35">
        <v>214</v>
      </c>
      <c r="D3" s="45">
        <v>5773</v>
      </c>
      <c r="E3" s="45">
        <v>1429</v>
      </c>
      <c r="F3" s="35">
        <v>0</v>
      </c>
      <c r="G3" s="35">
        <v>0</v>
      </c>
      <c r="K3" s="26" t="s">
        <v>6</v>
      </c>
      <c r="L3" s="26">
        <v>4</v>
      </c>
      <c r="M3" s="26">
        <v>400</v>
      </c>
      <c r="N3" s="26" t="s">
        <v>304</v>
      </c>
      <c r="O3" s="26">
        <v>455</v>
      </c>
      <c r="P3" s="26">
        <v>0</v>
      </c>
      <c r="Q3" s="26">
        <v>0</v>
      </c>
      <c r="R3" s="26"/>
    </row>
    <row r="4" spans="1:18" x14ac:dyDescent="0.3">
      <c r="A4" s="35" t="s">
        <v>157</v>
      </c>
      <c r="B4" s="35">
        <v>11</v>
      </c>
      <c r="C4" s="35">
        <v>331</v>
      </c>
      <c r="D4" s="45">
        <v>8719</v>
      </c>
      <c r="E4" s="35">
        <v>222</v>
      </c>
      <c r="F4" s="35">
        <v>0</v>
      </c>
      <c r="G4" s="35">
        <v>0</v>
      </c>
      <c r="K4" s="26" t="s">
        <v>257</v>
      </c>
      <c r="L4" s="26">
        <v>2</v>
      </c>
      <c r="M4" s="26">
        <v>425</v>
      </c>
      <c r="N4" s="26" t="s">
        <v>305</v>
      </c>
      <c r="O4" s="26">
        <v>72</v>
      </c>
      <c r="P4" s="26">
        <v>1</v>
      </c>
      <c r="Q4" s="26">
        <v>0</v>
      </c>
      <c r="R4" s="26"/>
    </row>
    <row r="5" spans="1:18" x14ac:dyDescent="0.3">
      <c r="A5" s="35" t="s">
        <v>158</v>
      </c>
      <c r="B5" s="35">
        <v>94</v>
      </c>
      <c r="C5" s="45">
        <v>2407</v>
      </c>
      <c r="D5" s="45">
        <v>20839</v>
      </c>
      <c r="E5" s="45">
        <v>1682</v>
      </c>
      <c r="F5" s="35">
        <v>30</v>
      </c>
      <c r="G5" s="35">
        <v>6</v>
      </c>
      <c r="K5" s="26" t="s">
        <v>7</v>
      </c>
      <c r="L5" s="26">
        <v>154</v>
      </c>
      <c r="M5" s="26" t="s">
        <v>306</v>
      </c>
      <c r="N5" s="26" t="s">
        <v>307</v>
      </c>
      <c r="O5" s="26" t="s">
        <v>308</v>
      </c>
      <c r="P5" s="26">
        <v>648</v>
      </c>
      <c r="Q5" s="26">
        <v>2</v>
      </c>
      <c r="R5" s="26"/>
    </row>
    <row r="6" spans="1:18" x14ac:dyDescent="0.3">
      <c r="A6" s="35" t="s">
        <v>159</v>
      </c>
      <c r="B6" s="35">
        <v>4</v>
      </c>
      <c r="C6" s="35">
        <v>175</v>
      </c>
      <c r="D6" s="45">
        <v>21776</v>
      </c>
      <c r="E6" s="45">
        <v>1261</v>
      </c>
      <c r="F6" s="35">
        <v>0</v>
      </c>
      <c r="G6" s="35">
        <v>0</v>
      </c>
      <c r="K6" s="26" t="s">
        <v>8</v>
      </c>
      <c r="L6" s="26">
        <v>3</v>
      </c>
      <c r="M6" s="26">
        <v>112</v>
      </c>
      <c r="N6" s="26" t="s">
        <v>309</v>
      </c>
      <c r="O6" s="26">
        <v>206</v>
      </c>
      <c r="P6" s="26">
        <v>0</v>
      </c>
      <c r="Q6" s="26">
        <v>0</v>
      </c>
      <c r="R6" s="26"/>
    </row>
    <row r="7" spans="1:18" x14ac:dyDescent="0.3">
      <c r="A7" s="35" t="s">
        <v>160</v>
      </c>
      <c r="B7" s="35">
        <v>8</v>
      </c>
      <c r="C7" s="35">
        <v>460</v>
      </c>
      <c r="D7" s="45">
        <v>7411</v>
      </c>
      <c r="E7" s="35">
        <v>743</v>
      </c>
      <c r="F7" s="35">
        <v>0</v>
      </c>
      <c r="G7" s="35">
        <v>0</v>
      </c>
      <c r="K7" s="26" t="s">
        <v>9</v>
      </c>
      <c r="L7" s="26">
        <v>2</v>
      </c>
      <c r="M7" s="26">
        <v>619</v>
      </c>
      <c r="N7" s="26" t="s">
        <v>310</v>
      </c>
      <c r="O7" s="26">
        <v>242</v>
      </c>
      <c r="P7" s="26">
        <v>0</v>
      </c>
      <c r="Q7" s="26">
        <v>0</v>
      </c>
      <c r="R7" s="26"/>
    </row>
    <row r="8" spans="1:18" x14ac:dyDescent="0.3">
      <c r="A8" s="35" t="s">
        <v>55</v>
      </c>
      <c r="B8" s="35">
        <v>25</v>
      </c>
      <c r="C8" s="45">
        <v>1413</v>
      </c>
      <c r="D8" s="45">
        <v>20814</v>
      </c>
      <c r="E8" s="45">
        <v>1007</v>
      </c>
      <c r="F8" s="35">
        <v>0</v>
      </c>
      <c r="G8" s="35">
        <v>0</v>
      </c>
      <c r="K8" s="26" t="s">
        <v>258</v>
      </c>
      <c r="L8" s="26">
        <v>15</v>
      </c>
      <c r="M8" s="26" t="s">
        <v>311</v>
      </c>
      <c r="N8" s="26" t="s">
        <v>312</v>
      </c>
      <c r="O8" s="26">
        <v>626</v>
      </c>
      <c r="P8" s="26">
        <v>2</v>
      </c>
      <c r="Q8" s="26">
        <v>0</v>
      </c>
      <c r="R8" s="26"/>
    </row>
    <row r="9" spans="1:18" x14ac:dyDescent="0.3">
      <c r="A9" s="35" t="s">
        <v>161</v>
      </c>
      <c r="B9" s="35">
        <v>14</v>
      </c>
      <c r="C9" s="35">
        <v>0</v>
      </c>
      <c r="D9" s="45">
        <v>5548</v>
      </c>
      <c r="E9" s="35">
        <v>41</v>
      </c>
      <c r="F9" s="35">
        <v>0</v>
      </c>
      <c r="G9" s="35">
        <v>0</v>
      </c>
      <c r="K9" s="26" t="s">
        <v>259</v>
      </c>
      <c r="L9" s="26">
        <v>5</v>
      </c>
      <c r="M9" s="26">
        <v>67</v>
      </c>
      <c r="N9" s="26" t="s">
        <v>313</v>
      </c>
      <c r="O9" s="26">
        <v>90</v>
      </c>
      <c r="P9" s="26">
        <v>1</v>
      </c>
      <c r="Q9" s="26">
        <v>0</v>
      </c>
      <c r="R9" s="26"/>
    </row>
    <row r="10" spans="1:18" x14ac:dyDescent="0.3">
      <c r="A10" s="35" t="s">
        <v>162</v>
      </c>
      <c r="B10" s="35">
        <v>14</v>
      </c>
      <c r="C10" s="35">
        <v>329</v>
      </c>
      <c r="D10" s="45">
        <v>11915</v>
      </c>
      <c r="E10" s="35">
        <v>371</v>
      </c>
      <c r="F10" s="35">
        <v>0</v>
      </c>
      <c r="G10" s="35">
        <v>0</v>
      </c>
      <c r="K10" s="26" t="s">
        <v>260</v>
      </c>
      <c r="L10" s="26">
        <v>6</v>
      </c>
      <c r="M10" s="26">
        <v>308</v>
      </c>
      <c r="N10" s="26" t="s">
        <v>314</v>
      </c>
      <c r="O10" s="26">
        <v>121</v>
      </c>
      <c r="P10" s="26">
        <v>12</v>
      </c>
      <c r="Q10" s="26">
        <v>0</v>
      </c>
      <c r="R10" s="26"/>
    </row>
    <row r="11" spans="1:18" x14ac:dyDescent="0.3">
      <c r="A11" s="35" t="s">
        <v>163</v>
      </c>
      <c r="B11" s="35">
        <v>83</v>
      </c>
      <c r="C11" s="35">
        <v>616</v>
      </c>
      <c r="D11" s="45">
        <v>14405</v>
      </c>
      <c r="E11" s="35">
        <v>354</v>
      </c>
      <c r="F11" s="35">
        <v>30</v>
      </c>
      <c r="G11" s="35">
        <v>0</v>
      </c>
      <c r="K11" s="26" t="s">
        <v>261</v>
      </c>
      <c r="L11" s="26">
        <v>16</v>
      </c>
      <c r="M11" s="26">
        <v>766</v>
      </c>
      <c r="N11" s="26" t="s">
        <v>315</v>
      </c>
      <c r="O11" s="26">
        <v>623</v>
      </c>
      <c r="P11" s="26">
        <v>108</v>
      </c>
      <c r="Q11" s="26">
        <v>1</v>
      </c>
      <c r="R11" s="26"/>
    </row>
    <row r="12" spans="1:18" x14ac:dyDescent="0.3">
      <c r="A12" s="35" t="s">
        <v>164</v>
      </c>
      <c r="B12" s="35">
        <v>76</v>
      </c>
      <c r="C12" s="35">
        <v>111</v>
      </c>
      <c r="D12" s="45">
        <v>9249</v>
      </c>
      <c r="E12" s="35">
        <v>250</v>
      </c>
      <c r="F12" s="35">
        <v>0</v>
      </c>
      <c r="G12" s="35">
        <v>0</v>
      </c>
      <c r="K12" s="26" t="s">
        <v>262</v>
      </c>
      <c r="L12" s="26">
        <v>169</v>
      </c>
      <c r="M12" s="26">
        <v>378</v>
      </c>
      <c r="N12" s="26" t="s">
        <v>316</v>
      </c>
      <c r="O12" s="26">
        <v>820</v>
      </c>
      <c r="P12" s="26">
        <v>122</v>
      </c>
      <c r="Q12" s="26">
        <v>0</v>
      </c>
      <c r="R12" s="26"/>
    </row>
    <row r="13" spans="1:18" x14ac:dyDescent="0.3">
      <c r="A13" s="35" t="s">
        <v>165</v>
      </c>
      <c r="B13" s="35">
        <v>2</v>
      </c>
      <c r="C13" s="35">
        <v>279</v>
      </c>
      <c r="D13" s="35">
        <v>370</v>
      </c>
      <c r="E13" s="35">
        <v>135</v>
      </c>
      <c r="F13" s="35">
        <v>0</v>
      </c>
      <c r="G13" s="35">
        <v>0</v>
      </c>
      <c r="K13" s="26" t="s">
        <v>10</v>
      </c>
      <c r="L13" s="26">
        <v>0</v>
      </c>
      <c r="M13" s="26">
        <v>480</v>
      </c>
      <c r="N13" s="26">
        <v>992</v>
      </c>
      <c r="O13" s="26">
        <v>38</v>
      </c>
      <c r="P13" s="26">
        <v>0</v>
      </c>
      <c r="Q13" s="26">
        <v>0</v>
      </c>
      <c r="R13" s="26"/>
    </row>
    <row r="14" spans="1:18" x14ac:dyDescent="0.3">
      <c r="A14" s="35" t="s">
        <v>53</v>
      </c>
      <c r="B14" s="35">
        <v>0</v>
      </c>
      <c r="C14" s="35">
        <v>0</v>
      </c>
      <c r="D14" s="35">
        <v>747</v>
      </c>
      <c r="E14" s="35">
        <v>537</v>
      </c>
      <c r="F14" s="35">
        <v>0</v>
      </c>
      <c r="G14" s="35">
        <v>0</v>
      </c>
      <c r="K14" s="26" t="s">
        <v>11</v>
      </c>
      <c r="L14" s="26">
        <v>3</v>
      </c>
      <c r="M14" s="26">
        <v>141</v>
      </c>
      <c r="N14" s="26" t="s">
        <v>317</v>
      </c>
      <c r="O14" s="26">
        <v>54</v>
      </c>
      <c r="P14" s="26">
        <v>0</v>
      </c>
      <c r="Q14" s="26">
        <v>0</v>
      </c>
      <c r="R14" s="26"/>
    </row>
    <row r="15" spans="1:18" x14ac:dyDescent="0.3">
      <c r="A15" s="35" t="s">
        <v>166</v>
      </c>
      <c r="B15" s="35">
        <v>109</v>
      </c>
      <c r="C15" s="35">
        <v>688</v>
      </c>
      <c r="D15" s="45">
        <v>16371</v>
      </c>
      <c r="E15" s="35">
        <v>171</v>
      </c>
      <c r="F15" s="35">
        <v>30</v>
      </c>
      <c r="G15" s="35">
        <v>0</v>
      </c>
      <c r="K15" s="26" t="s">
        <v>12</v>
      </c>
      <c r="L15" s="26">
        <v>50</v>
      </c>
      <c r="M15" s="26">
        <v>661</v>
      </c>
      <c r="N15" s="26" t="s">
        <v>318</v>
      </c>
      <c r="O15" s="26">
        <v>45</v>
      </c>
      <c r="P15" s="26">
        <v>229</v>
      </c>
      <c r="Q15" s="26">
        <v>0</v>
      </c>
      <c r="R15" s="26"/>
    </row>
    <row r="16" spans="1:18" x14ac:dyDescent="0.3">
      <c r="A16" s="43" t="s">
        <v>167</v>
      </c>
      <c r="B16" s="43">
        <v>443</v>
      </c>
      <c r="C16" s="46">
        <v>7023</v>
      </c>
      <c r="D16" s="46">
        <v>143937</v>
      </c>
      <c r="E16" s="46">
        <v>8203</v>
      </c>
      <c r="F16" s="43">
        <v>90</v>
      </c>
      <c r="G16" s="43">
        <v>6</v>
      </c>
      <c r="K16" s="64" t="s">
        <v>319</v>
      </c>
      <c r="L16" s="64"/>
      <c r="M16" s="64"/>
      <c r="N16" s="64"/>
      <c r="O16" s="64"/>
      <c r="P16" s="64"/>
      <c r="Q16" s="26">
        <v>429</v>
      </c>
      <c r="R16" s="26"/>
    </row>
    <row r="17" spans="1:18" x14ac:dyDescent="0.3">
      <c r="A17" t="s">
        <v>215</v>
      </c>
      <c r="D17" s="5"/>
      <c r="K17" s="64" t="s">
        <v>320</v>
      </c>
      <c r="L17" s="64"/>
      <c r="M17" s="64"/>
      <c r="N17" s="64"/>
      <c r="O17" s="64"/>
      <c r="P17" s="64"/>
      <c r="Q17" s="26" t="s">
        <v>321</v>
      </c>
      <c r="R17" s="26"/>
    </row>
    <row r="18" spans="1:18" x14ac:dyDescent="0.3">
      <c r="K18" s="64" t="s">
        <v>322</v>
      </c>
      <c r="L18" s="64"/>
      <c r="M18" s="64"/>
      <c r="N18" s="64"/>
      <c r="O18" s="64"/>
      <c r="P18" s="64"/>
      <c r="Q18" s="26" t="s">
        <v>323</v>
      </c>
      <c r="R18" s="26"/>
    </row>
    <row r="19" spans="1:18" x14ac:dyDescent="0.3">
      <c r="K19" s="64" t="s">
        <v>324</v>
      </c>
      <c r="L19" s="64"/>
      <c r="M19" s="64"/>
      <c r="N19" s="64"/>
      <c r="O19" s="64"/>
      <c r="P19" s="64"/>
      <c r="Q19" s="26" t="s">
        <v>325</v>
      </c>
      <c r="R19" s="26"/>
    </row>
    <row r="20" spans="1:18" x14ac:dyDescent="0.3">
      <c r="A20" s="43" t="s">
        <v>376</v>
      </c>
      <c r="B20" s="43"/>
      <c r="C20" s="43"/>
      <c r="D20" s="43"/>
      <c r="E20" s="43"/>
      <c r="F20" s="43"/>
      <c r="G20" s="43"/>
      <c r="K20" s="64" t="s">
        <v>326</v>
      </c>
      <c r="L20" s="64"/>
      <c r="M20" s="64"/>
      <c r="N20" s="64"/>
      <c r="O20" s="64"/>
      <c r="P20" s="64"/>
      <c r="Q20" s="26" t="s">
        <v>327</v>
      </c>
      <c r="R20" s="26"/>
    </row>
    <row r="21" spans="1:18" ht="43.2" x14ac:dyDescent="0.3">
      <c r="A21" s="44" t="s">
        <v>1</v>
      </c>
      <c r="B21" s="44" t="s">
        <v>14</v>
      </c>
      <c r="C21" s="44" t="s">
        <v>15</v>
      </c>
      <c r="D21" s="44" t="s">
        <v>3</v>
      </c>
      <c r="E21" s="44" t="s">
        <v>16</v>
      </c>
      <c r="F21" s="44" t="s">
        <v>17</v>
      </c>
      <c r="G21" s="44" t="s">
        <v>18</v>
      </c>
      <c r="K21" s="64" t="s">
        <v>328</v>
      </c>
      <c r="L21" s="64"/>
      <c r="M21" s="64"/>
      <c r="N21" s="64"/>
      <c r="O21" s="64"/>
      <c r="P21" s="64"/>
      <c r="Q21" s="26">
        <v>3</v>
      </c>
      <c r="R21" s="26"/>
    </row>
    <row r="22" spans="1:18" x14ac:dyDescent="0.3">
      <c r="A22" s="35" t="s">
        <v>156</v>
      </c>
      <c r="B22" s="35">
        <v>15</v>
      </c>
      <c r="C22" s="35">
        <v>184</v>
      </c>
      <c r="D22" s="45">
        <v>3000</v>
      </c>
      <c r="E22" s="45">
        <v>126</v>
      </c>
      <c r="F22" s="35">
        <v>0</v>
      </c>
      <c r="G22" s="35">
        <v>0</v>
      </c>
      <c r="K22" s="64" t="s">
        <v>269</v>
      </c>
      <c r="L22" s="64"/>
      <c r="M22" s="64"/>
      <c r="N22" s="64"/>
      <c r="O22" s="64"/>
      <c r="P22" s="64"/>
      <c r="Q22" s="64"/>
      <c r="R22" s="64"/>
    </row>
    <row r="23" spans="1:18" x14ac:dyDescent="0.3">
      <c r="A23" s="35" t="s">
        <v>157</v>
      </c>
      <c r="B23" s="35">
        <v>2</v>
      </c>
      <c r="C23" s="35">
        <v>260</v>
      </c>
      <c r="D23" s="45">
        <v>1900</v>
      </c>
      <c r="E23" s="35">
        <v>16</v>
      </c>
      <c r="F23" s="35">
        <v>7</v>
      </c>
      <c r="G23" s="35">
        <v>1</v>
      </c>
    </row>
    <row r="24" spans="1:18" x14ac:dyDescent="0.3">
      <c r="A24" s="35" t="s">
        <v>158</v>
      </c>
      <c r="B24" s="35">
        <v>67</v>
      </c>
      <c r="C24" s="45">
        <v>2699</v>
      </c>
      <c r="D24" s="45">
        <v>15160</v>
      </c>
      <c r="E24" s="45">
        <v>65</v>
      </c>
      <c r="F24" s="35">
        <v>355</v>
      </c>
      <c r="G24" s="35">
        <v>30</v>
      </c>
    </row>
    <row r="25" spans="1:18" x14ac:dyDescent="0.3">
      <c r="A25" s="35" t="s">
        <v>159</v>
      </c>
      <c r="B25" s="35">
        <v>4</v>
      </c>
      <c r="C25" s="35">
        <v>54</v>
      </c>
      <c r="D25" s="45">
        <v>0</v>
      </c>
      <c r="E25" s="45">
        <v>50</v>
      </c>
      <c r="F25" s="35">
        <v>0</v>
      </c>
      <c r="G25" s="35">
        <v>0</v>
      </c>
    </row>
    <row r="26" spans="1:18" x14ac:dyDescent="0.3">
      <c r="A26" s="35" t="s">
        <v>160</v>
      </c>
      <c r="B26" s="35">
        <v>5</v>
      </c>
      <c r="C26" s="35">
        <v>464</v>
      </c>
      <c r="D26" s="45">
        <v>2940</v>
      </c>
      <c r="E26" s="35">
        <v>66</v>
      </c>
      <c r="F26" s="35">
        <v>0</v>
      </c>
      <c r="G26" s="35">
        <v>0</v>
      </c>
    </row>
    <row r="27" spans="1:18" x14ac:dyDescent="0.3">
      <c r="A27" s="35" t="s">
        <v>55</v>
      </c>
      <c r="B27" s="35">
        <v>24</v>
      </c>
      <c r="C27" s="45">
        <v>1752</v>
      </c>
      <c r="D27" s="45">
        <v>8941</v>
      </c>
      <c r="E27" s="45">
        <v>70</v>
      </c>
      <c r="F27" s="35">
        <v>1</v>
      </c>
      <c r="G27" s="35">
        <v>0</v>
      </c>
    </row>
    <row r="28" spans="1:18" x14ac:dyDescent="0.3">
      <c r="A28" s="35" t="s">
        <v>161</v>
      </c>
      <c r="B28" s="35">
        <v>9</v>
      </c>
      <c r="C28" s="35">
        <v>0</v>
      </c>
      <c r="D28" s="45">
        <v>0</v>
      </c>
      <c r="E28" s="35">
        <v>9</v>
      </c>
      <c r="F28" s="35">
        <v>1</v>
      </c>
      <c r="G28" s="35">
        <v>2</v>
      </c>
    </row>
    <row r="29" spans="1:18" x14ac:dyDescent="0.3">
      <c r="A29" s="35" t="s">
        <v>162</v>
      </c>
      <c r="B29" s="35">
        <v>34</v>
      </c>
      <c r="C29" s="35">
        <v>368</v>
      </c>
      <c r="D29" s="45">
        <v>6160</v>
      </c>
      <c r="E29" s="35">
        <v>34</v>
      </c>
      <c r="F29" s="35">
        <v>24</v>
      </c>
      <c r="G29" s="35">
        <v>0</v>
      </c>
    </row>
    <row r="30" spans="1:18" x14ac:dyDescent="0.3">
      <c r="A30" s="35" t="s">
        <v>163</v>
      </c>
      <c r="B30" s="35">
        <v>32</v>
      </c>
      <c r="C30" s="35">
        <v>187</v>
      </c>
      <c r="D30" s="45">
        <v>480</v>
      </c>
      <c r="E30" s="35">
        <v>27</v>
      </c>
      <c r="F30" s="35">
        <v>25</v>
      </c>
      <c r="G30" s="35">
        <v>2</v>
      </c>
    </row>
    <row r="31" spans="1:18" x14ac:dyDescent="0.3">
      <c r="A31" s="35" t="s">
        <v>164</v>
      </c>
      <c r="B31" s="35">
        <v>20</v>
      </c>
      <c r="C31" s="35">
        <v>253</v>
      </c>
      <c r="D31" s="45">
        <v>460</v>
      </c>
      <c r="E31" s="35">
        <v>0</v>
      </c>
      <c r="F31" s="35">
        <v>21</v>
      </c>
      <c r="G31" s="35">
        <v>0</v>
      </c>
    </row>
    <row r="32" spans="1:18" x14ac:dyDescent="0.3">
      <c r="A32" s="35" t="s">
        <v>165</v>
      </c>
      <c r="B32" s="35">
        <v>2</v>
      </c>
      <c r="C32" s="35">
        <v>229</v>
      </c>
      <c r="D32" s="35">
        <v>0</v>
      </c>
      <c r="E32" s="35">
        <v>6</v>
      </c>
      <c r="F32" s="35">
        <v>0</v>
      </c>
      <c r="G32" s="35">
        <v>0</v>
      </c>
    </row>
    <row r="33" spans="1:7" x14ac:dyDescent="0.3">
      <c r="A33" s="35" t="s">
        <v>53</v>
      </c>
      <c r="B33" s="35">
        <v>14</v>
      </c>
      <c r="C33" s="35">
        <v>0</v>
      </c>
      <c r="D33" s="35">
        <v>0</v>
      </c>
      <c r="E33" s="35">
        <v>31</v>
      </c>
      <c r="F33" s="35">
        <v>9</v>
      </c>
      <c r="G33" s="35">
        <v>0</v>
      </c>
    </row>
    <row r="34" spans="1:7" x14ac:dyDescent="0.3">
      <c r="A34" s="35" t="s">
        <v>166</v>
      </c>
      <c r="B34" s="35">
        <v>46</v>
      </c>
      <c r="C34" s="35">
        <v>379</v>
      </c>
      <c r="D34" s="45">
        <v>5220</v>
      </c>
      <c r="E34" s="35">
        <v>14</v>
      </c>
      <c r="F34" s="35">
        <v>111</v>
      </c>
      <c r="G34" s="35">
        <v>25</v>
      </c>
    </row>
    <row r="35" spans="1:7" x14ac:dyDescent="0.3">
      <c r="A35" s="43" t="s">
        <v>167</v>
      </c>
      <c r="B35" s="43">
        <f t="shared" ref="B35:G35" si="0">SUM(B22:B34)</f>
        <v>274</v>
      </c>
      <c r="C35" s="46">
        <f t="shared" si="0"/>
        <v>6829</v>
      </c>
      <c r="D35" s="46">
        <f t="shared" si="0"/>
        <v>44261</v>
      </c>
      <c r="E35" s="46">
        <f t="shared" si="0"/>
        <v>514</v>
      </c>
      <c r="F35" s="43">
        <f t="shared" si="0"/>
        <v>554</v>
      </c>
      <c r="G35" s="43">
        <f t="shared" si="0"/>
        <v>60</v>
      </c>
    </row>
    <row r="36" spans="1:7" x14ac:dyDescent="0.3">
      <c r="A36" t="s">
        <v>377</v>
      </c>
      <c r="D36" s="5"/>
    </row>
  </sheetData>
  <mergeCells count="8">
    <mergeCell ref="K21:P21"/>
    <mergeCell ref="K22:R22"/>
    <mergeCell ref="K1:R1"/>
    <mergeCell ref="K16:P16"/>
    <mergeCell ref="K17:P17"/>
    <mergeCell ref="K18:P18"/>
    <mergeCell ref="K19:P19"/>
    <mergeCell ref="K20:P20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5"/>
  <sheetViews>
    <sheetView showGridLines="0" zoomScale="80" zoomScaleNormal="80" workbookViewId="0">
      <selection activeCell="O30" sqref="O30"/>
    </sheetView>
  </sheetViews>
  <sheetFormatPr baseColWidth="10" defaultColWidth="8.6640625" defaultRowHeight="14.4" x14ac:dyDescent="0.3"/>
  <cols>
    <col min="1" max="1" width="14" bestFit="1" customWidth="1"/>
    <col min="2" max="2" width="10.44140625" bestFit="1" customWidth="1"/>
    <col min="3" max="3" width="25.6640625" bestFit="1" customWidth="1"/>
    <col min="4" max="4" width="48.33203125" bestFit="1" customWidth="1"/>
    <col min="5" max="5" width="34.109375" bestFit="1" customWidth="1"/>
    <col min="6" max="6" width="7" bestFit="1" customWidth="1"/>
    <col min="9" max="9" width="14.109375" customWidth="1"/>
    <col min="10" max="10" width="15" customWidth="1"/>
    <col min="11" max="11" width="26.33203125" customWidth="1"/>
    <col min="12" max="12" width="49" customWidth="1"/>
    <col min="13" max="13" width="46.5546875" customWidth="1"/>
    <col min="14" max="14" width="32.6640625" customWidth="1"/>
    <col min="18" max="18" width="24.109375" customWidth="1"/>
  </cols>
  <sheetData>
    <row r="1" spans="1:13" x14ac:dyDescent="0.3">
      <c r="A1" s="43" t="s">
        <v>0</v>
      </c>
      <c r="B1" s="35"/>
      <c r="C1" s="35"/>
      <c r="D1" s="35"/>
      <c r="E1" s="35"/>
      <c r="F1" s="35"/>
      <c r="G1" s="35"/>
    </row>
    <row r="2" spans="1:13" x14ac:dyDescent="0.3">
      <c r="A2" s="44" t="s">
        <v>1</v>
      </c>
      <c r="B2" s="44" t="s">
        <v>2</v>
      </c>
      <c r="C2" s="44" t="s">
        <v>3</v>
      </c>
      <c r="D2" s="44" t="s">
        <v>4</v>
      </c>
      <c r="E2" s="44" t="s">
        <v>5</v>
      </c>
      <c r="F2" s="35"/>
      <c r="G2" s="35"/>
    </row>
    <row r="3" spans="1:13" x14ac:dyDescent="0.3">
      <c r="A3" s="35" t="s">
        <v>156</v>
      </c>
      <c r="B3" s="35">
        <v>0</v>
      </c>
      <c r="C3" s="35">
        <v>0</v>
      </c>
      <c r="D3" s="35">
        <v>0</v>
      </c>
      <c r="E3" s="35">
        <v>0</v>
      </c>
      <c r="F3" s="35"/>
      <c r="G3" s="35"/>
    </row>
    <row r="4" spans="1:13" x14ac:dyDescent="0.3">
      <c r="A4" s="35" t="s">
        <v>157</v>
      </c>
      <c r="B4" s="35">
        <v>1</v>
      </c>
      <c r="C4" s="35">
        <v>2</v>
      </c>
      <c r="D4" s="35">
        <v>176</v>
      </c>
      <c r="E4" s="35">
        <v>11</v>
      </c>
      <c r="F4" s="35"/>
      <c r="G4" s="35"/>
    </row>
    <row r="5" spans="1:13" x14ac:dyDescent="0.3">
      <c r="A5" s="35" t="s">
        <v>158</v>
      </c>
      <c r="B5" s="35">
        <v>4</v>
      </c>
      <c r="C5" s="35">
        <v>77</v>
      </c>
      <c r="D5" s="35">
        <v>404</v>
      </c>
      <c r="E5" s="35">
        <v>12</v>
      </c>
      <c r="F5" s="35"/>
      <c r="G5" s="35"/>
    </row>
    <row r="6" spans="1:13" x14ac:dyDescent="0.3">
      <c r="A6" s="35" t="s">
        <v>159</v>
      </c>
      <c r="B6" s="35">
        <v>2</v>
      </c>
      <c r="C6" s="35">
        <v>8</v>
      </c>
      <c r="D6" s="35">
        <v>32</v>
      </c>
      <c r="E6" s="35">
        <v>0</v>
      </c>
      <c r="F6" s="35"/>
      <c r="G6" s="35"/>
    </row>
    <row r="7" spans="1:13" x14ac:dyDescent="0.3">
      <c r="A7" s="35" t="s">
        <v>160</v>
      </c>
      <c r="B7" s="35">
        <v>3</v>
      </c>
      <c r="C7" s="35">
        <v>81</v>
      </c>
      <c r="D7" s="35">
        <v>230</v>
      </c>
      <c r="E7" s="35">
        <v>4</v>
      </c>
      <c r="F7" s="35"/>
      <c r="G7" s="35"/>
    </row>
    <row r="8" spans="1:13" x14ac:dyDescent="0.3">
      <c r="A8" s="35" t="s">
        <v>55</v>
      </c>
      <c r="B8" s="35">
        <v>1</v>
      </c>
      <c r="C8" s="35">
        <v>3</v>
      </c>
      <c r="D8" s="35">
        <v>383</v>
      </c>
      <c r="E8" s="35">
        <v>10</v>
      </c>
      <c r="F8" s="35"/>
      <c r="G8" s="35"/>
    </row>
    <row r="9" spans="1:13" x14ac:dyDescent="0.3">
      <c r="A9" s="35" t="s">
        <v>161</v>
      </c>
      <c r="B9" s="35">
        <v>0</v>
      </c>
      <c r="C9" s="35">
        <v>3</v>
      </c>
      <c r="D9" s="35">
        <v>6</v>
      </c>
      <c r="E9" s="35">
        <v>0</v>
      </c>
      <c r="F9" s="35"/>
      <c r="G9" s="35"/>
    </row>
    <row r="10" spans="1:13" x14ac:dyDescent="0.3">
      <c r="A10" s="35" t="s">
        <v>53</v>
      </c>
      <c r="B10" s="35">
        <v>0</v>
      </c>
      <c r="C10" s="35">
        <v>0</v>
      </c>
      <c r="D10" s="35">
        <v>293</v>
      </c>
      <c r="E10" s="35">
        <v>22</v>
      </c>
      <c r="F10" s="35"/>
      <c r="G10" s="35"/>
    </row>
    <row r="11" spans="1:13" x14ac:dyDescent="0.3">
      <c r="A11" s="35" t="s">
        <v>166</v>
      </c>
      <c r="B11" s="35">
        <v>0</v>
      </c>
      <c r="C11" s="35">
        <v>0</v>
      </c>
      <c r="D11" s="35">
        <v>20</v>
      </c>
      <c r="E11" s="35">
        <v>1</v>
      </c>
      <c r="F11" s="35"/>
      <c r="G11" s="35"/>
    </row>
    <row r="12" spans="1:13" x14ac:dyDescent="0.3">
      <c r="A12" s="43" t="s">
        <v>167</v>
      </c>
      <c r="B12" s="43">
        <v>11</v>
      </c>
      <c r="C12" s="43">
        <v>174</v>
      </c>
      <c r="D12" s="46">
        <v>1544</v>
      </c>
      <c r="E12" s="43">
        <v>60</v>
      </c>
      <c r="F12" s="35"/>
      <c r="G12" s="35"/>
    </row>
    <row r="13" spans="1:13" x14ac:dyDescent="0.3">
      <c r="A13" s="47" t="s">
        <v>215</v>
      </c>
      <c r="B13" s="35"/>
      <c r="C13" s="35"/>
      <c r="D13" s="35"/>
      <c r="E13" s="35"/>
      <c r="F13" s="35"/>
      <c r="G13" s="35"/>
    </row>
    <row r="14" spans="1:13" x14ac:dyDescent="0.3">
      <c r="A14" s="35"/>
      <c r="B14" s="35"/>
      <c r="C14" s="35"/>
      <c r="D14" s="35"/>
      <c r="E14" s="35"/>
      <c r="F14" s="35"/>
      <c r="G14" s="35"/>
    </row>
    <row r="15" spans="1:13" ht="15.6" x14ac:dyDescent="0.3">
      <c r="A15" s="67" t="s">
        <v>334</v>
      </c>
      <c r="B15" s="67"/>
      <c r="C15" s="67"/>
      <c r="D15" s="67"/>
      <c r="E15" s="67"/>
      <c r="F15" s="67"/>
      <c r="G15" s="35"/>
      <c r="I15" s="1" t="s">
        <v>378</v>
      </c>
    </row>
    <row r="16" spans="1:13" x14ac:dyDescent="0.3">
      <c r="A16" s="35" t="s">
        <v>1</v>
      </c>
      <c r="B16" s="35" t="s">
        <v>2</v>
      </c>
      <c r="C16" s="35" t="s">
        <v>3</v>
      </c>
      <c r="D16" s="35" t="s">
        <v>4</v>
      </c>
      <c r="E16" s="35" t="s">
        <v>5</v>
      </c>
      <c r="F16" s="35" t="s">
        <v>249</v>
      </c>
      <c r="G16" s="35"/>
      <c r="I16" s="4" t="s">
        <v>1</v>
      </c>
      <c r="J16" s="4" t="s">
        <v>2</v>
      </c>
      <c r="K16" s="4" t="s">
        <v>3</v>
      </c>
      <c r="L16" s="4" t="s">
        <v>4</v>
      </c>
      <c r="M16" s="4" t="s">
        <v>5</v>
      </c>
    </row>
    <row r="17" spans="1:13" x14ac:dyDescent="0.3">
      <c r="A17" s="42" t="s">
        <v>257</v>
      </c>
      <c r="B17" s="42">
        <v>0</v>
      </c>
      <c r="C17" s="42">
        <v>13</v>
      </c>
      <c r="D17" s="42">
        <v>181</v>
      </c>
      <c r="E17" s="42">
        <v>12</v>
      </c>
      <c r="F17" s="42"/>
      <c r="I17" t="s">
        <v>156</v>
      </c>
      <c r="J17">
        <v>0</v>
      </c>
      <c r="K17">
        <v>0</v>
      </c>
      <c r="L17">
        <v>0</v>
      </c>
      <c r="M17">
        <v>0</v>
      </c>
    </row>
    <row r="18" spans="1:13" x14ac:dyDescent="0.3">
      <c r="A18" s="26" t="s">
        <v>7</v>
      </c>
      <c r="B18" s="26">
        <v>4</v>
      </c>
      <c r="C18" s="26">
        <v>189</v>
      </c>
      <c r="D18" s="26">
        <v>545</v>
      </c>
      <c r="E18" s="26">
        <v>21</v>
      </c>
      <c r="F18" s="26"/>
      <c r="I18" t="s">
        <v>157</v>
      </c>
      <c r="J18">
        <v>4</v>
      </c>
      <c r="K18">
        <v>110</v>
      </c>
      <c r="L18">
        <v>151</v>
      </c>
      <c r="M18">
        <v>9</v>
      </c>
    </row>
    <row r="19" spans="1:13" x14ac:dyDescent="0.3">
      <c r="A19" s="52" t="s">
        <v>8</v>
      </c>
      <c r="B19" s="52">
        <v>0</v>
      </c>
      <c r="C19" s="52">
        <v>11</v>
      </c>
      <c r="D19" s="52">
        <v>78</v>
      </c>
      <c r="E19" s="52">
        <v>0</v>
      </c>
      <c r="F19" s="52"/>
      <c r="I19" t="s">
        <v>158</v>
      </c>
      <c r="J19">
        <v>2</v>
      </c>
      <c r="K19">
        <v>134</v>
      </c>
      <c r="L19">
        <v>178</v>
      </c>
      <c r="M19">
        <v>3</v>
      </c>
    </row>
    <row r="20" spans="1:13" x14ac:dyDescent="0.3">
      <c r="A20" s="35" t="s">
        <v>9</v>
      </c>
      <c r="B20" s="35">
        <v>4</v>
      </c>
      <c r="C20" s="35">
        <v>151</v>
      </c>
      <c r="D20" s="35">
        <v>900</v>
      </c>
      <c r="E20" s="35">
        <v>8</v>
      </c>
      <c r="F20" s="35"/>
      <c r="G20" s="35"/>
      <c r="I20" t="s">
        <v>159</v>
      </c>
      <c r="J20">
        <v>0</v>
      </c>
      <c r="K20">
        <v>34</v>
      </c>
      <c r="L20">
        <v>12</v>
      </c>
      <c r="M20">
        <v>0</v>
      </c>
    </row>
    <row r="21" spans="1:13" x14ac:dyDescent="0.3">
      <c r="A21" s="35" t="s">
        <v>258</v>
      </c>
      <c r="B21" s="35">
        <v>3</v>
      </c>
      <c r="C21" s="35">
        <v>150</v>
      </c>
      <c r="D21" s="35">
        <v>224</v>
      </c>
      <c r="E21" s="35">
        <v>9</v>
      </c>
      <c r="F21" s="35"/>
      <c r="G21" s="35"/>
      <c r="I21" t="s">
        <v>160</v>
      </c>
      <c r="J21">
        <v>6</v>
      </c>
      <c r="K21">
        <v>24</v>
      </c>
      <c r="L21">
        <v>64</v>
      </c>
      <c r="M21">
        <v>3</v>
      </c>
    </row>
    <row r="22" spans="1:13" x14ac:dyDescent="0.3">
      <c r="A22" s="35" t="s">
        <v>259</v>
      </c>
      <c r="B22" s="35">
        <v>0</v>
      </c>
      <c r="C22" s="35">
        <v>0</v>
      </c>
      <c r="D22" s="35">
        <v>4</v>
      </c>
      <c r="E22" s="35">
        <v>0</v>
      </c>
      <c r="F22" s="35"/>
      <c r="G22" s="35"/>
      <c r="I22" t="s">
        <v>55</v>
      </c>
      <c r="J22">
        <v>2</v>
      </c>
      <c r="K22">
        <v>142</v>
      </c>
      <c r="L22">
        <v>349</v>
      </c>
      <c r="M22">
        <v>10</v>
      </c>
    </row>
    <row r="23" spans="1:13" x14ac:dyDescent="0.3">
      <c r="A23" s="35" t="s">
        <v>260</v>
      </c>
      <c r="B23" s="35">
        <v>0</v>
      </c>
      <c r="C23" s="35">
        <v>0</v>
      </c>
      <c r="D23" s="35">
        <v>1</v>
      </c>
      <c r="E23" s="35">
        <v>0</v>
      </c>
      <c r="F23" s="35"/>
      <c r="G23" s="35"/>
      <c r="I23" t="s">
        <v>161</v>
      </c>
      <c r="J23">
        <v>0</v>
      </c>
      <c r="K23">
        <v>2</v>
      </c>
      <c r="L23">
        <v>0</v>
      </c>
      <c r="M23">
        <v>0</v>
      </c>
    </row>
    <row r="24" spans="1:13" x14ac:dyDescent="0.3">
      <c r="A24" s="35" t="s">
        <v>10</v>
      </c>
      <c r="B24" s="35">
        <v>0</v>
      </c>
      <c r="C24" s="35">
        <v>4</v>
      </c>
      <c r="D24" s="35">
        <v>24</v>
      </c>
      <c r="E24" s="35">
        <v>0</v>
      </c>
      <c r="F24" s="35"/>
      <c r="G24" s="35"/>
      <c r="I24" t="s">
        <v>162</v>
      </c>
      <c r="J24">
        <v>0</v>
      </c>
      <c r="K24">
        <v>0</v>
      </c>
      <c r="L24">
        <v>4</v>
      </c>
      <c r="M24">
        <v>0</v>
      </c>
    </row>
    <row r="25" spans="1:13" x14ac:dyDescent="0.3">
      <c r="A25" s="35" t="s">
        <v>11</v>
      </c>
      <c r="B25" s="35">
        <v>0</v>
      </c>
      <c r="C25" s="35">
        <v>6</v>
      </c>
      <c r="D25" s="35">
        <v>240</v>
      </c>
      <c r="E25" s="35">
        <v>16</v>
      </c>
      <c r="F25" s="35"/>
      <c r="G25" s="35"/>
      <c r="I25" t="s">
        <v>163</v>
      </c>
      <c r="J25">
        <v>0</v>
      </c>
      <c r="K25">
        <v>0</v>
      </c>
      <c r="L25">
        <v>0</v>
      </c>
      <c r="M25">
        <v>0</v>
      </c>
    </row>
    <row r="26" spans="1:13" x14ac:dyDescent="0.3">
      <c r="A26" s="35" t="s">
        <v>12</v>
      </c>
      <c r="B26" s="35">
        <v>1</v>
      </c>
      <c r="C26" s="35">
        <v>10</v>
      </c>
      <c r="D26" s="35">
        <v>87</v>
      </c>
      <c r="E26" s="35">
        <v>0</v>
      </c>
      <c r="F26" s="35"/>
      <c r="G26" s="35"/>
      <c r="I26" t="s">
        <v>164</v>
      </c>
      <c r="J26">
        <v>0</v>
      </c>
      <c r="K26">
        <v>0</v>
      </c>
      <c r="L26">
        <v>0</v>
      </c>
      <c r="M26">
        <v>0</v>
      </c>
    </row>
    <row r="27" spans="1:13" x14ac:dyDescent="0.3">
      <c r="A27" s="68" t="s">
        <v>330</v>
      </c>
      <c r="B27" s="68"/>
      <c r="C27" s="68"/>
      <c r="D27" s="68"/>
      <c r="E27" s="49">
        <v>12</v>
      </c>
      <c r="F27" s="35"/>
      <c r="G27" s="35"/>
      <c r="I27" t="s">
        <v>165</v>
      </c>
      <c r="J27">
        <v>0</v>
      </c>
      <c r="K27">
        <v>0</v>
      </c>
      <c r="L27">
        <v>2</v>
      </c>
      <c r="M27">
        <v>0</v>
      </c>
    </row>
    <row r="28" spans="1:13" x14ac:dyDescent="0.3">
      <c r="A28" s="68" t="s">
        <v>322</v>
      </c>
      <c r="B28" s="68"/>
      <c r="C28" s="68"/>
      <c r="D28" s="68"/>
      <c r="E28" s="49">
        <v>534</v>
      </c>
      <c r="F28" s="35"/>
      <c r="G28" s="35"/>
      <c r="I28" t="s">
        <v>53</v>
      </c>
      <c r="J28">
        <v>2</v>
      </c>
      <c r="K28">
        <v>51</v>
      </c>
      <c r="L28">
        <v>389</v>
      </c>
      <c r="M28">
        <v>11</v>
      </c>
    </row>
    <row r="29" spans="1:13" x14ac:dyDescent="0.3">
      <c r="A29" s="68" t="s">
        <v>331</v>
      </c>
      <c r="B29" s="68"/>
      <c r="C29" s="68"/>
      <c r="D29" s="68"/>
      <c r="E29" s="49" t="s">
        <v>332</v>
      </c>
      <c r="F29" s="35"/>
      <c r="G29" s="35"/>
      <c r="I29" t="s">
        <v>166</v>
      </c>
      <c r="J29">
        <v>1</v>
      </c>
      <c r="K29">
        <v>4</v>
      </c>
      <c r="L29">
        <v>5</v>
      </c>
      <c r="M29">
        <v>0</v>
      </c>
    </row>
    <row r="30" spans="1:13" x14ac:dyDescent="0.3">
      <c r="A30" s="68" t="s">
        <v>333</v>
      </c>
      <c r="B30" s="68"/>
      <c r="C30" s="68"/>
      <c r="D30" s="68"/>
      <c r="E30" s="49">
        <v>66</v>
      </c>
      <c r="F30" s="35"/>
      <c r="G30" s="35"/>
      <c r="I30" s="3" t="s">
        <v>167</v>
      </c>
      <c r="J30" s="3">
        <f>SUM(J17:J29)</f>
        <v>17</v>
      </c>
      <c r="K30" s="3">
        <f>SUM(K17:K29)</f>
        <v>501</v>
      </c>
      <c r="L30" s="6">
        <v>1544</v>
      </c>
      <c r="M30" s="3">
        <f>SUM(M17:M29)</f>
        <v>36</v>
      </c>
    </row>
    <row r="31" spans="1:13" x14ac:dyDescent="0.3">
      <c r="A31" s="66" t="s">
        <v>269</v>
      </c>
      <c r="B31" s="66"/>
      <c r="C31" s="66"/>
      <c r="D31" s="66"/>
      <c r="E31" s="66"/>
      <c r="F31" s="66"/>
      <c r="G31" s="35"/>
      <c r="I31" s="18" t="s">
        <v>377</v>
      </c>
    </row>
    <row r="32" spans="1:13" x14ac:dyDescent="0.3">
      <c r="A32" s="35"/>
      <c r="B32" s="35"/>
      <c r="C32" s="35"/>
      <c r="D32" s="35"/>
      <c r="E32" s="35"/>
      <c r="F32" s="35"/>
      <c r="G32" s="35"/>
    </row>
    <row r="33" spans="1:7" x14ac:dyDescent="0.3">
      <c r="A33" s="35"/>
      <c r="B33" s="35"/>
      <c r="C33" s="35"/>
      <c r="D33" s="35"/>
      <c r="E33" s="35"/>
      <c r="F33" s="35"/>
      <c r="G33" s="35"/>
    </row>
    <row r="34" spans="1:7" x14ac:dyDescent="0.3">
      <c r="A34" s="35"/>
      <c r="B34" s="35"/>
      <c r="C34" s="35"/>
      <c r="D34" s="35"/>
      <c r="E34" s="35"/>
      <c r="F34" s="35"/>
      <c r="G34" s="35"/>
    </row>
    <row r="35" spans="1:7" x14ac:dyDescent="0.3">
      <c r="A35" s="35"/>
      <c r="B35" s="35"/>
      <c r="C35" s="35"/>
      <c r="D35" s="35"/>
      <c r="E35" s="35"/>
      <c r="F35" s="35"/>
      <c r="G35" s="35"/>
    </row>
  </sheetData>
  <mergeCells count="6">
    <mergeCell ref="A31:F31"/>
    <mergeCell ref="A15:F15"/>
    <mergeCell ref="A27:D27"/>
    <mergeCell ref="A28:D28"/>
    <mergeCell ref="A29:D29"/>
    <mergeCell ref="A30:D30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92D050"/>
  </sheetPr>
  <dimension ref="A1:C16"/>
  <sheetViews>
    <sheetView showGridLines="0" workbookViewId="0">
      <selection activeCell="U11" sqref="U11"/>
    </sheetView>
  </sheetViews>
  <sheetFormatPr baseColWidth="10" defaultColWidth="8.6640625" defaultRowHeight="14.4" x14ac:dyDescent="0.3"/>
  <cols>
    <col min="1" max="3" width="18.6640625" customWidth="1"/>
    <col min="4" max="4" width="7" bestFit="1" customWidth="1"/>
  </cols>
  <sheetData>
    <row r="1" spans="1:3" x14ac:dyDescent="0.3">
      <c r="A1" s="1" t="s">
        <v>56</v>
      </c>
    </row>
    <row r="2" spans="1:3" x14ac:dyDescent="0.3">
      <c r="A2" s="2" t="s">
        <v>1</v>
      </c>
      <c r="B2" s="7" t="s">
        <v>57</v>
      </c>
      <c r="C2" s="7" t="s">
        <v>19</v>
      </c>
    </row>
    <row r="3" spans="1:3" x14ac:dyDescent="0.3">
      <c r="A3" s="9" t="s">
        <v>156</v>
      </c>
      <c r="B3" s="8">
        <v>15</v>
      </c>
      <c r="C3" s="8">
        <v>4</v>
      </c>
    </row>
    <row r="4" spans="1:3" x14ac:dyDescent="0.3">
      <c r="A4" t="s">
        <v>157</v>
      </c>
      <c r="B4">
        <v>24</v>
      </c>
      <c r="C4">
        <v>7</v>
      </c>
    </row>
    <row r="5" spans="1:3" x14ac:dyDescent="0.3">
      <c r="A5" t="s">
        <v>158</v>
      </c>
      <c r="B5">
        <v>157</v>
      </c>
      <c r="C5">
        <v>12</v>
      </c>
    </row>
    <row r="6" spans="1:3" x14ac:dyDescent="0.3">
      <c r="A6" t="s">
        <v>159</v>
      </c>
      <c r="B6">
        <v>20</v>
      </c>
      <c r="C6">
        <v>3</v>
      </c>
    </row>
    <row r="7" spans="1:3" x14ac:dyDescent="0.3">
      <c r="A7" t="s">
        <v>160</v>
      </c>
      <c r="B7">
        <v>197</v>
      </c>
      <c r="C7">
        <v>18</v>
      </c>
    </row>
    <row r="8" spans="1:3" x14ac:dyDescent="0.3">
      <c r="A8" t="s">
        <v>55</v>
      </c>
      <c r="B8">
        <v>40</v>
      </c>
      <c r="C8">
        <v>16</v>
      </c>
    </row>
    <row r="9" spans="1:3" x14ac:dyDescent="0.3">
      <c r="A9" t="s">
        <v>161</v>
      </c>
      <c r="B9">
        <v>6</v>
      </c>
      <c r="C9">
        <v>1</v>
      </c>
    </row>
    <row r="10" spans="1:3" x14ac:dyDescent="0.3">
      <c r="A10" t="s">
        <v>163</v>
      </c>
      <c r="B10">
        <v>12</v>
      </c>
      <c r="C10">
        <v>2</v>
      </c>
    </row>
    <row r="11" spans="1:3" x14ac:dyDescent="0.3">
      <c r="A11" t="s">
        <v>164</v>
      </c>
      <c r="B11">
        <v>118</v>
      </c>
      <c r="C11">
        <v>8</v>
      </c>
    </row>
    <row r="12" spans="1:3" x14ac:dyDescent="0.3">
      <c r="A12" t="s">
        <v>165</v>
      </c>
      <c r="B12">
        <v>10</v>
      </c>
      <c r="C12">
        <v>2</v>
      </c>
    </row>
    <row r="13" spans="1:3" x14ac:dyDescent="0.3">
      <c r="A13" t="s">
        <v>53</v>
      </c>
      <c r="B13">
        <v>101</v>
      </c>
      <c r="C13">
        <v>2</v>
      </c>
    </row>
    <row r="14" spans="1:3" x14ac:dyDescent="0.3">
      <c r="A14" t="s">
        <v>166</v>
      </c>
      <c r="B14">
        <v>31</v>
      </c>
      <c r="C14">
        <v>5</v>
      </c>
    </row>
    <row r="15" spans="1:3" x14ac:dyDescent="0.3">
      <c r="A15" s="3" t="s">
        <v>167</v>
      </c>
      <c r="B15" s="3">
        <v>731</v>
      </c>
      <c r="C15" s="3">
        <v>80</v>
      </c>
    </row>
    <row r="16" spans="1:3" x14ac:dyDescent="0.3">
      <c r="A16" t="s">
        <v>24</v>
      </c>
    </row>
  </sheetData>
  <pageMargins left="0.7" right="0.7" top="0.75" bottom="0.75" header="0.3" footer="0.3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33"/>
  <sheetViews>
    <sheetView showGridLines="0" workbookViewId="0">
      <selection activeCell="A18" sqref="A18"/>
    </sheetView>
  </sheetViews>
  <sheetFormatPr baseColWidth="10" defaultColWidth="8.6640625" defaultRowHeight="14.4" x14ac:dyDescent="0.3"/>
  <cols>
    <col min="1" max="1" width="14" bestFit="1" customWidth="1"/>
    <col min="2" max="2" width="29.44140625" bestFit="1" customWidth="1"/>
    <col min="3" max="3" width="16.44140625" bestFit="1" customWidth="1"/>
    <col min="4" max="4" width="7" bestFit="1" customWidth="1"/>
    <col min="12" max="12" width="8.6640625" customWidth="1"/>
    <col min="13" max="13" width="35" customWidth="1"/>
    <col min="14" max="14" width="22" customWidth="1"/>
  </cols>
  <sheetData>
    <row r="1" spans="1:14" x14ac:dyDescent="0.3">
      <c r="A1" s="43" t="s">
        <v>26</v>
      </c>
      <c r="B1" s="35"/>
      <c r="C1" s="35"/>
      <c r="L1" s="43" t="s">
        <v>380</v>
      </c>
      <c r="M1" s="35"/>
      <c r="N1" s="35"/>
    </row>
    <row r="2" spans="1:14" x14ac:dyDescent="0.3">
      <c r="A2" s="53" t="s">
        <v>1</v>
      </c>
      <c r="B2" s="53" t="s">
        <v>27</v>
      </c>
      <c r="C2" s="53" t="s">
        <v>19</v>
      </c>
      <c r="L2" s="53" t="s">
        <v>1</v>
      </c>
      <c r="M2" s="53" t="s">
        <v>27</v>
      </c>
      <c r="N2" s="53" t="s">
        <v>19</v>
      </c>
    </row>
    <row r="3" spans="1:14" x14ac:dyDescent="0.3">
      <c r="A3" s="35" t="s">
        <v>156</v>
      </c>
      <c r="B3" s="45">
        <v>28</v>
      </c>
      <c r="C3" s="45">
        <v>16</v>
      </c>
      <c r="L3" s="35" t="s">
        <v>156</v>
      </c>
      <c r="M3" s="45">
        <v>175</v>
      </c>
      <c r="N3" s="45">
        <v>90</v>
      </c>
    </row>
    <row r="4" spans="1:14" x14ac:dyDescent="0.3">
      <c r="A4" s="35" t="s">
        <v>157</v>
      </c>
      <c r="B4" s="45">
        <v>1085</v>
      </c>
      <c r="C4" s="45">
        <v>559</v>
      </c>
      <c r="L4" s="35" t="s">
        <v>157</v>
      </c>
      <c r="M4" s="45">
        <v>742</v>
      </c>
      <c r="N4" s="45">
        <v>387</v>
      </c>
    </row>
    <row r="5" spans="1:14" x14ac:dyDescent="0.3">
      <c r="A5" s="35" t="s">
        <v>158</v>
      </c>
      <c r="B5" s="45">
        <v>3316</v>
      </c>
      <c r="C5" s="45">
        <v>1702</v>
      </c>
      <c r="L5" s="35" t="s">
        <v>158</v>
      </c>
      <c r="M5" s="45">
        <v>2615</v>
      </c>
      <c r="N5" s="45">
        <v>1409</v>
      </c>
    </row>
    <row r="6" spans="1:14" x14ac:dyDescent="0.3">
      <c r="A6" s="35" t="s">
        <v>159</v>
      </c>
      <c r="B6" s="45">
        <v>302</v>
      </c>
      <c r="C6" s="45">
        <v>159</v>
      </c>
      <c r="L6" s="35" t="s">
        <v>159</v>
      </c>
      <c r="M6" s="45">
        <v>304</v>
      </c>
      <c r="N6" s="45">
        <v>156</v>
      </c>
    </row>
    <row r="7" spans="1:14" x14ac:dyDescent="0.3">
      <c r="A7" s="35" t="s">
        <v>160</v>
      </c>
      <c r="B7" s="45">
        <v>1226</v>
      </c>
      <c r="C7" s="45">
        <v>616</v>
      </c>
      <c r="L7" s="35" t="s">
        <v>160</v>
      </c>
      <c r="M7" s="45">
        <v>960</v>
      </c>
      <c r="N7" s="45">
        <v>482</v>
      </c>
    </row>
    <row r="8" spans="1:14" x14ac:dyDescent="0.3">
      <c r="A8" s="35" t="s">
        <v>55</v>
      </c>
      <c r="B8" s="45">
        <v>2790</v>
      </c>
      <c r="C8" s="45">
        <v>1435</v>
      </c>
      <c r="L8" s="35" t="s">
        <v>55</v>
      </c>
      <c r="M8" s="45">
        <v>2313</v>
      </c>
      <c r="N8" s="45">
        <v>1178</v>
      </c>
    </row>
    <row r="9" spans="1:14" x14ac:dyDescent="0.3">
      <c r="A9" s="35" t="s">
        <v>161</v>
      </c>
      <c r="B9" s="45">
        <v>604</v>
      </c>
      <c r="C9" s="45">
        <v>315</v>
      </c>
      <c r="L9" s="35" t="s">
        <v>161</v>
      </c>
      <c r="M9" s="45">
        <v>832</v>
      </c>
      <c r="N9" s="45">
        <v>429</v>
      </c>
    </row>
    <row r="10" spans="1:14" x14ac:dyDescent="0.3">
      <c r="A10" s="35" t="s">
        <v>162</v>
      </c>
      <c r="B10" s="45">
        <v>2546</v>
      </c>
      <c r="C10" s="45">
        <v>1284</v>
      </c>
      <c r="L10" s="35" t="s">
        <v>162</v>
      </c>
      <c r="M10" s="45">
        <v>1818</v>
      </c>
      <c r="N10" s="45">
        <v>912</v>
      </c>
    </row>
    <row r="11" spans="1:14" x14ac:dyDescent="0.3">
      <c r="A11" s="35" t="s">
        <v>163</v>
      </c>
      <c r="B11" s="45">
        <v>4841</v>
      </c>
      <c r="C11" s="45">
        <v>2437</v>
      </c>
      <c r="L11" s="35" t="s">
        <v>163</v>
      </c>
      <c r="M11" s="45">
        <v>5471</v>
      </c>
      <c r="N11" s="45">
        <v>2764</v>
      </c>
    </row>
    <row r="12" spans="1:14" x14ac:dyDescent="0.3">
      <c r="A12" s="35" t="s">
        <v>164</v>
      </c>
      <c r="B12" s="45">
        <v>5215</v>
      </c>
      <c r="C12" s="45">
        <v>2696</v>
      </c>
      <c r="L12" s="35" t="s">
        <v>164</v>
      </c>
      <c r="M12" s="45">
        <v>4133</v>
      </c>
      <c r="N12" s="45">
        <v>2432</v>
      </c>
    </row>
    <row r="13" spans="1:14" x14ac:dyDescent="0.3">
      <c r="A13" s="35" t="s">
        <v>53</v>
      </c>
      <c r="B13" s="45">
        <v>682</v>
      </c>
      <c r="C13" s="45">
        <v>341</v>
      </c>
      <c r="L13" s="35" t="s">
        <v>165</v>
      </c>
      <c r="M13" s="45">
        <v>17</v>
      </c>
      <c r="N13" s="45">
        <v>10</v>
      </c>
    </row>
    <row r="14" spans="1:14" x14ac:dyDescent="0.3">
      <c r="A14" s="35" t="s">
        <v>166</v>
      </c>
      <c r="B14" s="45">
        <v>1611</v>
      </c>
      <c r="C14" s="45">
        <v>854</v>
      </c>
      <c r="L14" s="35" t="s">
        <v>53</v>
      </c>
      <c r="M14" s="45">
        <v>0</v>
      </c>
      <c r="N14" s="45">
        <v>0</v>
      </c>
    </row>
    <row r="15" spans="1:14" x14ac:dyDescent="0.3">
      <c r="A15" s="43" t="s">
        <v>167</v>
      </c>
      <c r="B15" s="46">
        <v>24246</v>
      </c>
      <c r="C15" s="46">
        <v>12414</v>
      </c>
      <c r="L15" s="35" t="s">
        <v>166</v>
      </c>
      <c r="M15" s="45">
        <v>1355</v>
      </c>
      <c r="N15" s="45">
        <v>724</v>
      </c>
    </row>
    <row r="16" spans="1:14" x14ac:dyDescent="0.3">
      <c r="A16" t="s">
        <v>25</v>
      </c>
      <c r="L16" s="43" t="s">
        <v>167</v>
      </c>
      <c r="M16" s="46">
        <f>SUM(M3:M15)</f>
        <v>20735</v>
      </c>
      <c r="N16" s="46">
        <f>SUM(N3:N15)</f>
        <v>10973</v>
      </c>
    </row>
    <row r="18" spans="1:12" ht="15.6" x14ac:dyDescent="0.3">
      <c r="A18" s="54" t="s">
        <v>412</v>
      </c>
      <c r="B18" s="29"/>
      <c r="C18" s="29"/>
      <c r="D18" s="29"/>
      <c r="L18" t="s">
        <v>382</v>
      </c>
    </row>
    <row r="19" spans="1:12" x14ac:dyDescent="0.3">
      <c r="A19" s="26" t="s">
        <v>1</v>
      </c>
      <c r="B19" s="26" t="s">
        <v>27</v>
      </c>
      <c r="C19" s="26" t="s">
        <v>19</v>
      </c>
      <c r="D19" s="26" t="s">
        <v>249</v>
      </c>
      <c r="L19" t="s">
        <v>383</v>
      </c>
    </row>
    <row r="20" spans="1:12" x14ac:dyDescent="0.3">
      <c r="A20" s="26" t="s">
        <v>257</v>
      </c>
      <c r="B20" s="26">
        <v>854</v>
      </c>
      <c r="C20" s="26">
        <v>440</v>
      </c>
      <c r="D20" s="26"/>
      <c r="L20" t="s">
        <v>384</v>
      </c>
    </row>
    <row r="21" spans="1:12" x14ac:dyDescent="0.3">
      <c r="A21" s="26" t="s">
        <v>7</v>
      </c>
      <c r="B21" s="26" t="s">
        <v>336</v>
      </c>
      <c r="C21" s="26" t="s">
        <v>337</v>
      </c>
      <c r="D21" s="26"/>
      <c r="L21" t="s">
        <v>381</v>
      </c>
    </row>
    <row r="22" spans="1:12" x14ac:dyDescent="0.3">
      <c r="A22" s="26" t="s">
        <v>8</v>
      </c>
      <c r="B22" s="26">
        <v>93</v>
      </c>
      <c r="C22" s="26">
        <v>50</v>
      </c>
      <c r="D22" s="26"/>
    </row>
    <row r="23" spans="1:12" x14ac:dyDescent="0.3">
      <c r="A23" s="26" t="s">
        <v>9</v>
      </c>
      <c r="B23" s="26" t="s">
        <v>338</v>
      </c>
      <c r="C23" s="26">
        <v>633</v>
      </c>
      <c r="D23" s="26"/>
    </row>
    <row r="24" spans="1:12" x14ac:dyDescent="0.3">
      <c r="A24" s="26" t="s">
        <v>258</v>
      </c>
      <c r="B24" s="26" t="s">
        <v>339</v>
      </c>
      <c r="C24" s="26" t="s">
        <v>340</v>
      </c>
      <c r="D24" s="26"/>
    </row>
    <row r="25" spans="1:12" x14ac:dyDescent="0.3">
      <c r="A25" s="26" t="s">
        <v>259</v>
      </c>
      <c r="B25" s="26">
        <v>618</v>
      </c>
      <c r="C25" s="26">
        <v>316</v>
      </c>
      <c r="D25" s="26"/>
    </row>
    <row r="26" spans="1:12" x14ac:dyDescent="0.3">
      <c r="A26" s="26" t="s">
        <v>260</v>
      </c>
      <c r="B26" s="26" t="s">
        <v>341</v>
      </c>
      <c r="C26" s="26">
        <v>915</v>
      </c>
      <c r="D26" s="26"/>
    </row>
    <row r="27" spans="1:12" x14ac:dyDescent="0.3">
      <c r="A27" s="26" t="s">
        <v>261</v>
      </c>
      <c r="B27" s="26" t="s">
        <v>342</v>
      </c>
      <c r="C27" s="26" t="s">
        <v>343</v>
      </c>
      <c r="D27" s="26"/>
    </row>
    <row r="28" spans="1:12" x14ac:dyDescent="0.3">
      <c r="A28" s="26" t="s">
        <v>262</v>
      </c>
      <c r="B28" s="26" t="s">
        <v>344</v>
      </c>
      <c r="C28" s="26" t="s">
        <v>345</v>
      </c>
      <c r="D28" s="26"/>
    </row>
    <row r="29" spans="1:12" x14ac:dyDescent="0.3">
      <c r="A29" s="26" t="s">
        <v>11</v>
      </c>
      <c r="B29" s="26">
        <v>2</v>
      </c>
      <c r="C29" s="26">
        <v>1</v>
      </c>
      <c r="D29" s="26"/>
    </row>
    <row r="30" spans="1:12" x14ac:dyDescent="0.3">
      <c r="A30" s="26" t="s">
        <v>12</v>
      </c>
      <c r="B30" s="26" t="s">
        <v>346</v>
      </c>
      <c r="C30" s="26">
        <v>743</v>
      </c>
      <c r="D30" s="26"/>
    </row>
    <row r="31" spans="1:12" x14ac:dyDescent="0.3">
      <c r="A31" s="69" t="s">
        <v>347</v>
      </c>
      <c r="B31" s="69"/>
      <c r="C31" s="28">
        <v>25045</v>
      </c>
      <c r="D31" s="26"/>
    </row>
    <row r="32" spans="1:12" x14ac:dyDescent="0.3">
      <c r="A32" s="69" t="s">
        <v>252</v>
      </c>
      <c r="B32" s="69"/>
      <c r="C32" s="28">
        <v>12691</v>
      </c>
      <c r="D32" s="26"/>
    </row>
    <row r="33" spans="1:4" x14ac:dyDescent="0.3">
      <c r="A33" s="64" t="s">
        <v>348</v>
      </c>
      <c r="B33" s="64"/>
      <c r="C33" s="64"/>
      <c r="D33" s="64"/>
    </row>
  </sheetData>
  <mergeCells count="3">
    <mergeCell ref="A31:B31"/>
    <mergeCell ref="A32:B32"/>
    <mergeCell ref="A33:D33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23"/>
  <sheetViews>
    <sheetView showGridLines="0" workbookViewId="0">
      <selection activeCell="N26" sqref="N26"/>
    </sheetView>
  </sheetViews>
  <sheetFormatPr baseColWidth="10" defaultColWidth="8.6640625" defaultRowHeight="14.4" x14ac:dyDescent="0.3"/>
  <cols>
    <col min="1" max="1" width="14" bestFit="1" customWidth="1"/>
    <col min="2" max="2" width="11.6640625" bestFit="1" customWidth="1"/>
    <col min="3" max="3" width="16.44140625" bestFit="1" customWidth="1"/>
    <col min="4" max="4" width="15.88671875" customWidth="1"/>
    <col min="14" max="14" width="19.33203125" customWidth="1"/>
    <col min="15" max="15" width="17.5546875" customWidth="1"/>
    <col min="16" max="16" width="18.109375" customWidth="1"/>
  </cols>
  <sheetData>
    <row r="1" spans="1:16" x14ac:dyDescent="0.3">
      <c r="A1" s="43" t="s">
        <v>28</v>
      </c>
      <c r="B1" s="35"/>
      <c r="C1" s="35"/>
      <c r="N1" s="55" t="s">
        <v>386</v>
      </c>
      <c r="O1" s="56"/>
      <c r="P1" s="56"/>
    </row>
    <row r="2" spans="1:16" x14ac:dyDescent="0.3">
      <c r="A2" s="53" t="s">
        <v>1</v>
      </c>
      <c r="B2" s="53" t="s">
        <v>23</v>
      </c>
      <c r="C2" s="53" t="s">
        <v>19</v>
      </c>
      <c r="N2" s="57" t="s">
        <v>1</v>
      </c>
      <c r="O2" s="57" t="s">
        <v>23</v>
      </c>
      <c r="P2" s="57" t="s">
        <v>19</v>
      </c>
    </row>
    <row r="3" spans="1:16" x14ac:dyDescent="0.3">
      <c r="A3" s="35" t="s">
        <v>157</v>
      </c>
      <c r="B3" s="35">
        <v>3</v>
      </c>
      <c r="C3" s="35">
        <v>3</v>
      </c>
      <c r="N3" s="56" t="s">
        <v>156</v>
      </c>
      <c r="O3" s="56">
        <v>3</v>
      </c>
      <c r="P3" s="56">
        <v>4</v>
      </c>
    </row>
    <row r="4" spans="1:16" x14ac:dyDescent="0.3">
      <c r="A4" s="35" t="s">
        <v>158</v>
      </c>
      <c r="B4" s="35">
        <v>59.5</v>
      </c>
      <c r="C4" s="35">
        <v>69</v>
      </c>
      <c r="N4" s="56" t="s">
        <v>157</v>
      </c>
      <c r="O4" s="56">
        <v>1</v>
      </c>
      <c r="P4" s="56">
        <v>2</v>
      </c>
    </row>
    <row r="5" spans="1:16" x14ac:dyDescent="0.3">
      <c r="A5" s="35" t="s">
        <v>161</v>
      </c>
      <c r="B5" s="35">
        <v>15.5</v>
      </c>
      <c r="C5" s="35">
        <v>18</v>
      </c>
      <c r="N5" s="56" t="s">
        <v>158</v>
      </c>
      <c r="O5" s="56">
        <v>5</v>
      </c>
      <c r="P5" s="56">
        <v>5</v>
      </c>
    </row>
    <row r="6" spans="1:16" x14ac:dyDescent="0.3">
      <c r="A6" s="35" t="s">
        <v>162</v>
      </c>
      <c r="B6" s="35">
        <v>1</v>
      </c>
      <c r="C6" s="35">
        <v>1</v>
      </c>
      <c r="N6" s="56" t="s">
        <v>159</v>
      </c>
      <c r="O6" s="56">
        <v>3.2</v>
      </c>
      <c r="P6" s="56">
        <v>36</v>
      </c>
    </row>
    <row r="7" spans="1:16" x14ac:dyDescent="0.3">
      <c r="A7" s="35" t="s">
        <v>163</v>
      </c>
      <c r="B7" s="35">
        <v>7.5</v>
      </c>
      <c r="C7" s="35">
        <v>12</v>
      </c>
      <c r="N7" s="56" t="s">
        <v>160</v>
      </c>
      <c r="O7" s="56">
        <v>5.5</v>
      </c>
      <c r="P7" s="56">
        <v>3</v>
      </c>
    </row>
    <row r="8" spans="1:16" x14ac:dyDescent="0.3">
      <c r="A8" s="35" t="s">
        <v>164</v>
      </c>
      <c r="B8" s="35">
        <v>16</v>
      </c>
      <c r="C8" s="35">
        <v>16</v>
      </c>
      <c r="N8" s="56" t="s">
        <v>161</v>
      </c>
      <c r="O8" s="56">
        <v>1.5</v>
      </c>
      <c r="P8" s="56">
        <v>3</v>
      </c>
    </row>
    <row r="9" spans="1:16" x14ac:dyDescent="0.3">
      <c r="A9" s="43" t="s">
        <v>167</v>
      </c>
      <c r="B9" s="43">
        <v>102.5</v>
      </c>
      <c r="C9" s="43">
        <v>119</v>
      </c>
      <c r="N9" s="56" t="s">
        <v>162</v>
      </c>
      <c r="O9" s="56">
        <v>2</v>
      </c>
      <c r="P9" s="56">
        <v>1</v>
      </c>
    </row>
    <row r="10" spans="1:16" x14ac:dyDescent="0.3">
      <c r="A10" t="s">
        <v>25</v>
      </c>
      <c r="N10" s="56" t="s">
        <v>163</v>
      </c>
      <c r="O10" s="56">
        <v>0</v>
      </c>
      <c r="P10" s="56">
        <v>0</v>
      </c>
    </row>
    <row r="11" spans="1:16" x14ac:dyDescent="0.3">
      <c r="N11" s="56" t="s">
        <v>164</v>
      </c>
      <c r="O11" s="56">
        <v>12</v>
      </c>
      <c r="P11" s="56">
        <v>20</v>
      </c>
    </row>
    <row r="12" spans="1:16" x14ac:dyDescent="0.3">
      <c r="N12" s="56" t="s">
        <v>165</v>
      </c>
      <c r="O12" s="56">
        <v>0</v>
      </c>
      <c r="P12" s="56">
        <v>0</v>
      </c>
    </row>
    <row r="13" spans="1:16" ht="15.6" x14ac:dyDescent="0.3">
      <c r="A13" s="54" t="s">
        <v>413</v>
      </c>
      <c r="B13" s="29"/>
      <c r="C13" s="29"/>
      <c r="D13" s="29"/>
      <c r="N13" s="56" t="s">
        <v>53</v>
      </c>
      <c r="O13" s="56">
        <v>0</v>
      </c>
      <c r="P13" s="56">
        <v>0</v>
      </c>
    </row>
    <row r="14" spans="1:16" x14ac:dyDescent="0.3">
      <c r="A14" s="26" t="s">
        <v>1</v>
      </c>
      <c r="B14" s="26" t="s">
        <v>23</v>
      </c>
      <c r="C14" s="26" t="s">
        <v>19</v>
      </c>
      <c r="D14" s="26" t="s">
        <v>249</v>
      </c>
      <c r="N14" s="56" t="s">
        <v>166</v>
      </c>
      <c r="O14" s="56">
        <v>2.5</v>
      </c>
      <c r="P14" s="56">
        <v>1</v>
      </c>
    </row>
    <row r="15" spans="1:16" x14ac:dyDescent="0.3">
      <c r="A15" s="26" t="s">
        <v>6</v>
      </c>
      <c r="B15" s="26">
        <v>1</v>
      </c>
      <c r="C15" s="26">
        <v>1</v>
      </c>
      <c r="D15" s="26"/>
      <c r="N15" s="55" t="s">
        <v>167</v>
      </c>
      <c r="O15" s="55">
        <f>SUM(O3:O14)</f>
        <v>35.700000000000003</v>
      </c>
      <c r="P15" s="55">
        <f>SUM(P3:P14)</f>
        <v>75</v>
      </c>
    </row>
    <row r="16" spans="1:16" x14ac:dyDescent="0.3">
      <c r="A16" s="26" t="s">
        <v>257</v>
      </c>
      <c r="B16" s="26">
        <v>2.5</v>
      </c>
      <c r="C16" s="26">
        <v>3</v>
      </c>
      <c r="D16" s="26"/>
    </row>
    <row r="17" spans="1:14" x14ac:dyDescent="0.3">
      <c r="A17" s="26" t="s">
        <v>7</v>
      </c>
      <c r="B17" s="26">
        <v>65</v>
      </c>
      <c r="C17" s="26">
        <v>92</v>
      </c>
      <c r="D17" s="26"/>
      <c r="N17" t="s">
        <v>387</v>
      </c>
    </row>
    <row r="18" spans="1:14" x14ac:dyDescent="0.3">
      <c r="A18" s="26" t="s">
        <v>259</v>
      </c>
      <c r="B18" s="26">
        <v>21</v>
      </c>
      <c r="C18" s="26">
        <v>28</v>
      </c>
      <c r="D18" s="26"/>
      <c r="N18" t="s">
        <v>388</v>
      </c>
    </row>
    <row r="19" spans="1:14" x14ac:dyDescent="0.3">
      <c r="A19" s="26" t="s">
        <v>261</v>
      </c>
      <c r="B19" s="26">
        <v>13.5</v>
      </c>
      <c r="C19" s="26">
        <v>14</v>
      </c>
      <c r="D19" s="26"/>
    </row>
    <row r="20" spans="1:14" x14ac:dyDescent="0.3">
      <c r="A20" s="26" t="s">
        <v>262</v>
      </c>
      <c r="B20" s="26">
        <v>1.5</v>
      </c>
      <c r="C20" s="26">
        <v>2</v>
      </c>
      <c r="D20" s="26"/>
      <c r="N20" t="s">
        <v>381</v>
      </c>
    </row>
    <row r="21" spans="1:14" x14ac:dyDescent="0.3">
      <c r="A21" s="69" t="s">
        <v>302</v>
      </c>
      <c r="B21" s="69"/>
      <c r="C21" s="27">
        <v>104.5</v>
      </c>
      <c r="D21" s="26"/>
    </row>
    <row r="22" spans="1:14" x14ac:dyDescent="0.3">
      <c r="A22" s="69" t="s">
        <v>252</v>
      </c>
      <c r="B22" s="69"/>
      <c r="C22" s="27">
        <v>140</v>
      </c>
      <c r="D22" s="26"/>
    </row>
    <row r="23" spans="1:14" x14ac:dyDescent="0.3">
      <c r="A23" s="64" t="s">
        <v>348</v>
      </c>
      <c r="B23" s="64"/>
      <c r="C23" s="64"/>
      <c r="D23" s="64"/>
    </row>
  </sheetData>
  <mergeCells count="3">
    <mergeCell ref="A21:B21"/>
    <mergeCell ref="A22:B22"/>
    <mergeCell ref="A23:D23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Q75"/>
  <sheetViews>
    <sheetView showGridLines="0" topLeftCell="B1" zoomScale="90" zoomScaleNormal="90" workbookViewId="0">
      <selection activeCell="D83" sqref="D83"/>
    </sheetView>
  </sheetViews>
  <sheetFormatPr baseColWidth="10" defaultColWidth="8.6640625" defaultRowHeight="14.4" x14ac:dyDescent="0.3"/>
  <cols>
    <col min="1" max="1" width="36.44140625" bestFit="1" customWidth="1"/>
    <col min="2" max="2" width="10.44140625" bestFit="1" customWidth="1"/>
    <col min="3" max="3" width="9.33203125" bestFit="1" customWidth="1"/>
    <col min="4" max="4" width="10.44140625" bestFit="1" customWidth="1"/>
    <col min="5" max="5" width="12.6640625" bestFit="1" customWidth="1"/>
    <col min="6" max="6" width="8.109375" bestFit="1" customWidth="1"/>
    <col min="7" max="7" width="11.6640625" bestFit="1" customWidth="1"/>
    <col min="8" max="8" width="12.6640625" bestFit="1" customWidth="1"/>
    <col min="9" max="9" width="11.6640625" bestFit="1" customWidth="1"/>
    <col min="10" max="10" width="14" bestFit="1" customWidth="1"/>
    <col min="11" max="11" width="11.6640625" bestFit="1" customWidth="1"/>
    <col min="12" max="12" width="10.44140625" bestFit="1" customWidth="1"/>
    <col min="13" max="13" width="12.6640625" bestFit="1" customWidth="1"/>
    <col min="14" max="14" width="8.109375" bestFit="1" customWidth="1"/>
    <col min="15" max="15" width="11" customWidth="1"/>
    <col min="16" max="16" width="17.88671875" customWidth="1"/>
    <col min="17" max="17" width="22.33203125" bestFit="1" customWidth="1"/>
  </cols>
  <sheetData>
    <row r="1" spans="1:16" x14ac:dyDescent="0.3">
      <c r="A1" s="43" t="s">
        <v>133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</row>
    <row r="2" spans="1:16" ht="43.2" x14ac:dyDescent="0.3">
      <c r="A2" s="44" t="s">
        <v>134</v>
      </c>
      <c r="B2" s="44" t="s">
        <v>6</v>
      </c>
      <c r="C2" s="44" t="s">
        <v>33</v>
      </c>
      <c r="D2" s="44" t="s">
        <v>7</v>
      </c>
      <c r="E2" s="44" t="s">
        <v>8</v>
      </c>
      <c r="F2" s="44" t="s">
        <v>9</v>
      </c>
      <c r="G2" s="44" t="s">
        <v>135</v>
      </c>
      <c r="H2" s="44" t="s">
        <v>34</v>
      </c>
      <c r="I2" s="44" t="s">
        <v>35</v>
      </c>
      <c r="J2" s="44" t="s">
        <v>36</v>
      </c>
      <c r="K2" s="44" t="s">
        <v>37</v>
      </c>
      <c r="L2" s="44" t="s">
        <v>10</v>
      </c>
      <c r="M2" s="44" t="s">
        <v>11</v>
      </c>
      <c r="N2" s="44" t="s">
        <v>12</v>
      </c>
      <c r="O2" s="44" t="s">
        <v>29</v>
      </c>
      <c r="P2" s="44" t="s">
        <v>39</v>
      </c>
    </row>
    <row r="3" spans="1:16" x14ac:dyDescent="0.3">
      <c r="A3" s="35" t="s">
        <v>136</v>
      </c>
      <c r="B3" s="35">
        <v>4</v>
      </c>
      <c r="C3" s="35">
        <v>1</v>
      </c>
      <c r="D3" s="35">
        <v>76</v>
      </c>
      <c r="E3" s="35">
        <v>1</v>
      </c>
      <c r="F3" s="35">
        <v>22</v>
      </c>
      <c r="G3" s="35">
        <v>5</v>
      </c>
      <c r="H3" s="35">
        <v>0</v>
      </c>
      <c r="I3" s="35">
        <v>3</v>
      </c>
      <c r="J3" s="35">
        <v>1</v>
      </c>
      <c r="K3" s="35">
        <v>0</v>
      </c>
      <c r="L3" s="35">
        <v>0</v>
      </c>
      <c r="M3" s="35">
        <v>2</v>
      </c>
      <c r="N3" s="35">
        <v>1</v>
      </c>
      <c r="O3" s="35">
        <v>116</v>
      </c>
      <c r="P3" s="35">
        <v>58</v>
      </c>
    </row>
    <row r="4" spans="1:16" x14ac:dyDescent="0.3">
      <c r="A4" s="35" t="s">
        <v>137</v>
      </c>
      <c r="B4" s="35">
        <v>0</v>
      </c>
      <c r="C4" s="35">
        <v>0</v>
      </c>
      <c r="D4" s="35">
        <v>15</v>
      </c>
      <c r="E4" s="35">
        <v>1</v>
      </c>
      <c r="F4" s="35">
        <v>10</v>
      </c>
      <c r="G4" s="35">
        <v>0</v>
      </c>
      <c r="H4" s="35">
        <v>0</v>
      </c>
      <c r="I4" s="35">
        <v>0</v>
      </c>
      <c r="J4" s="35">
        <v>0</v>
      </c>
      <c r="K4" s="35">
        <v>0</v>
      </c>
      <c r="L4" s="35">
        <v>0</v>
      </c>
      <c r="M4" s="35">
        <v>0</v>
      </c>
      <c r="N4" s="35">
        <v>0</v>
      </c>
      <c r="O4" s="35">
        <v>26</v>
      </c>
      <c r="P4" s="35">
        <v>9</v>
      </c>
    </row>
    <row r="5" spans="1:16" x14ac:dyDescent="0.3">
      <c r="A5" s="35" t="s">
        <v>138</v>
      </c>
      <c r="B5" s="35">
        <v>0</v>
      </c>
      <c r="C5" s="35">
        <v>4</v>
      </c>
      <c r="D5" s="35">
        <v>6</v>
      </c>
      <c r="E5" s="35">
        <v>3</v>
      </c>
      <c r="F5" s="35">
        <v>11</v>
      </c>
      <c r="G5" s="35">
        <v>3</v>
      </c>
      <c r="H5" s="35">
        <v>1</v>
      </c>
      <c r="I5" s="35">
        <v>1</v>
      </c>
      <c r="J5" s="35">
        <v>0</v>
      </c>
      <c r="K5" s="35">
        <v>0</v>
      </c>
      <c r="L5" s="35">
        <v>0</v>
      </c>
      <c r="M5" s="35">
        <v>2</v>
      </c>
      <c r="N5" s="35">
        <v>0</v>
      </c>
      <c r="O5" s="35">
        <v>31</v>
      </c>
      <c r="P5" s="35">
        <v>0</v>
      </c>
    </row>
    <row r="6" spans="1:16" x14ac:dyDescent="0.3">
      <c r="A6" s="35" t="s">
        <v>139</v>
      </c>
      <c r="B6" s="35">
        <v>3</v>
      </c>
      <c r="C6" s="35">
        <v>5</v>
      </c>
      <c r="D6" s="35">
        <v>24</v>
      </c>
      <c r="E6" s="35">
        <v>5</v>
      </c>
      <c r="F6" s="35">
        <v>28</v>
      </c>
      <c r="G6" s="35">
        <v>8</v>
      </c>
      <c r="H6" s="35">
        <v>3</v>
      </c>
      <c r="I6" s="35">
        <v>8</v>
      </c>
      <c r="J6" s="35">
        <v>8</v>
      </c>
      <c r="K6" s="35">
        <v>1</v>
      </c>
      <c r="L6" s="35">
        <v>6</v>
      </c>
      <c r="M6" s="35">
        <v>4</v>
      </c>
      <c r="N6" s="35">
        <v>3</v>
      </c>
      <c r="O6" s="35">
        <v>106</v>
      </c>
      <c r="P6" s="35">
        <v>4</v>
      </c>
    </row>
    <row r="7" spans="1:16" x14ac:dyDescent="0.3">
      <c r="A7" s="35" t="s">
        <v>140</v>
      </c>
      <c r="B7" s="35">
        <v>3</v>
      </c>
      <c r="C7" s="35">
        <v>12</v>
      </c>
      <c r="D7" s="35">
        <v>50</v>
      </c>
      <c r="E7" s="35">
        <v>4</v>
      </c>
      <c r="F7" s="35">
        <v>36</v>
      </c>
      <c r="G7" s="35">
        <v>8</v>
      </c>
      <c r="H7" s="35">
        <v>2</v>
      </c>
      <c r="I7" s="35">
        <v>7</v>
      </c>
      <c r="J7" s="35">
        <v>3</v>
      </c>
      <c r="K7" s="35">
        <v>5</v>
      </c>
      <c r="L7" s="35">
        <v>4</v>
      </c>
      <c r="M7" s="35">
        <v>1</v>
      </c>
      <c r="N7" s="35">
        <v>1</v>
      </c>
      <c r="O7" s="35">
        <v>136</v>
      </c>
      <c r="P7" s="35">
        <v>3</v>
      </c>
    </row>
    <row r="8" spans="1:16" x14ac:dyDescent="0.3">
      <c r="A8" s="35" t="s">
        <v>141</v>
      </c>
      <c r="B8" s="35">
        <v>0</v>
      </c>
      <c r="C8" s="35">
        <v>0</v>
      </c>
      <c r="D8" s="35">
        <v>1</v>
      </c>
      <c r="E8" s="35">
        <v>0</v>
      </c>
      <c r="F8" s="35">
        <v>1</v>
      </c>
      <c r="G8" s="35">
        <v>0</v>
      </c>
      <c r="H8" s="35">
        <v>0</v>
      </c>
      <c r="I8" s="35">
        <v>0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  <c r="O8" s="35">
        <v>2</v>
      </c>
      <c r="P8" s="35">
        <v>0</v>
      </c>
    </row>
    <row r="9" spans="1:16" x14ac:dyDescent="0.3">
      <c r="A9" s="35" t="s">
        <v>142</v>
      </c>
      <c r="B9" s="35">
        <v>0</v>
      </c>
      <c r="C9" s="35">
        <v>0</v>
      </c>
      <c r="D9" s="35">
        <v>1</v>
      </c>
      <c r="E9" s="35">
        <v>0</v>
      </c>
      <c r="F9" s="35">
        <v>1</v>
      </c>
      <c r="G9" s="35">
        <v>0</v>
      </c>
      <c r="H9" s="35">
        <v>0</v>
      </c>
      <c r="I9" s="35">
        <v>0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  <c r="O9" s="35">
        <v>2</v>
      </c>
      <c r="P9" s="35">
        <v>0</v>
      </c>
    </row>
    <row r="10" spans="1:16" x14ac:dyDescent="0.3">
      <c r="A10" s="35" t="s">
        <v>143</v>
      </c>
      <c r="B10" s="35">
        <v>1</v>
      </c>
      <c r="C10" s="35">
        <v>0</v>
      </c>
      <c r="D10" s="35">
        <v>8</v>
      </c>
      <c r="E10" s="35">
        <v>0</v>
      </c>
      <c r="F10" s="35">
        <v>3</v>
      </c>
      <c r="G10" s="35">
        <v>2</v>
      </c>
      <c r="H10" s="35">
        <v>0</v>
      </c>
      <c r="I10" s="35">
        <v>1</v>
      </c>
      <c r="J10" s="35">
        <v>0</v>
      </c>
      <c r="K10" s="35">
        <v>0</v>
      </c>
      <c r="L10" s="35">
        <v>0</v>
      </c>
      <c r="M10" s="35">
        <v>0</v>
      </c>
      <c r="N10" s="35">
        <v>0</v>
      </c>
      <c r="O10" s="35">
        <v>15</v>
      </c>
      <c r="P10" s="35">
        <v>0</v>
      </c>
    </row>
    <row r="11" spans="1:16" x14ac:dyDescent="0.3">
      <c r="A11" s="35" t="s">
        <v>144</v>
      </c>
      <c r="B11" s="35">
        <v>0</v>
      </c>
      <c r="C11" s="35">
        <v>1</v>
      </c>
      <c r="D11" s="35">
        <v>5</v>
      </c>
      <c r="E11" s="35">
        <v>0</v>
      </c>
      <c r="F11" s="35">
        <v>7</v>
      </c>
      <c r="G11" s="35">
        <v>1</v>
      </c>
      <c r="H11" s="35">
        <v>0</v>
      </c>
      <c r="I11" s="35">
        <v>2</v>
      </c>
      <c r="J11" s="35">
        <v>1</v>
      </c>
      <c r="K11" s="35">
        <v>0</v>
      </c>
      <c r="L11" s="35">
        <v>0</v>
      </c>
      <c r="M11" s="35">
        <v>0</v>
      </c>
      <c r="N11" s="35">
        <v>0</v>
      </c>
      <c r="O11" s="35">
        <v>17</v>
      </c>
      <c r="P11" s="35">
        <v>0</v>
      </c>
    </row>
    <row r="12" spans="1:16" x14ac:dyDescent="0.3">
      <c r="A12" s="35" t="s">
        <v>145</v>
      </c>
      <c r="B12" s="35">
        <v>39</v>
      </c>
      <c r="C12" s="35">
        <v>3</v>
      </c>
      <c r="D12" s="35">
        <v>34</v>
      </c>
      <c r="E12" s="35">
        <v>0</v>
      </c>
      <c r="F12" s="35">
        <v>2</v>
      </c>
      <c r="G12" s="35">
        <v>1</v>
      </c>
      <c r="H12" s="35">
        <v>0</v>
      </c>
      <c r="I12" s="35">
        <v>1</v>
      </c>
      <c r="J12" s="35">
        <v>2</v>
      </c>
      <c r="K12" s="35">
        <v>0</v>
      </c>
      <c r="L12" s="35">
        <v>0</v>
      </c>
      <c r="M12" s="35">
        <v>0</v>
      </c>
      <c r="N12" s="35">
        <v>0</v>
      </c>
      <c r="O12" s="35">
        <v>82</v>
      </c>
      <c r="P12" s="35">
        <v>15</v>
      </c>
    </row>
    <row r="13" spans="1:16" x14ac:dyDescent="0.3">
      <c r="A13" s="35" t="s">
        <v>146</v>
      </c>
      <c r="B13" s="35">
        <v>0</v>
      </c>
      <c r="C13" s="35">
        <v>0</v>
      </c>
      <c r="D13" s="35">
        <v>2</v>
      </c>
      <c r="E13" s="35">
        <v>0</v>
      </c>
      <c r="F13" s="35">
        <v>1</v>
      </c>
      <c r="G13" s="35">
        <v>0</v>
      </c>
      <c r="H13" s="35">
        <v>0</v>
      </c>
      <c r="I13" s="35">
        <v>0</v>
      </c>
      <c r="J13" s="35">
        <v>0</v>
      </c>
      <c r="K13" s="35">
        <v>0</v>
      </c>
      <c r="L13" s="35">
        <v>0</v>
      </c>
      <c r="M13" s="35">
        <v>0</v>
      </c>
      <c r="N13" s="35">
        <v>0</v>
      </c>
      <c r="O13" s="35">
        <v>3</v>
      </c>
      <c r="P13" s="35">
        <v>0</v>
      </c>
    </row>
    <row r="14" spans="1:16" x14ac:dyDescent="0.3">
      <c r="A14" s="35" t="s">
        <v>147</v>
      </c>
      <c r="B14" s="35">
        <v>0</v>
      </c>
      <c r="C14" s="35">
        <v>0</v>
      </c>
      <c r="D14" s="35">
        <v>2</v>
      </c>
      <c r="E14" s="35">
        <v>0</v>
      </c>
      <c r="F14" s="35">
        <v>1</v>
      </c>
      <c r="G14" s="35">
        <v>1</v>
      </c>
      <c r="H14" s="35">
        <v>0</v>
      </c>
      <c r="I14" s="35">
        <v>0</v>
      </c>
      <c r="J14" s="35">
        <v>0</v>
      </c>
      <c r="K14" s="35">
        <v>0</v>
      </c>
      <c r="L14" s="35">
        <v>1</v>
      </c>
      <c r="M14" s="35">
        <v>1</v>
      </c>
      <c r="N14" s="35">
        <v>0</v>
      </c>
      <c r="O14" s="35">
        <v>6</v>
      </c>
      <c r="P14" s="35">
        <v>0</v>
      </c>
    </row>
    <row r="15" spans="1:16" x14ac:dyDescent="0.3">
      <c r="A15" s="35" t="s">
        <v>148</v>
      </c>
      <c r="B15" s="35">
        <v>33</v>
      </c>
      <c r="C15" s="35">
        <v>26</v>
      </c>
      <c r="D15" s="35">
        <v>205</v>
      </c>
      <c r="E15" s="35">
        <v>22</v>
      </c>
      <c r="F15" s="35">
        <v>171</v>
      </c>
      <c r="G15" s="35">
        <v>71</v>
      </c>
      <c r="H15" s="35">
        <v>7</v>
      </c>
      <c r="I15" s="35">
        <v>33</v>
      </c>
      <c r="J15" s="35">
        <v>12</v>
      </c>
      <c r="K15" s="35">
        <v>13</v>
      </c>
      <c r="L15" s="35">
        <v>20</v>
      </c>
      <c r="M15" s="35">
        <v>14</v>
      </c>
      <c r="N15" s="35">
        <v>14</v>
      </c>
      <c r="O15" s="35">
        <v>641</v>
      </c>
      <c r="P15" s="35">
        <v>52</v>
      </c>
    </row>
    <row r="16" spans="1:16" x14ac:dyDescent="0.3">
      <c r="A16" s="35" t="s">
        <v>149</v>
      </c>
      <c r="B16" s="35">
        <v>4</v>
      </c>
      <c r="C16" s="35">
        <v>3</v>
      </c>
      <c r="D16" s="35">
        <v>14</v>
      </c>
      <c r="E16" s="35">
        <v>2</v>
      </c>
      <c r="F16" s="35">
        <v>17</v>
      </c>
      <c r="G16" s="35">
        <v>2</v>
      </c>
      <c r="H16" s="35">
        <v>0</v>
      </c>
      <c r="I16" s="35">
        <v>1</v>
      </c>
      <c r="J16" s="35">
        <v>2</v>
      </c>
      <c r="K16" s="35">
        <v>1</v>
      </c>
      <c r="L16" s="35">
        <v>1</v>
      </c>
      <c r="M16" s="35">
        <v>0</v>
      </c>
      <c r="N16" s="35">
        <v>0</v>
      </c>
      <c r="O16" s="35">
        <v>47</v>
      </c>
      <c r="P16" s="35">
        <v>11</v>
      </c>
    </row>
    <row r="17" spans="1:16" x14ac:dyDescent="0.3">
      <c r="A17" s="43" t="s">
        <v>29</v>
      </c>
      <c r="B17" s="43">
        <v>87</v>
      </c>
      <c r="C17" s="43">
        <v>55</v>
      </c>
      <c r="D17" s="43">
        <v>443</v>
      </c>
      <c r="E17" s="43">
        <v>38</v>
      </c>
      <c r="F17" s="43">
        <v>311</v>
      </c>
      <c r="G17" s="43">
        <v>102</v>
      </c>
      <c r="H17" s="43">
        <v>13</v>
      </c>
      <c r="I17" s="43">
        <v>57</v>
      </c>
      <c r="J17" s="43">
        <v>29</v>
      </c>
      <c r="K17" s="43">
        <v>20</v>
      </c>
      <c r="L17" s="43">
        <v>32</v>
      </c>
      <c r="M17" s="43">
        <v>24</v>
      </c>
      <c r="N17" s="43">
        <v>19</v>
      </c>
      <c r="O17" s="46">
        <v>1230</v>
      </c>
      <c r="P17" s="43">
        <v>152</v>
      </c>
    </row>
    <row r="18" spans="1:16" x14ac:dyDescent="0.3">
      <c r="A18" t="s">
        <v>203</v>
      </c>
    </row>
    <row r="19" spans="1:16" x14ac:dyDescent="0.3">
      <c r="A19" t="s">
        <v>32</v>
      </c>
    </row>
    <row r="22" spans="1:16" x14ac:dyDescent="0.3">
      <c r="A22" s="43" t="s">
        <v>393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</row>
    <row r="23" spans="1:16" ht="43.2" x14ac:dyDescent="0.3">
      <c r="A23" s="44" t="s">
        <v>134</v>
      </c>
      <c r="B23" s="44" t="s">
        <v>6</v>
      </c>
      <c r="C23" s="44" t="s">
        <v>33</v>
      </c>
      <c r="D23" s="44" t="s">
        <v>7</v>
      </c>
      <c r="E23" s="44" t="s">
        <v>8</v>
      </c>
      <c r="F23" s="44" t="s">
        <v>9</v>
      </c>
      <c r="G23" s="44" t="s">
        <v>135</v>
      </c>
      <c r="H23" s="44" t="s">
        <v>34</v>
      </c>
      <c r="I23" s="44" t="s">
        <v>35</v>
      </c>
      <c r="J23" s="44" t="s">
        <v>36</v>
      </c>
      <c r="K23" s="44" t="s">
        <v>37</v>
      </c>
      <c r="L23" s="44" t="s">
        <v>10</v>
      </c>
      <c r="M23" s="44" t="s">
        <v>11</v>
      </c>
      <c r="N23" s="44" t="s">
        <v>12</v>
      </c>
      <c r="O23" s="44" t="s">
        <v>29</v>
      </c>
      <c r="P23" s="44" t="s">
        <v>39</v>
      </c>
    </row>
    <row r="24" spans="1:16" x14ac:dyDescent="0.3">
      <c r="A24" s="35" t="s">
        <v>136</v>
      </c>
      <c r="B24" s="35">
        <v>4</v>
      </c>
      <c r="C24" s="35">
        <v>1</v>
      </c>
      <c r="D24" s="35">
        <v>60</v>
      </c>
      <c r="E24" s="35">
        <v>1</v>
      </c>
      <c r="F24" s="35">
        <v>20</v>
      </c>
      <c r="G24" s="35">
        <v>4</v>
      </c>
      <c r="H24" s="35">
        <v>0</v>
      </c>
      <c r="I24" s="35">
        <v>3</v>
      </c>
      <c r="J24" s="35">
        <v>1</v>
      </c>
      <c r="K24" s="35">
        <v>0</v>
      </c>
      <c r="L24" s="35">
        <v>0</v>
      </c>
      <c r="M24" s="35">
        <v>2</v>
      </c>
      <c r="N24" s="35">
        <v>1</v>
      </c>
      <c r="O24" s="35">
        <f>SUM(B24:N24)</f>
        <v>97</v>
      </c>
      <c r="P24" s="35">
        <v>76</v>
      </c>
    </row>
    <row r="25" spans="1:16" x14ac:dyDescent="0.3">
      <c r="A25" s="35" t="s">
        <v>137</v>
      </c>
      <c r="B25" s="35">
        <v>0</v>
      </c>
      <c r="C25" s="35">
        <v>0</v>
      </c>
      <c r="D25" s="35">
        <v>12</v>
      </c>
      <c r="E25" s="35">
        <v>1</v>
      </c>
      <c r="F25" s="35">
        <v>7</v>
      </c>
      <c r="G25" s="35">
        <v>0</v>
      </c>
      <c r="H25" s="35">
        <v>0</v>
      </c>
      <c r="I25" s="35">
        <v>0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  <c r="O25" s="35">
        <f>SUM(B25:N25)</f>
        <v>20</v>
      </c>
      <c r="P25" s="35">
        <v>1</v>
      </c>
    </row>
    <row r="26" spans="1:16" x14ac:dyDescent="0.3">
      <c r="A26" s="35" t="s">
        <v>138</v>
      </c>
      <c r="B26" s="35">
        <v>0</v>
      </c>
      <c r="C26" s="35">
        <v>4</v>
      </c>
      <c r="D26" s="35">
        <v>6</v>
      </c>
      <c r="E26" s="35">
        <v>3</v>
      </c>
      <c r="F26" s="35">
        <v>11</v>
      </c>
      <c r="G26" s="35">
        <v>3</v>
      </c>
      <c r="H26" s="35">
        <v>1</v>
      </c>
      <c r="I26" s="35">
        <v>1</v>
      </c>
      <c r="J26" s="35">
        <v>0</v>
      </c>
      <c r="K26" s="35">
        <v>0</v>
      </c>
      <c r="L26" s="35">
        <v>0</v>
      </c>
      <c r="M26" s="35">
        <v>2</v>
      </c>
      <c r="N26" s="35">
        <v>0</v>
      </c>
      <c r="O26" s="35">
        <v>31</v>
      </c>
      <c r="P26" s="35">
        <v>0</v>
      </c>
    </row>
    <row r="27" spans="1:16" x14ac:dyDescent="0.3">
      <c r="A27" s="35" t="s">
        <v>139</v>
      </c>
      <c r="B27" s="35">
        <v>3</v>
      </c>
      <c r="C27" s="35">
        <v>5</v>
      </c>
      <c r="D27" s="35">
        <v>21</v>
      </c>
      <c r="E27" s="35">
        <v>5</v>
      </c>
      <c r="F27" s="35">
        <v>25</v>
      </c>
      <c r="G27" s="35">
        <v>8</v>
      </c>
      <c r="H27" s="35">
        <v>3</v>
      </c>
      <c r="I27" s="35">
        <v>7</v>
      </c>
      <c r="J27" s="35">
        <v>8</v>
      </c>
      <c r="K27" s="35">
        <v>0</v>
      </c>
      <c r="L27" s="35">
        <v>6</v>
      </c>
      <c r="M27" s="35">
        <v>4</v>
      </c>
      <c r="N27" s="35">
        <v>2</v>
      </c>
      <c r="O27" s="35">
        <f>SUM(B27:N27)</f>
        <v>97</v>
      </c>
      <c r="P27" s="35">
        <v>1</v>
      </c>
    </row>
    <row r="28" spans="1:16" x14ac:dyDescent="0.3">
      <c r="A28" s="35" t="s">
        <v>140</v>
      </c>
      <c r="B28" s="35">
        <v>3</v>
      </c>
      <c r="C28" s="35">
        <v>9</v>
      </c>
      <c r="D28" s="35">
        <v>38</v>
      </c>
      <c r="E28" s="35">
        <v>4</v>
      </c>
      <c r="F28" s="35">
        <v>29</v>
      </c>
      <c r="G28" s="35">
        <v>6</v>
      </c>
      <c r="H28" s="35">
        <v>0</v>
      </c>
      <c r="I28" s="35">
        <v>7</v>
      </c>
      <c r="J28" s="35">
        <v>3</v>
      </c>
      <c r="K28" s="35">
        <v>5</v>
      </c>
      <c r="L28" s="35">
        <v>4</v>
      </c>
      <c r="M28" s="35">
        <v>1</v>
      </c>
      <c r="N28" s="35">
        <v>1</v>
      </c>
      <c r="O28" s="35">
        <f>SUM(B28:N28)</f>
        <v>110</v>
      </c>
      <c r="P28" s="35">
        <v>10</v>
      </c>
    </row>
    <row r="29" spans="1:16" x14ac:dyDescent="0.3">
      <c r="A29" s="35" t="s">
        <v>141</v>
      </c>
      <c r="B29" s="35">
        <v>0</v>
      </c>
      <c r="C29" s="35">
        <v>0</v>
      </c>
      <c r="D29" s="35">
        <v>1</v>
      </c>
      <c r="E29" s="35">
        <v>0</v>
      </c>
      <c r="F29" s="35">
        <v>1</v>
      </c>
      <c r="G29" s="35">
        <v>0</v>
      </c>
      <c r="H29" s="35">
        <v>0</v>
      </c>
      <c r="I29" s="35">
        <v>0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  <c r="O29" s="35">
        <v>2</v>
      </c>
      <c r="P29" s="35">
        <v>1</v>
      </c>
    </row>
    <row r="30" spans="1:16" x14ac:dyDescent="0.3">
      <c r="A30" s="35" t="s">
        <v>390</v>
      </c>
      <c r="B30" s="35">
        <v>0</v>
      </c>
      <c r="C30" s="35">
        <v>0</v>
      </c>
      <c r="D30" s="35">
        <v>1</v>
      </c>
      <c r="E30" s="35">
        <v>0</v>
      </c>
      <c r="F30" s="35">
        <v>1</v>
      </c>
      <c r="G30" s="35">
        <v>0</v>
      </c>
      <c r="H30" s="35">
        <v>0</v>
      </c>
      <c r="I30" s="35">
        <v>0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  <c r="O30" s="35">
        <v>2</v>
      </c>
      <c r="P30" s="35">
        <v>0</v>
      </c>
    </row>
    <row r="31" spans="1:16" x14ac:dyDescent="0.3">
      <c r="A31" s="35" t="s">
        <v>391</v>
      </c>
      <c r="B31" s="35">
        <v>1</v>
      </c>
      <c r="C31" s="35">
        <v>0</v>
      </c>
      <c r="D31" s="35">
        <v>8</v>
      </c>
      <c r="E31" s="35">
        <v>0</v>
      </c>
      <c r="F31" s="35">
        <v>3</v>
      </c>
      <c r="G31" s="35">
        <v>2</v>
      </c>
      <c r="H31" s="35">
        <v>0</v>
      </c>
      <c r="I31" s="35">
        <v>1</v>
      </c>
      <c r="J31" s="35">
        <v>0</v>
      </c>
      <c r="K31" s="35">
        <v>0</v>
      </c>
      <c r="L31" s="35">
        <v>0</v>
      </c>
      <c r="M31" s="35">
        <v>0</v>
      </c>
      <c r="N31" s="35">
        <v>0</v>
      </c>
      <c r="O31" s="35">
        <v>15</v>
      </c>
      <c r="P31" s="35">
        <v>0</v>
      </c>
    </row>
    <row r="32" spans="1:16" x14ac:dyDescent="0.3">
      <c r="A32" s="35" t="s">
        <v>144</v>
      </c>
      <c r="B32" s="35">
        <v>0</v>
      </c>
      <c r="C32" s="35">
        <v>1</v>
      </c>
      <c r="D32" s="35">
        <v>5</v>
      </c>
      <c r="E32" s="35">
        <v>0</v>
      </c>
      <c r="F32" s="35">
        <v>7</v>
      </c>
      <c r="G32" s="35">
        <v>1</v>
      </c>
      <c r="H32" s="35">
        <v>0</v>
      </c>
      <c r="I32" s="35">
        <v>2</v>
      </c>
      <c r="J32" s="35">
        <v>1</v>
      </c>
      <c r="K32" s="35">
        <v>0</v>
      </c>
      <c r="L32" s="35">
        <v>0</v>
      </c>
      <c r="M32" s="35">
        <v>0</v>
      </c>
      <c r="N32" s="35">
        <v>0</v>
      </c>
      <c r="O32" s="35">
        <v>17</v>
      </c>
      <c r="P32" s="35">
        <v>0</v>
      </c>
    </row>
    <row r="33" spans="1:17" x14ac:dyDescent="0.3">
      <c r="A33" s="35" t="s">
        <v>145</v>
      </c>
      <c r="B33" s="35">
        <v>51</v>
      </c>
      <c r="C33" s="35">
        <v>3</v>
      </c>
      <c r="D33" s="35">
        <v>38</v>
      </c>
      <c r="E33" s="35">
        <v>0</v>
      </c>
      <c r="F33" s="35">
        <v>2</v>
      </c>
      <c r="G33" s="35">
        <v>1</v>
      </c>
      <c r="H33" s="35">
        <v>0</v>
      </c>
      <c r="I33" s="35">
        <v>1</v>
      </c>
      <c r="J33" s="35">
        <v>3</v>
      </c>
      <c r="K33" s="35">
        <v>0</v>
      </c>
      <c r="L33" s="35">
        <v>0</v>
      </c>
      <c r="M33" s="35">
        <v>0</v>
      </c>
      <c r="N33" s="35">
        <v>0</v>
      </c>
      <c r="O33" s="35">
        <f>SUM(B33:N33)</f>
        <v>99</v>
      </c>
      <c r="P33" s="35">
        <v>40</v>
      </c>
    </row>
    <row r="34" spans="1:17" x14ac:dyDescent="0.3">
      <c r="A34" s="35" t="s">
        <v>146</v>
      </c>
      <c r="B34" s="35">
        <v>0</v>
      </c>
      <c r="C34" s="35">
        <v>0</v>
      </c>
      <c r="D34" s="35">
        <v>2</v>
      </c>
      <c r="E34" s="35">
        <v>0</v>
      </c>
      <c r="F34" s="35">
        <v>1</v>
      </c>
      <c r="G34" s="35">
        <v>0</v>
      </c>
      <c r="H34" s="35">
        <v>0</v>
      </c>
      <c r="I34" s="35">
        <v>0</v>
      </c>
      <c r="J34" s="35">
        <v>0</v>
      </c>
      <c r="K34" s="35">
        <v>0</v>
      </c>
      <c r="L34" s="35">
        <v>0</v>
      </c>
      <c r="M34" s="35">
        <v>0</v>
      </c>
      <c r="N34" s="35">
        <v>0</v>
      </c>
      <c r="O34" s="35">
        <v>3</v>
      </c>
      <c r="P34" s="35">
        <v>1</v>
      </c>
    </row>
    <row r="35" spans="1:17" x14ac:dyDescent="0.3">
      <c r="A35" s="35" t="s">
        <v>392</v>
      </c>
      <c r="B35" s="35">
        <v>0</v>
      </c>
      <c r="C35" s="35">
        <v>0</v>
      </c>
      <c r="D35" s="35">
        <v>2</v>
      </c>
      <c r="E35" s="35">
        <v>0</v>
      </c>
      <c r="F35" s="35">
        <v>1</v>
      </c>
      <c r="G35" s="35">
        <v>1</v>
      </c>
      <c r="H35" s="35">
        <v>0</v>
      </c>
      <c r="I35" s="35">
        <v>0</v>
      </c>
      <c r="J35" s="35">
        <v>0</v>
      </c>
      <c r="K35" s="35">
        <v>0</v>
      </c>
      <c r="L35" s="35">
        <v>1</v>
      </c>
      <c r="M35" s="35">
        <v>1</v>
      </c>
      <c r="N35" s="35">
        <v>0</v>
      </c>
      <c r="O35" s="35">
        <v>6</v>
      </c>
      <c r="P35" s="35">
        <v>0</v>
      </c>
    </row>
    <row r="36" spans="1:17" x14ac:dyDescent="0.3">
      <c r="A36" s="35" t="s">
        <v>148</v>
      </c>
      <c r="B36" s="35">
        <v>32</v>
      </c>
      <c r="C36" s="35">
        <v>26</v>
      </c>
      <c r="D36" s="35">
        <v>202</v>
      </c>
      <c r="E36" s="35">
        <v>22</v>
      </c>
      <c r="F36" s="35">
        <v>169</v>
      </c>
      <c r="G36" s="35">
        <v>71</v>
      </c>
      <c r="H36" s="35">
        <v>7</v>
      </c>
      <c r="I36" s="35">
        <v>33</v>
      </c>
      <c r="J36" s="35">
        <v>12</v>
      </c>
      <c r="K36" s="35">
        <v>13</v>
      </c>
      <c r="L36" s="35">
        <v>20</v>
      </c>
      <c r="M36" s="35">
        <v>14</v>
      </c>
      <c r="N36" s="35">
        <v>14</v>
      </c>
      <c r="O36" s="35">
        <f>SUM(B36:N36)</f>
        <v>635</v>
      </c>
      <c r="P36" s="35">
        <v>85</v>
      </c>
    </row>
    <row r="37" spans="1:17" x14ac:dyDescent="0.3">
      <c r="A37" s="35" t="s">
        <v>149</v>
      </c>
      <c r="B37" s="35">
        <v>3</v>
      </c>
      <c r="C37" s="35">
        <v>3</v>
      </c>
      <c r="D37" s="35">
        <v>13</v>
      </c>
      <c r="E37" s="35">
        <v>2</v>
      </c>
      <c r="F37" s="35">
        <v>17</v>
      </c>
      <c r="G37" s="35">
        <v>2</v>
      </c>
      <c r="H37" s="35">
        <v>0</v>
      </c>
      <c r="I37" s="35">
        <v>1</v>
      </c>
      <c r="J37" s="35">
        <v>2</v>
      </c>
      <c r="K37" s="35">
        <v>1</v>
      </c>
      <c r="L37" s="35">
        <v>1</v>
      </c>
      <c r="M37" s="35">
        <v>0</v>
      </c>
      <c r="N37" s="35">
        <v>0</v>
      </c>
      <c r="O37" s="35">
        <f>SUM(B37:N37)</f>
        <v>45</v>
      </c>
      <c r="P37" s="35">
        <v>14</v>
      </c>
    </row>
    <row r="38" spans="1:17" x14ac:dyDescent="0.3">
      <c r="A38" s="43" t="s">
        <v>29</v>
      </c>
      <c r="B38" s="43">
        <f>SUM(B24:B37)</f>
        <v>97</v>
      </c>
      <c r="C38" s="43">
        <f>SUM(C24:C37)</f>
        <v>52</v>
      </c>
      <c r="D38" s="43">
        <f>SUM(D24:D37)</f>
        <v>409</v>
      </c>
      <c r="E38" s="43">
        <v>38</v>
      </c>
      <c r="F38" s="43">
        <f t="shared" ref="F38:K38" si="0">SUM(F24:F37)</f>
        <v>294</v>
      </c>
      <c r="G38" s="43">
        <f t="shared" si="0"/>
        <v>99</v>
      </c>
      <c r="H38" s="43">
        <f t="shared" si="0"/>
        <v>11</v>
      </c>
      <c r="I38" s="43">
        <f t="shared" si="0"/>
        <v>56</v>
      </c>
      <c r="J38" s="43">
        <f t="shared" si="0"/>
        <v>30</v>
      </c>
      <c r="K38" s="43">
        <f t="shared" si="0"/>
        <v>19</v>
      </c>
      <c r="L38" s="43">
        <v>32</v>
      </c>
      <c r="M38" s="43">
        <v>24</v>
      </c>
      <c r="N38" s="43">
        <f>SUM(N24:N37)</f>
        <v>18</v>
      </c>
      <c r="O38" s="46">
        <f>SUM(O24:O37)</f>
        <v>1179</v>
      </c>
      <c r="P38" s="43">
        <f>SUM(P24:P37)</f>
        <v>229</v>
      </c>
    </row>
    <row r="39" spans="1:17" x14ac:dyDescent="0.3">
      <c r="A39" t="s">
        <v>395</v>
      </c>
    </row>
    <row r="40" spans="1:17" x14ac:dyDescent="0.3">
      <c r="A40" t="s">
        <v>394</v>
      </c>
    </row>
    <row r="44" spans="1:17" ht="15.6" x14ac:dyDescent="0.3">
      <c r="A44" s="70" t="s">
        <v>414</v>
      </c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</row>
    <row r="45" spans="1:17" x14ac:dyDescent="0.3">
      <c r="A45" s="26" t="s">
        <v>134</v>
      </c>
      <c r="B45" s="26" t="s">
        <v>6</v>
      </c>
      <c r="C45" s="26" t="s">
        <v>33</v>
      </c>
      <c r="D45" s="26" t="s">
        <v>7</v>
      </c>
      <c r="E45" s="26" t="s">
        <v>8</v>
      </c>
      <c r="F45" s="26" t="s">
        <v>9</v>
      </c>
      <c r="G45" s="26" t="s">
        <v>135</v>
      </c>
      <c r="H45" s="26" t="s">
        <v>34</v>
      </c>
      <c r="I45" s="26" t="s">
        <v>35</v>
      </c>
      <c r="J45" s="26" t="s">
        <v>36</v>
      </c>
      <c r="K45" s="26" t="s">
        <v>37</v>
      </c>
      <c r="L45" s="26" t="s">
        <v>10</v>
      </c>
      <c r="M45" s="26" t="s">
        <v>11</v>
      </c>
      <c r="N45" s="26" t="s">
        <v>12</v>
      </c>
      <c r="O45" s="26" t="s">
        <v>29</v>
      </c>
      <c r="P45" s="26" t="s">
        <v>39</v>
      </c>
      <c r="Q45" s="26" t="s">
        <v>249</v>
      </c>
    </row>
    <row r="46" spans="1:17" x14ac:dyDescent="0.3">
      <c r="A46" s="26" t="s">
        <v>352</v>
      </c>
      <c r="B46" s="26">
        <v>4</v>
      </c>
      <c r="C46" s="26">
        <v>1</v>
      </c>
      <c r="D46" s="26">
        <v>90</v>
      </c>
      <c r="E46" s="26">
        <v>1</v>
      </c>
      <c r="F46" s="26">
        <v>26</v>
      </c>
      <c r="G46" s="26">
        <v>5</v>
      </c>
      <c r="H46" s="26">
        <v>0</v>
      </c>
      <c r="I46" s="26">
        <v>3</v>
      </c>
      <c r="J46" s="26">
        <v>1</v>
      </c>
      <c r="K46" s="26">
        <v>0</v>
      </c>
      <c r="L46" s="26">
        <v>0</v>
      </c>
      <c r="M46" s="26">
        <v>2</v>
      </c>
      <c r="N46" s="26">
        <v>1</v>
      </c>
      <c r="O46" s="26">
        <v>134</v>
      </c>
      <c r="P46" s="26">
        <v>78</v>
      </c>
      <c r="Q46" s="26"/>
    </row>
    <row r="47" spans="1:17" x14ac:dyDescent="0.3">
      <c r="A47" s="26" t="s">
        <v>137</v>
      </c>
      <c r="B47" s="26">
        <v>0</v>
      </c>
      <c r="C47" s="26">
        <v>0</v>
      </c>
      <c r="D47" s="26">
        <v>17</v>
      </c>
      <c r="E47" s="26">
        <v>1</v>
      </c>
      <c r="F47" s="26">
        <v>10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26">
        <v>0</v>
      </c>
      <c r="N47" s="26">
        <v>0</v>
      </c>
      <c r="O47" s="26">
        <v>28</v>
      </c>
      <c r="P47" s="26">
        <v>11</v>
      </c>
      <c r="Q47" s="26"/>
    </row>
    <row r="48" spans="1:17" x14ac:dyDescent="0.3">
      <c r="A48" s="26" t="s">
        <v>138</v>
      </c>
      <c r="B48" s="26">
        <v>0</v>
      </c>
      <c r="C48" s="26">
        <v>4</v>
      </c>
      <c r="D48" s="26">
        <v>5</v>
      </c>
      <c r="E48" s="26">
        <v>3</v>
      </c>
      <c r="F48" s="26">
        <v>11</v>
      </c>
      <c r="G48" s="26">
        <v>3</v>
      </c>
      <c r="H48" s="26">
        <v>1</v>
      </c>
      <c r="I48" s="26">
        <v>1</v>
      </c>
      <c r="J48" s="26">
        <v>0</v>
      </c>
      <c r="K48" s="26">
        <v>0</v>
      </c>
      <c r="L48" s="26">
        <v>0</v>
      </c>
      <c r="M48" s="26">
        <v>2</v>
      </c>
      <c r="N48" s="26">
        <v>0</v>
      </c>
      <c r="O48" s="26">
        <v>30</v>
      </c>
      <c r="P48" s="26">
        <v>0</v>
      </c>
      <c r="Q48" s="26"/>
    </row>
    <row r="49" spans="1:17" x14ac:dyDescent="0.3">
      <c r="A49" s="26" t="s">
        <v>139</v>
      </c>
      <c r="B49" s="26">
        <v>3</v>
      </c>
      <c r="C49" s="26">
        <v>5</v>
      </c>
      <c r="D49" s="26">
        <v>22</v>
      </c>
      <c r="E49" s="26">
        <v>5</v>
      </c>
      <c r="F49" s="26">
        <v>28</v>
      </c>
      <c r="G49" s="26">
        <v>8</v>
      </c>
      <c r="H49" s="26">
        <v>3</v>
      </c>
      <c r="I49" s="26">
        <v>8</v>
      </c>
      <c r="J49" s="26">
        <v>8</v>
      </c>
      <c r="K49" s="26">
        <v>1</v>
      </c>
      <c r="L49" s="26">
        <v>6</v>
      </c>
      <c r="M49" s="26">
        <v>4</v>
      </c>
      <c r="N49" s="26">
        <v>3</v>
      </c>
      <c r="O49" s="26">
        <v>104</v>
      </c>
      <c r="P49" s="26">
        <v>3</v>
      </c>
      <c r="Q49" s="26"/>
    </row>
    <row r="50" spans="1:17" x14ac:dyDescent="0.3">
      <c r="A50" s="26" t="s">
        <v>140</v>
      </c>
      <c r="B50" s="26">
        <v>3</v>
      </c>
      <c r="C50" s="26">
        <v>12</v>
      </c>
      <c r="D50" s="26">
        <v>52</v>
      </c>
      <c r="E50" s="26">
        <v>4</v>
      </c>
      <c r="F50" s="26">
        <v>36</v>
      </c>
      <c r="G50" s="26">
        <v>8</v>
      </c>
      <c r="H50" s="26">
        <v>2</v>
      </c>
      <c r="I50" s="26">
        <v>7</v>
      </c>
      <c r="J50" s="26">
        <v>3</v>
      </c>
      <c r="K50" s="26">
        <v>5</v>
      </c>
      <c r="L50" s="26">
        <v>4</v>
      </c>
      <c r="M50" s="26">
        <v>1</v>
      </c>
      <c r="N50" s="26">
        <v>1</v>
      </c>
      <c r="O50" s="26">
        <v>138</v>
      </c>
      <c r="P50" s="26">
        <v>4</v>
      </c>
      <c r="Q50" s="26"/>
    </row>
    <row r="51" spans="1:17" x14ac:dyDescent="0.3">
      <c r="A51" s="26" t="s">
        <v>353</v>
      </c>
      <c r="B51" s="26">
        <v>0</v>
      </c>
      <c r="C51" s="26">
        <v>0</v>
      </c>
      <c r="D51" s="26">
        <v>1</v>
      </c>
      <c r="E51" s="26">
        <v>0</v>
      </c>
      <c r="F51" s="26">
        <v>1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26">
        <v>0</v>
      </c>
      <c r="N51" s="26">
        <v>0</v>
      </c>
      <c r="O51" s="26">
        <v>2</v>
      </c>
      <c r="P51" s="26">
        <v>1</v>
      </c>
      <c r="Q51" s="26"/>
    </row>
    <row r="52" spans="1:17" x14ac:dyDescent="0.3">
      <c r="A52" s="26" t="s">
        <v>354</v>
      </c>
      <c r="B52" s="26">
        <v>0</v>
      </c>
      <c r="C52" s="26">
        <v>0</v>
      </c>
      <c r="D52" s="26">
        <v>1</v>
      </c>
      <c r="E52" s="26">
        <v>0</v>
      </c>
      <c r="F52" s="26">
        <v>1</v>
      </c>
      <c r="G52" s="26">
        <v>0</v>
      </c>
      <c r="H52" s="26">
        <v>0</v>
      </c>
      <c r="I52" s="26">
        <v>0</v>
      </c>
      <c r="J52" s="26">
        <v>0</v>
      </c>
      <c r="K52" s="26">
        <v>0</v>
      </c>
      <c r="L52" s="26">
        <v>0</v>
      </c>
      <c r="M52" s="26">
        <v>0</v>
      </c>
      <c r="N52" s="26">
        <v>0</v>
      </c>
      <c r="O52" s="26">
        <v>2</v>
      </c>
      <c r="P52" s="26">
        <v>0</v>
      </c>
      <c r="Q52" s="26"/>
    </row>
    <row r="53" spans="1:17" x14ac:dyDescent="0.3">
      <c r="A53" s="26" t="s">
        <v>143</v>
      </c>
      <c r="B53" s="26">
        <v>1</v>
      </c>
      <c r="C53" s="26">
        <v>0</v>
      </c>
      <c r="D53" s="26">
        <v>8</v>
      </c>
      <c r="E53" s="26">
        <v>0</v>
      </c>
      <c r="F53" s="26">
        <v>3</v>
      </c>
      <c r="G53" s="26">
        <v>2</v>
      </c>
      <c r="H53" s="26">
        <v>0</v>
      </c>
      <c r="I53" s="26">
        <v>1</v>
      </c>
      <c r="J53" s="26">
        <v>0</v>
      </c>
      <c r="K53" s="26">
        <v>0</v>
      </c>
      <c r="L53" s="26">
        <v>0</v>
      </c>
      <c r="M53" s="26">
        <v>0</v>
      </c>
      <c r="N53" s="26">
        <v>0</v>
      </c>
      <c r="O53" s="26">
        <v>15</v>
      </c>
      <c r="P53" s="26">
        <v>0</v>
      </c>
      <c r="Q53" s="26"/>
    </row>
    <row r="54" spans="1:17" x14ac:dyDescent="0.3">
      <c r="A54" s="26" t="s">
        <v>144</v>
      </c>
      <c r="B54" s="26">
        <v>0</v>
      </c>
      <c r="C54" s="26">
        <v>1</v>
      </c>
      <c r="D54" s="26">
        <v>5</v>
      </c>
      <c r="E54" s="26">
        <v>0</v>
      </c>
      <c r="F54" s="26">
        <v>7</v>
      </c>
      <c r="G54" s="26">
        <v>1</v>
      </c>
      <c r="H54" s="26">
        <v>0</v>
      </c>
      <c r="I54" s="26">
        <v>2</v>
      </c>
      <c r="J54" s="26">
        <v>1</v>
      </c>
      <c r="K54" s="26">
        <v>0</v>
      </c>
      <c r="L54" s="26">
        <v>0</v>
      </c>
      <c r="M54" s="26">
        <v>0</v>
      </c>
      <c r="N54" s="26">
        <v>0</v>
      </c>
      <c r="O54" s="26">
        <v>17</v>
      </c>
      <c r="P54" s="26">
        <v>0</v>
      </c>
      <c r="Q54" s="26"/>
    </row>
    <row r="55" spans="1:17" x14ac:dyDescent="0.3">
      <c r="A55" s="26" t="s">
        <v>355</v>
      </c>
      <c r="B55" s="26">
        <v>42</v>
      </c>
      <c r="C55" s="26">
        <v>8</v>
      </c>
      <c r="D55" s="26">
        <v>42</v>
      </c>
      <c r="E55" s="26">
        <v>0</v>
      </c>
      <c r="F55" s="26">
        <v>4</v>
      </c>
      <c r="G55" s="26">
        <v>1</v>
      </c>
      <c r="H55" s="26">
        <v>0</v>
      </c>
      <c r="I55" s="26">
        <v>1</v>
      </c>
      <c r="J55" s="26">
        <v>2</v>
      </c>
      <c r="K55" s="26">
        <v>0</v>
      </c>
      <c r="L55" s="26">
        <v>0</v>
      </c>
      <c r="M55" s="26">
        <v>0</v>
      </c>
      <c r="N55" s="26">
        <v>0</v>
      </c>
      <c r="O55" s="26">
        <v>100</v>
      </c>
      <c r="P55" s="26">
        <v>19</v>
      </c>
      <c r="Q55" s="26"/>
    </row>
    <row r="56" spans="1:17" x14ac:dyDescent="0.3">
      <c r="A56" s="26" t="s">
        <v>356</v>
      </c>
      <c r="B56" s="26">
        <v>0</v>
      </c>
      <c r="C56" s="26">
        <v>0</v>
      </c>
      <c r="D56" s="26">
        <v>2</v>
      </c>
      <c r="E56" s="26">
        <v>0</v>
      </c>
      <c r="F56" s="26">
        <v>1</v>
      </c>
      <c r="G56" s="26">
        <v>0</v>
      </c>
      <c r="H56" s="26">
        <v>0</v>
      </c>
      <c r="I56" s="26">
        <v>0</v>
      </c>
      <c r="J56" s="26">
        <v>0</v>
      </c>
      <c r="K56" s="26">
        <v>0</v>
      </c>
      <c r="L56" s="26">
        <v>0</v>
      </c>
      <c r="M56" s="26">
        <v>0</v>
      </c>
      <c r="N56" s="26">
        <v>0</v>
      </c>
      <c r="O56" s="26">
        <v>3</v>
      </c>
      <c r="P56" s="26">
        <v>0</v>
      </c>
      <c r="Q56" s="26"/>
    </row>
    <row r="57" spans="1:17" x14ac:dyDescent="0.3">
      <c r="A57" s="26" t="s">
        <v>147</v>
      </c>
      <c r="B57" s="26">
        <v>0</v>
      </c>
      <c r="C57" s="26">
        <v>0</v>
      </c>
      <c r="D57" s="26">
        <v>2</v>
      </c>
      <c r="E57" s="26">
        <v>0</v>
      </c>
      <c r="F57" s="26">
        <v>1</v>
      </c>
      <c r="G57" s="26">
        <v>1</v>
      </c>
      <c r="H57" s="26">
        <v>0</v>
      </c>
      <c r="I57" s="26">
        <v>0</v>
      </c>
      <c r="J57" s="26">
        <v>0</v>
      </c>
      <c r="K57" s="26">
        <v>0</v>
      </c>
      <c r="L57" s="26">
        <v>1</v>
      </c>
      <c r="M57" s="26">
        <v>1</v>
      </c>
      <c r="N57" s="26">
        <v>0</v>
      </c>
      <c r="O57" s="26">
        <v>6</v>
      </c>
      <c r="P57" s="26">
        <v>0</v>
      </c>
      <c r="Q57" s="26"/>
    </row>
    <row r="58" spans="1:17" x14ac:dyDescent="0.3">
      <c r="A58" s="26" t="s">
        <v>148</v>
      </c>
      <c r="B58" s="26">
        <v>34</v>
      </c>
      <c r="C58" s="26">
        <v>26</v>
      </c>
      <c r="D58" s="26">
        <v>206</v>
      </c>
      <c r="E58" s="26">
        <v>22</v>
      </c>
      <c r="F58" s="26">
        <v>172</v>
      </c>
      <c r="G58" s="26">
        <v>70</v>
      </c>
      <c r="H58" s="26">
        <v>7</v>
      </c>
      <c r="I58" s="26">
        <v>33</v>
      </c>
      <c r="J58" s="26">
        <v>12</v>
      </c>
      <c r="K58" s="26">
        <v>13</v>
      </c>
      <c r="L58" s="26">
        <v>20</v>
      </c>
      <c r="M58" s="26">
        <v>14</v>
      </c>
      <c r="N58" s="26">
        <v>14</v>
      </c>
      <c r="O58" s="26">
        <v>643</v>
      </c>
      <c r="P58" s="26">
        <v>56</v>
      </c>
      <c r="Q58" s="26"/>
    </row>
    <row r="59" spans="1:17" x14ac:dyDescent="0.3">
      <c r="A59" s="26" t="s">
        <v>149</v>
      </c>
      <c r="B59" s="26">
        <v>4</v>
      </c>
      <c r="C59" s="26">
        <v>3</v>
      </c>
      <c r="D59" s="26">
        <v>16</v>
      </c>
      <c r="E59" s="26">
        <v>2</v>
      </c>
      <c r="F59" s="26">
        <v>19</v>
      </c>
      <c r="G59" s="26">
        <v>2</v>
      </c>
      <c r="H59" s="26">
        <v>0</v>
      </c>
      <c r="I59" s="26">
        <v>1</v>
      </c>
      <c r="J59" s="26">
        <v>2</v>
      </c>
      <c r="K59" s="26">
        <v>1</v>
      </c>
      <c r="L59" s="26">
        <v>1</v>
      </c>
      <c r="M59" s="26">
        <v>0</v>
      </c>
      <c r="N59" s="26">
        <v>0</v>
      </c>
      <c r="O59" s="26">
        <v>51</v>
      </c>
      <c r="P59" s="26">
        <v>15</v>
      </c>
      <c r="Q59" s="26"/>
    </row>
    <row r="60" spans="1:17" x14ac:dyDescent="0.3">
      <c r="A60" s="64" t="s">
        <v>357</v>
      </c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26">
        <v>91</v>
      </c>
      <c r="Q60" s="26"/>
    </row>
    <row r="61" spans="1:17" x14ac:dyDescent="0.3">
      <c r="A61" s="64" t="s">
        <v>358</v>
      </c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26">
        <v>60</v>
      </c>
      <c r="Q61" s="26"/>
    </row>
    <row r="62" spans="1:17" x14ac:dyDescent="0.3">
      <c r="A62" s="64" t="s">
        <v>359</v>
      </c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26">
        <v>469</v>
      </c>
      <c r="Q62" s="26"/>
    </row>
    <row r="63" spans="1:17" x14ac:dyDescent="0.3">
      <c r="A63" s="64" t="s">
        <v>360</v>
      </c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26">
        <v>38</v>
      </c>
      <c r="Q63" s="26"/>
    </row>
    <row r="64" spans="1:17" x14ac:dyDescent="0.3">
      <c r="A64" s="64" t="s">
        <v>361</v>
      </c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26">
        <v>320</v>
      </c>
      <c r="Q64" s="26"/>
    </row>
    <row r="65" spans="1:17" x14ac:dyDescent="0.3">
      <c r="A65" s="64" t="s">
        <v>362</v>
      </c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26">
        <v>101</v>
      </c>
      <c r="Q65" s="26"/>
    </row>
    <row r="66" spans="1:17" x14ac:dyDescent="0.3">
      <c r="A66" s="64" t="s">
        <v>363</v>
      </c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26">
        <v>13</v>
      </c>
      <c r="Q66" s="26"/>
    </row>
    <row r="67" spans="1:17" x14ac:dyDescent="0.3">
      <c r="A67" s="64" t="s">
        <v>364</v>
      </c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26">
        <v>57</v>
      </c>
      <c r="Q67" s="26"/>
    </row>
    <row r="68" spans="1:17" x14ac:dyDescent="0.3">
      <c r="A68" s="64" t="s">
        <v>365</v>
      </c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26">
        <v>29</v>
      </c>
      <c r="Q68" s="26"/>
    </row>
    <row r="69" spans="1:17" x14ac:dyDescent="0.3">
      <c r="A69" s="64" t="s">
        <v>366</v>
      </c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26">
        <v>20</v>
      </c>
      <c r="Q69" s="26"/>
    </row>
    <row r="70" spans="1:17" x14ac:dyDescent="0.3">
      <c r="A70" s="64" t="s">
        <v>367</v>
      </c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26">
        <v>32</v>
      </c>
      <c r="Q70" s="26"/>
    </row>
    <row r="71" spans="1:17" x14ac:dyDescent="0.3">
      <c r="A71" s="64" t="s">
        <v>368</v>
      </c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26">
        <v>24</v>
      </c>
      <c r="Q71" s="26"/>
    </row>
    <row r="72" spans="1:17" x14ac:dyDescent="0.3">
      <c r="A72" s="64" t="s">
        <v>369</v>
      </c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26">
        <v>19</v>
      </c>
      <c r="Q72" s="26"/>
    </row>
    <row r="73" spans="1:17" x14ac:dyDescent="0.3">
      <c r="A73" s="64" t="s">
        <v>250</v>
      </c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58" t="s">
        <v>370</v>
      </c>
      <c r="Q73" s="26"/>
    </row>
    <row r="74" spans="1:17" x14ac:dyDescent="0.3">
      <c r="A74" s="64" t="s">
        <v>351</v>
      </c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26">
        <v>187</v>
      </c>
      <c r="Q74" s="26"/>
    </row>
    <row r="75" spans="1:17" x14ac:dyDescent="0.3">
      <c r="A75" s="64" t="s">
        <v>371</v>
      </c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</row>
  </sheetData>
  <mergeCells count="17">
    <mergeCell ref="A71:O71"/>
    <mergeCell ref="A72:O72"/>
    <mergeCell ref="A73:O73"/>
    <mergeCell ref="A74:O74"/>
    <mergeCell ref="A75:Q75"/>
    <mergeCell ref="A70:O70"/>
    <mergeCell ref="A44:Q44"/>
    <mergeCell ref="A60:O60"/>
    <mergeCell ref="A61:O61"/>
    <mergeCell ref="A62:O62"/>
    <mergeCell ref="A63:O63"/>
    <mergeCell ref="A64:O64"/>
    <mergeCell ref="A65:O65"/>
    <mergeCell ref="A66:O66"/>
    <mergeCell ref="A67:O67"/>
    <mergeCell ref="A68:O68"/>
    <mergeCell ref="A69:O69"/>
  </mergeCells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K25"/>
  <sheetViews>
    <sheetView showGridLines="0" workbookViewId="0">
      <selection activeCell="M17" sqref="M17"/>
    </sheetView>
  </sheetViews>
  <sheetFormatPr baseColWidth="10" defaultColWidth="8.6640625" defaultRowHeight="14.4" x14ac:dyDescent="0.3"/>
  <cols>
    <col min="1" max="1" width="46.109375" customWidth="1"/>
    <col min="2" max="2" width="41.88671875" customWidth="1"/>
    <col min="3" max="3" width="34.5546875" customWidth="1"/>
    <col min="10" max="10" width="46.5546875" customWidth="1"/>
    <col min="11" max="11" width="27.77734375" customWidth="1"/>
  </cols>
  <sheetData>
    <row r="1" spans="1:11" x14ac:dyDescent="0.3">
      <c r="A1" s="43" t="s">
        <v>122</v>
      </c>
      <c r="B1" s="35"/>
      <c r="J1" s="43" t="s">
        <v>397</v>
      </c>
      <c r="K1" s="35"/>
    </row>
    <row r="2" spans="1:11" x14ac:dyDescent="0.3">
      <c r="A2" s="53" t="s">
        <v>123</v>
      </c>
      <c r="B2" s="53" t="s">
        <v>44</v>
      </c>
      <c r="J2" s="53" t="s">
        <v>123</v>
      </c>
      <c r="K2" s="53" t="s">
        <v>44</v>
      </c>
    </row>
    <row r="3" spans="1:11" x14ac:dyDescent="0.3">
      <c r="A3" s="43" t="s">
        <v>124</v>
      </c>
      <c r="B3" s="46">
        <v>111744760</v>
      </c>
      <c r="J3" s="43" t="s">
        <v>124</v>
      </c>
      <c r="K3" s="46">
        <v>59351724</v>
      </c>
    </row>
    <row r="4" spans="1:11" x14ac:dyDescent="0.3">
      <c r="A4" s="59" t="s">
        <v>125</v>
      </c>
      <c r="B4" s="45">
        <v>91535670</v>
      </c>
      <c r="J4" s="59" t="s">
        <v>125</v>
      </c>
      <c r="K4" s="45">
        <v>46747592</v>
      </c>
    </row>
    <row r="5" spans="1:11" x14ac:dyDescent="0.3">
      <c r="A5" s="59" t="s">
        <v>126</v>
      </c>
      <c r="B5" s="45">
        <v>11996434</v>
      </c>
      <c r="J5" s="59" t="s">
        <v>126</v>
      </c>
      <c r="K5" s="45">
        <v>7949715</v>
      </c>
    </row>
    <row r="6" spans="1:11" x14ac:dyDescent="0.3">
      <c r="A6" s="59" t="s">
        <v>127</v>
      </c>
      <c r="B6" s="45">
        <v>8212656</v>
      </c>
      <c r="J6" s="59" t="s">
        <v>127</v>
      </c>
      <c r="K6" s="45">
        <v>4654417</v>
      </c>
    </row>
    <row r="7" spans="1:11" x14ac:dyDescent="0.3">
      <c r="A7" s="43" t="s">
        <v>128</v>
      </c>
      <c r="B7" s="46">
        <v>3644147</v>
      </c>
      <c r="J7" s="43" t="s">
        <v>128</v>
      </c>
      <c r="K7" s="46">
        <v>5878402</v>
      </c>
    </row>
    <row r="8" spans="1:11" x14ac:dyDescent="0.3">
      <c r="A8" s="43" t="s">
        <v>129</v>
      </c>
      <c r="B8" s="46">
        <v>11551016</v>
      </c>
      <c r="J8" s="43" t="s">
        <v>129</v>
      </c>
      <c r="K8" s="46">
        <v>6534512</v>
      </c>
    </row>
    <row r="9" spans="1:11" x14ac:dyDescent="0.3">
      <c r="A9" s="43" t="s">
        <v>130</v>
      </c>
      <c r="B9" s="46">
        <v>53660118</v>
      </c>
      <c r="J9" s="43" t="s">
        <v>130</v>
      </c>
      <c r="K9" s="46">
        <v>11313881</v>
      </c>
    </row>
    <row r="10" spans="1:11" x14ac:dyDescent="0.3">
      <c r="A10" s="59" t="s">
        <v>45</v>
      </c>
      <c r="B10" s="45">
        <v>6561673</v>
      </c>
      <c r="J10" s="59" t="s">
        <v>45</v>
      </c>
      <c r="K10" s="45">
        <v>5672000</v>
      </c>
    </row>
    <row r="11" spans="1:11" x14ac:dyDescent="0.3">
      <c r="A11" s="59" t="s">
        <v>131</v>
      </c>
      <c r="B11" s="45">
        <v>47098445</v>
      </c>
      <c r="J11" s="59" t="s">
        <v>131</v>
      </c>
      <c r="K11" s="45">
        <v>5641881</v>
      </c>
    </row>
    <row r="12" spans="1:11" x14ac:dyDescent="0.3">
      <c r="A12" s="43" t="s">
        <v>29</v>
      </c>
      <c r="B12" s="46">
        <v>180600041</v>
      </c>
      <c r="J12" s="43" t="s">
        <v>29</v>
      </c>
      <c r="K12" s="46">
        <v>83078519</v>
      </c>
    </row>
    <row r="13" spans="1:11" x14ac:dyDescent="0.3">
      <c r="A13" t="s">
        <v>22</v>
      </c>
      <c r="J13" t="s">
        <v>398</v>
      </c>
    </row>
    <row r="15" spans="1:11" ht="15.6" x14ac:dyDescent="0.3">
      <c r="A15" s="70" t="s">
        <v>415</v>
      </c>
      <c r="B15" s="65"/>
      <c r="C15" s="65"/>
    </row>
    <row r="16" spans="1:11" x14ac:dyDescent="0.3">
      <c r="A16" s="26" t="s">
        <v>123</v>
      </c>
      <c r="B16" s="26" t="s">
        <v>44</v>
      </c>
      <c r="C16" s="26" t="s">
        <v>249</v>
      </c>
    </row>
    <row r="17" spans="1:3" x14ac:dyDescent="0.3">
      <c r="A17" s="26" t="s">
        <v>125</v>
      </c>
      <c r="B17" s="26" t="s">
        <v>270</v>
      </c>
      <c r="C17" s="26" t="s">
        <v>124</v>
      </c>
    </row>
    <row r="18" spans="1:3" x14ac:dyDescent="0.3">
      <c r="A18" s="26" t="s">
        <v>126</v>
      </c>
      <c r="B18" s="26" t="s">
        <v>271</v>
      </c>
      <c r="C18" s="26" t="s">
        <v>124</v>
      </c>
    </row>
    <row r="19" spans="1:3" x14ac:dyDescent="0.3">
      <c r="A19" s="26" t="s">
        <v>127</v>
      </c>
      <c r="B19" s="26" t="s">
        <v>272</v>
      </c>
      <c r="C19" s="26" t="s">
        <v>124</v>
      </c>
    </row>
    <row r="20" spans="1:3" x14ac:dyDescent="0.3">
      <c r="A20" s="26" t="s">
        <v>273</v>
      </c>
      <c r="B20" s="26" t="s">
        <v>274</v>
      </c>
      <c r="C20" s="26" t="s">
        <v>128</v>
      </c>
    </row>
    <row r="21" spans="1:3" x14ac:dyDescent="0.3">
      <c r="A21" s="26" t="s">
        <v>129</v>
      </c>
      <c r="B21" s="26" t="s">
        <v>275</v>
      </c>
      <c r="C21" s="26" t="s">
        <v>129</v>
      </c>
    </row>
    <row r="22" spans="1:3" x14ac:dyDescent="0.3">
      <c r="A22" s="26" t="s">
        <v>45</v>
      </c>
      <c r="B22" s="26" t="s">
        <v>276</v>
      </c>
      <c r="C22" s="26" t="s">
        <v>130</v>
      </c>
    </row>
    <row r="23" spans="1:3" x14ac:dyDescent="0.3">
      <c r="A23" s="26" t="s">
        <v>131</v>
      </c>
      <c r="B23" s="26" t="s">
        <v>277</v>
      </c>
      <c r="C23" s="26" t="s">
        <v>130</v>
      </c>
    </row>
    <row r="24" spans="1:3" x14ac:dyDescent="0.3">
      <c r="A24" s="26" t="s">
        <v>278</v>
      </c>
      <c r="B24" s="26" t="s">
        <v>279</v>
      </c>
      <c r="C24" s="26"/>
    </row>
    <row r="25" spans="1:3" x14ac:dyDescent="0.3">
      <c r="A25" s="64" t="s">
        <v>280</v>
      </c>
      <c r="B25" s="64"/>
      <c r="C25" s="64"/>
    </row>
  </sheetData>
  <mergeCells count="2">
    <mergeCell ref="A15:C15"/>
    <mergeCell ref="A25:C25"/>
  </mergeCells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M20"/>
  <sheetViews>
    <sheetView showGridLines="0" workbookViewId="0">
      <selection activeCell="L18" sqref="L18"/>
    </sheetView>
  </sheetViews>
  <sheetFormatPr baseColWidth="10" defaultColWidth="8.6640625" defaultRowHeight="14.4" x14ac:dyDescent="0.3"/>
  <cols>
    <col min="1" max="1" width="33" bestFit="1" customWidth="1"/>
    <col min="2" max="2" width="15.33203125" bestFit="1" customWidth="1"/>
    <col min="3" max="3" width="17.88671875" customWidth="1"/>
    <col min="4" max="4" width="25.6640625" bestFit="1" customWidth="1"/>
    <col min="5" max="5" width="28.109375" bestFit="1" customWidth="1"/>
    <col min="6" max="6" width="7" bestFit="1" customWidth="1"/>
    <col min="8" max="8" width="16.88671875" customWidth="1"/>
    <col min="12" max="12" width="11.109375" bestFit="1" customWidth="1"/>
    <col min="13" max="13" width="17" customWidth="1"/>
  </cols>
  <sheetData>
    <row r="1" spans="1:13" ht="15.6" x14ac:dyDescent="0.3">
      <c r="A1" s="43" t="s">
        <v>46</v>
      </c>
      <c r="B1" s="35"/>
      <c r="C1" s="35"/>
      <c r="D1" s="35"/>
      <c r="E1" s="35"/>
      <c r="H1" s="65" t="s">
        <v>282</v>
      </c>
      <c r="I1" s="65"/>
      <c r="J1" s="65"/>
      <c r="K1" s="65"/>
      <c r="L1" s="65"/>
      <c r="M1" s="65"/>
    </row>
    <row r="2" spans="1:13" x14ac:dyDescent="0.3">
      <c r="A2" s="44" t="s">
        <v>20</v>
      </c>
      <c r="B2" s="44" t="s">
        <v>47</v>
      </c>
      <c r="C2" s="44" t="s">
        <v>48</v>
      </c>
      <c r="D2" s="44" t="s">
        <v>49</v>
      </c>
      <c r="E2" s="44" t="s">
        <v>50</v>
      </c>
      <c r="H2" s="26" t="s">
        <v>20</v>
      </c>
      <c r="I2" s="26" t="s">
        <v>47</v>
      </c>
      <c r="J2" s="26" t="s">
        <v>48</v>
      </c>
      <c r="K2" s="26" t="s">
        <v>49</v>
      </c>
      <c r="L2" s="26" t="s">
        <v>50</v>
      </c>
      <c r="M2" s="26" t="s">
        <v>249</v>
      </c>
    </row>
    <row r="3" spans="1:13" x14ac:dyDescent="0.3">
      <c r="A3" s="35" t="s">
        <v>51</v>
      </c>
      <c r="B3" s="45">
        <v>28919969</v>
      </c>
      <c r="C3" s="45">
        <v>5754596</v>
      </c>
      <c r="D3" s="45">
        <v>3841172</v>
      </c>
      <c r="E3" s="45">
        <v>38515737</v>
      </c>
      <c r="H3" s="26" t="s">
        <v>51</v>
      </c>
      <c r="I3" s="26" t="s">
        <v>283</v>
      </c>
      <c r="J3" s="26" t="s">
        <v>284</v>
      </c>
      <c r="K3" s="26" t="s">
        <v>285</v>
      </c>
      <c r="L3" s="26" t="s">
        <v>286</v>
      </c>
      <c r="M3" s="26"/>
    </row>
    <row r="4" spans="1:13" x14ac:dyDescent="0.3">
      <c r="A4" s="35" t="s">
        <v>52</v>
      </c>
      <c r="B4" s="45">
        <v>8085064</v>
      </c>
      <c r="C4" s="45">
        <v>3658897</v>
      </c>
      <c r="D4" s="45">
        <v>1128640</v>
      </c>
      <c r="E4" s="45">
        <v>12872601</v>
      </c>
      <c r="H4" s="26" t="s">
        <v>52</v>
      </c>
      <c r="I4" s="26" t="s">
        <v>287</v>
      </c>
      <c r="J4" s="26" t="s">
        <v>288</v>
      </c>
      <c r="K4" s="26" t="s">
        <v>289</v>
      </c>
      <c r="L4" s="26" t="s">
        <v>290</v>
      </c>
      <c r="M4" s="26"/>
    </row>
    <row r="5" spans="1:13" x14ac:dyDescent="0.3">
      <c r="A5" s="35" t="s">
        <v>53</v>
      </c>
      <c r="B5" s="45">
        <v>53971511</v>
      </c>
      <c r="C5" s="45">
        <v>2507889</v>
      </c>
      <c r="D5" s="45">
        <v>616730</v>
      </c>
      <c r="E5" s="45">
        <v>57096130</v>
      </c>
      <c r="H5" s="26" t="s">
        <v>53</v>
      </c>
      <c r="I5" s="26" t="s">
        <v>291</v>
      </c>
      <c r="J5" s="26" t="s">
        <v>292</v>
      </c>
      <c r="K5" s="26" t="s">
        <v>293</v>
      </c>
      <c r="L5" s="26" t="s">
        <v>294</v>
      </c>
      <c r="M5" s="26"/>
    </row>
    <row r="6" spans="1:13" x14ac:dyDescent="0.3">
      <c r="A6" s="35" t="s">
        <v>54</v>
      </c>
      <c r="B6" s="45">
        <v>559126</v>
      </c>
      <c r="C6" s="45">
        <v>75052</v>
      </c>
      <c r="D6" s="45">
        <v>2626114</v>
      </c>
      <c r="E6" s="45">
        <v>3260292</v>
      </c>
      <c r="H6" s="26" t="s">
        <v>54</v>
      </c>
      <c r="I6" s="26" t="s">
        <v>295</v>
      </c>
      <c r="J6" s="26" t="s">
        <v>296</v>
      </c>
      <c r="K6" s="26" t="s">
        <v>297</v>
      </c>
      <c r="L6" s="26" t="s">
        <v>298</v>
      </c>
      <c r="M6" s="26"/>
    </row>
    <row r="7" spans="1:13" x14ac:dyDescent="0.3">
      <c r="A7" s="43" t="s">
        <v>29</v>
      </c>
      <c r="B7" s="46">
        <v>91535670</v>
      </c>
      <c r="C7" s="46">
        <v>11996434</v>
      </c>
      <c r="D7" s="46">
        <v>8212656</v>
      </c>
      <c r="E7" s="46">
        <v>111744760</v>
      </c>
      <c r="H7" s="69" t="s">
        <v>299</v>
      </c>
      <c r="I7" s="69"/>
      <c r="J7" s="69"/>
      <c r="K7" s="69"/>
      <c r="L7" s="27" t="s">
        <v>270</v>
      </c>
      <c r="M7" s="26"/>
    </row>
    <row r="8" spans="1:13" x14ac:dyDescent="0.3">
      <c r="A8" t="s">
        <v>21</v>
      </c>
      <c r="H8" s="69" t="s">
        <v>300</v>
      </c>
      <c r="I8" s="69"/>
      <c r="J8" s="69"/>
      <c r="K8" s="69"/>
      <c r="L8" s="27" t="s">
        <v>271</v>
      </c>
      <c r="M8" s="26"/>
    </row>
    <row r="9" spans="1:13" x14ac:dyDescent="0.3">
      <c r="H9" s="69" t="s">
        <v>301</v>
      </c>
      <c r="I9" s="69"/>
      <c r="J9" s="69"/>
      <c r="K9" s="69"/>
      <c r="L9" s="27" t="s">
        <v>272</v>
      </c>
      <c r="M9" s="26"/>
    </row>
    <row r="10" spans="1:13" x14ac:dyDescent="0.3">
      <c r="H10" s="69" t="s">
        <v>278</v>
      </c>
      <c r="I10" s="69"/>
      <c r="J10" s="69"/>
      <c r="K10" s="69"/>
      <c r="L10" s="28">
        <v>230289911</v>
      </c>
      <c r="M10" s="26"/>
    </row>
    <row r="11" spans="1:13" x14ac:dyDescent="0.3">
      <c r="A11" s="43" t="s">
        <v>399</v>
      </c>
      <c r="B11" s="35"/>
      <c r="C11" s="35"/>
      <c r="D11" s="35"/>
      <c r="E11" s="35"/>
      <c r="H11" s="64" t="s">
        <v>280</v>
      </c>
      <c r="I11" s="64"/>
      <c r="J11" s="64"/>
      <c r="K11" s="64"/>
      <c r="L11" s="64"/>
      <c r="M11" s="64"/>
    </row>
    <row r="12" spans="1:13" x14ac:dyDescent="0.3">
      <c r="A12" s="44" t="s">
        <v>20</v>
      </c>
      <c r="B12" s="44" t="s">
        <v>47</v>
      </c>
      <c r="C12" s="44" t="s">
        <v>48</v>
      </c>
      <c r="D12" s="44" t="s">
        <v>49</v>
      </c>
      <c r="E12" s="44" t="s">
        <v>400</v>
      </c>
    </row>
    <row r="13" spans="1:13" x14ac:dyDescent="0.3">
      <c r="A13" s="35" t="s">
        <v>51</v>
      </c>
      <c r="B13" s="45">
        <v>19890851</v>
      </c>
      <c r="C13" s="45">
        <v>3932171</v>
      </c>
      <c r="D13" s="45">
        <v>706475</v>
      </c>
      <c r="E13" s="45">
        <v>24529497</v>
      </c>
    </row>
    <row r="14" spans="1:13" x14ac:dyDescent="0.3">
      <c r="A14" s="35" t="s">
        <v>52</v>
      </c>
      <c r="B14" s="45">
        <v>14434329</v>
      </c>
      <c r="C14" s="45">
        <v>1240053</v>
      </c>
      <c r="D14" s="45">
        <v>210384</v>
      </c>
      <c r="E14" s="45">
        <v>15884766</v>
      </c>
    </row>
    <row r="15" spans="1:13" x14ac:dyDescent="0.3">
      <c r="A15" s="35" t="s">
        <v>53</v>
      </c>
      <c r="B15" s="45">
        <v>12422412</v>
      </c>
      <c r="C15" s="45">
        <v>1171934</v>
      </c>
      <c r="D15" s="45">
        <v>394243</v>
      </c>
      <c r="E15" s="45">
        <v>13988589</v>
      </c>
    </row>
    <row r="16" spans="1:13" x14ac:dyDescent="0.3">
      <c r="A16" s="35" t="s">
        <v>54</v>
      </c>
      <c r="B16" s="45">
        <v>0</v>
      </c>
      <c r="C16" s="60" t="s">
        <v>403</v>
      </c>
      <c r="D16" s="60" t="s">
        <v>404</v>
      </c>
      <c r="E16" s="45">
        <v>4948872</v>
      </c>
    </row>
    <row r="17" spans="1:5" x14ac:dyDescent="0.3">
      <c r="A17" s="43" t="s">
        <v>29</v>
      </c>
      <c r="B17" s="46">
        <f>SUM(B13:B16)</f>
        <v>46747592</v>
      </c>
      <c r="C17" s="46">
        <v>7949715</v>
      </c>
      <c r="D17" s="46">
        <v>4654417</v>
      </c>
      <c r="E17" s="46">
        <f>SUM(E13:E16)</f>
        <v>59351724</v>
      </c>
    </row>
    <row r="18" spans="1:5" x14ac:dyDescent="0.3">
      <c r="A18" t="s">
        <v>401</v>
      </c>
    </row>
    <row r="19" spans="1:5" x14ac:dyDescent="0.3">
      <c r="A19" t="s">
        <v>402</v>
      </c>
    </row>
    <row r="20" spans="1:5" x14ac:dyDescent="0.3">
      <c r="A20" t="s">
        <v>398</v>
      </c>
    </row>
  </sheetData>
  <mergeCells count="6">
    <mergeCell ref="H11:M11"/>
    <mergeCell ref="H1:M1"/>
    <mergeCell ref="H7:K7"/>
    <mergeCell ref="H8:K8"/>
    <mergeCell ref="H9:K9"/>
    <mergeCell ref="H10:K10"/>
  </mergeCells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N39"/>
  <sheetViews>
    <sheetView showGridLines="0" workbookViewId="0">
      <selection activeCell="L24" sqref="L24"/>
    </sheetView>
  </sheetViews>
  <sheetFormatPr baseColWidth="10" defaultColWidth="8.6640625" defaultRowHeight="14.4" x14ac:dyDescent="0.3"/>
  <cols>
    <col min="1" max="1" width="14" bestFit="1" customWidth="1"/>
    <col min="2" max="2" width="25.33203125" style="23" customWidth="1"/>
    <col min="3" max="3" width="26.5546875" style="23" customWidth="1"/>
    <col min="4" max="4" width="35.109375" style="23" customWidth="1"/>
    <col min="5" max="5" width="34.44140625" style="23" customWidth="1"/>
    <col min="6" max="6" width="32.21875" style="23" customWidth="1"/>
    <col min="9" max="9" width="11.44140625" customWidth="1"/>
    <col min="11" max="11" width="12.33203125" customWidth="1"/>
    <col min="13" max="13" width="11.88671875" customWidth="1"/>
    <col min="14" max="14" width="14.109375" customWidth="1"/>
  </cols>
  <sheetData>
    <row r="1" spans="1:14" x14ac:dyDescent="0.3">
      <c r="A1" s="43" t="s">
        <v>150</v>
      </c>
      <c r="B1" s="61"/>
      <c r="C1" s="61"/>
      <c r="D1" s="61"/>
      <c r="E1" s="61"/>
      <c r="F1" s="61"/>
      <c r="I1" s="43" t="s">
        <v>407</v>
      </c>
      <c r="J1" s="61"/>
      <c r="K1" s="61"/>
      <c r="L1" s="61"/>
      <c r="M1" s="61"/>
      <c r="N1" s="61"/>
    </row>
    <row r="2" spans="1:14" x14ac:dyDescent="0.3">
      <c r="A2" s="71" t="s">
        <v>1</v>
      </c>
      <c r="B2" s="71" t="s">
        <v>19</v>
      </c>
      <c r="C2" s="71"/>
      <c r="D2" s="71"/>
      <c r="E2" s="71" t="s">
        <v>204</v>
      </c>
      <c r="F2" s="71"/>
      <c r="I2" s="71" t="s">
        <v>1</v>
      </c>
      <c r="J2" s="71" t="s">
        <v>19</v>
      </c>
      <c r="K2" s="71"/>
      <c r="L2" s="71"/>
      <c r="M2" s="71" t="s">
        <v>204</v>
      </c>
      <c r="N2" s="71"/>
    </row>
    <row r="3" spans="1:14" x14ac:dyDescent="0.3">
      <c r="A3" s="71"/>
      <c r="B3" s="62" t="s">
        <v>168</v>
      </c>
      <c r="C3" s="62" t="s">
        <v>169</v>
      </c>
      <c r="D3" s="71"/>
      <c r="E3" s="62" t="s">
        <v>205</v>
      </c>
      <c r="F3" s="62" t="s">
        <v>206</v>
      </c>
      <c r="I3" s="71"/>
      <c r="J3" s="62" t="s">
        <v>168</v>
      </c>
      <c r="K3" s="62" t="s">
        <v>169</v>
      </c>
      <c r="L3" s="71"/>
      <c r="M3" s="62" t="s">
        <v>205</v>
      </c>
      <c r="N3" s="62" t="s">
        <v>206</v>
      </c>
    </row>
    <row r="4" spans="1:14" x14ac:dyDescent="0.3">
      <c r="A4" s="35" t="s">
        <v>156</v>
      </c>
      <c r="B4" s="61">
        <v>10</v>
      </c>
      <c r="C4" s="61">
        <v>9</v>
      </c>
      <c r="D4" s="61"/>
      <c r="E4" s="61">
        <v>13</v>
      </c>
      <c r="F4" s="61">
        <v>6</v>
      </c>
      <c r="I4" s="35" t="s">
        <v>156</v>
      </c>
      <c r="J4" s="61">
        <v>9</v>
      </c>
      <c r="K4" s="61">
        <v>3</v>
      </c>
      <c r="L4" s="61"/>
      <c r="M4" s="61">
        <v>12</v>
      </c>
      <c r="N4" s="61">
        <v>0</v>
      </c>
    </row>
    <row r="5" spans="1:14" x14ac:dyDescent="0.3">
      <c r="A5" s="35" t="s">
        <v>157</v>
      </c>
      <c r="B5" s="61">
        <v>5</v>
      </c>
      <c r="C5" s="61">
        <v>2</v>
      </c>
      <c r="D5" s="61"/>
      <c r="E5" s="61">
        <v>1</v>
      </c>
      <c r="F5" s="61">
        <v>6</v>
      </c>
      <c r="I5" s="35" t="s">
        <v>157</v>
      </c>
      <c r="J5" s="61">
        <v>2</v>
      </c>
      <c r="K5" s="61">
        <v>0</v>
      </c>
      <c r="L5" s="61"/>
      <c r="M5" s="61">
        <v>2</v>
      </c>
      <c r="N5" s="61">
        <v>0</v>
      </c>
    </row>
    <row r="6" spans="1:14" x14ac:dyDescent="0.3">
      <c r="A6" s="35" t="s">
        <v>158</v>
      </c>
      <c r="B6" s="61">
        <v>90</v>
      </c>
      <c r="C6" s="61">
        <v>118</v>
      </c>
      <c r="D6" s="61"/>
      <c r="E6" s="61">
        <v>119</v>
      </c>
      <c r="F6" s="61">
        <v>87</v>
      </c>
      <c r="I6" s="35" t="s">
        <v>158</v>
      </c>
      <c r="J6" s="61">
        <v>38</v>
      </c>
      <c r="K6" s="61">
        <v>34</v>
      </c>
      <c r="L6" s="61"/>
      <c r="M6" s="61">
        <v>47</v>
      </c>
      <c r="N6" s="61">
        <v>25</v>
      </c>
    </row>
    <row r="7" spans="1:14" x14ac:dyDescent="0.3">
      <c r="A7" s="35" t="s">
        <v>159</v>
      </c>
      <c r="B7" s="61">
        <v>1</v>
      </c>
      <c r="C7" s="61">
        <v>0</v>
      </c>
      <c r="D7" s="61"/>
      <c r="E7" s="61">
        <v>1</v>
      </c>
      <c r="F7" s="61">
        <v>0</v>
      </c>
      <c r="I7" s="35" t="s">
        <v>159</v>
      </c>
      <c r="J7" s="61">
        <v>4</v>
      </c>
      <c r="K7" s="61">
        <v>2</v>
      </c>
      <c r="L7" s="61"/>
      <c r="M7" s="61">
        <v>6</v>
      </c>
      <c r="N7" s="61">
        <v>0</v>
      </c>
    </row>
    <row r="8" spans="1:14" x14ac:dyDescent="0.3">
      <c r="A8" s="35" t="s">
        <v>160</v>
      </c>
      <c r="B8" s="61">
        <v>63</v>
      </c>
      <c r="C8" s="61">
        <v>68</v>
      </c>
      <c r="D8" s="61"/>
      <c r="E8" s="61">
        <v>60</v>
      </c>
      <c r="F8" s="61">
        <v>71</v>
      </c>
      <c r="I8" s="35" t="s">
        <v>160</v>
      </c>
      <c r="J8" s="61">
        <v>35</v>
      </c>
      <c r="K8" s="61">
        <v>15</v>
      </c>
      <c r="L8" s="61"/>
      <c r="M8" s="61">
        <v>30</v>
      </c>
      <c r="N8" s="61">
        <v>20</v>
      </c>
    </row>
    <row r="9" spans="1:14" x14ac:dyDescent="0.3">
      <c r="A9" s="35" t="s">
        <v>55</v>
      </c>
      <c r="B9" s="61">
        <v>8</v>
      </c>
      <c r="C9" s="61">
        <v>7</v>
      </c>
      <c r="D9" s="61"/>
      <c r="E9" s="61">
        <v>9</v>
      </c>
      <c r="F9" s="61">
        <v>6</v>
      </c>
      <c r="I9" s="35" t="s">
        <v>55</v>
      </c>
      <c r="J9" s="61">
        <v>1</v>
      </c>
      <c r="K9" s="61"/>
      <c r="L9" s="61"/>
      <c r="M9" s="61">
        <v>1</v>
      </c>
      <c r="N9" s="61">
        <v>0</v>
      </c>
    </row>
    <row r="10" spans="1:14" x14ac:dyDescent="0.3">
      <c r="A10" s="35" t="s">
        <v>161</v>
      </c>
      <c r="B10" s="61">
        <v>0</v>
      </c>
      <c r="C10" s="61">
        <v>12</v>
      </c>
      <c r="D10" s="61"/>
      <c r="E10" s="61">
        <v>12</v>
      </c>
      <c r="F10" s="61">
        <v>0</v>
      </c>
      <c r="I10" s="35" t="s">
        <v>161</v>
      </c>
      <c r="J10" s="61">
        <v>0</v>
      </c>
      <c r="K10" s="61">
        <v>0</v>
      </c>
      <c r="L10" s="61"/>
      <c r="M10" s="61">
        <v>0</v>
      </c>
      <c r="N10" s="61">
        <v>0</v>
      </c>
    </row>
    <row r="11" spans="1:14" x14ac:dyDescent="0.3">
      <c r="A11" s="35" t="s">
        <v>162</v>
      </c>
      <c r="B11" s="61">
        <v>1</v>
      </c>
      <c r="C11" s="61">
        <v>2</v>
      </c>
      <c r="D11" s="61"/>
      <c r="E11" s="61">
        <v>2</v>
      </c>
      <c r="F11" s="61">
        <v>1</v>
      </c>
      <c r="I11" s="35" t="s">
        <v>162</v>
      </c>
      <c r="J11" s="61">
        <v>1</v>
      </c>
      <c r="K11" s="61">
        <v>2</v>
      </c>
      <c r="L11" s="61"/>
      <c r="M11" s="61">
        <v>2</v>
      </c>
      <c r="N11" s="61">
        <v>1</v>
      </c>
    </row>
    <row r="12" spans="1:14" x14ac:dyDescent="0.3">
      <c r="A12" s="35" t="s">
        <v>163</v>
      </c>
      <c r="B12" s="61">
        <v>1</v>
      </c>
      <c r="C12" s="61">
        <v>2</v>
      </c>
      <c r="D12" s="61"/>
      <c r="E12" s="61">
        <v>0</v>
      </c>
      <c r="F12" s="61">
        <v>3</v>
      </c>
      <c r="I12" s="35" t="s">
        <v>163</v>
      </c>
      <c r="J12" s="61">
        <v>1</v>
      </c>
      <c r="K12" s="61">
        <v>0</v>
      </c>
      <c r="L12" s="61"/>
      <c r="M12" s="61">
        <v>1</v>
      </c>
      <c r="N12" s="61">
        <v>0</v>
      </c>
    </row>
    <row r="13" spans="1:14" x14ac:dyDescent="0.3">
      <c r="A13" s="35" t="s">
        <v>164</v>
      </c>
      <c r="B13" s="61">
        <v>1</v>
      </c>
      <c r="C13" s="61">
        <v>1</v>
      </c>
      <c r="D13" s="61"/>
      <c r="E13" s="61">
        <v>2</v>
      </c>
      <c r="F13" s="61">
        <v>0</v>
      </c>
      <c r="I13" s="35" t="s">
        <v>164</v>
      </c>
      <c r="J13" s="61">
        <v>1</v>
      </c>
      <c r="K13" s="61">
        <v>2</v>
      </c>
      <c r="L13" s="61"/>
      <c r="M13" s="61">
        <v>3</v>
      </c>
      <c r="N13" s="61">
        <v>0</v>
      </c>
    </row>
    <row r="14" spans="1:14" x14ac:dyDescent="0.3">
      <c r="A14" s="35" t="s">
        <v>165</v>
      </c>
      <c r="B14" s="61">
        <v>0</v>
      </c>
      <c r="C14" s="61">
        <v>0</v>
      </c>
      <c r="D14" s="61"/>
      <c r="E14" s="61">
        <v>0</v>
      </c>
      <c r="F14" s="61">
        <v>0</v>
      </c>
      <c r="I14" s="35" t="s">
        <v>165</v>
      </c>
      <c r="J14" s="61">
        <v>0</v>
      </c>
      <c r="K14" s="61">
        <v>0</v>
      </c>
      <c r="L14" s="61"/>
      <c r="M14" s="61">
        <v>0</v>
      </c>
      <c r="N14" s="61">
        <v>0</v>
      </c>
    </row>
    <row r="15" spans="1:14" x14ac:dyDescent="0.3">
      <c r="A15" s="35" t="s">
        <v>53</v>
      </c>
      <c r="B15" s="61">
        <v>0</v>
      </c>
      <c r="C15" s="61">
        <v>2</v>
      </c>
      <c r="D15" s="61"/>
      <c r="E15" s="61">
        <v>1</v>
      </c>
      <c r="F15" s="61">
        <v>1</v>
      </c>
      <c r="I15" s="35" t="s">
        <v>53</v>
      </c>
      <c r="J15" s="61">
        <v>0</v>
      </c>
      <c r="K15" s="61">
        <v>0</v>
      </c>
      <c r="L15" s="61"/>
      <c r="M15" s="61">
        <v>0</v>
      </c>
      <c r="N15" s="61">
        <v>0</v>
      </c>
    </row>
    <row r="16" spans="1:14" x14ac:dyDescent="0.3">
      <c r="A16" s="35" t="s">
        <v>166</v>
      </c>
      <c r="B16" s="61">
        <v>0</v>
      </c>
      <c r="C16" s="61">
        <v>1</v>
      </c>
      <c r="D16" s="61"/>
      <c r="E16" s="61">
        <v>1</v>
      </c>
      <c r="F16" s="61">
        <v>0</v>
      </c>
      <c r="I16" s="35" t="s">
        <v>166</v>
      </c>
      <c r="J16" s="61">
        <v>1</v>
      </c>
      <c r="K16" s="61">
        <v>0</v>
      </c>
      <c r="L16" s="61"/>
      <c r="M16" s="61">
        <v>1</v>
      </c>
      <c r="N16" s="61">
        <v>0</v>
      </c>
    </row>
    <row r="17" spans="1:14" x14ac:dyDescent="0.3">
      <c r="A17" s="43" t="s">
        <v>167</v>
      </c>
      <c r="B17" s="53">
        <v>180</v>
      </c>
      <c r="C17" s="53">
        <v>224</v>
      </c>
      <c r="D17" s="53"/>
      <c r="E17" s="53">
        <v>221</v>
      </c>
      <c r="F17" s="53">
        <v>181</v>
      </c>
      <c r="I17" s="43" t="s">
        <v>167</v>
      </c>
      <c r="J17" s="53">
        <f>SUM(J4:J16)</f>
        <v>93</v>
      </c>
      <c r="K17" s="53">
        <f>SUM(K4:K16)</f>
        <v>58</v>
      </c>
      <c r="L17" s="53"/>
      <c r="M17" s="53">
        <f>SUM(M4:M16)</f>
        <v>105</v>
      </c>
      <c r="N17" s="53">
        <f>SUM(N4:N16)</f>
        <v>46</v>
      </c>
    </row>
    <row r="18" spans="1:14" x14ac:dyDescent="0.3">
      <c r="A18" t="s">
        <v>151</v>
      </c>
      <c r="I18" t="s">
        <v>408</v>
      </c>
      <c r="J18" s="23"/>
      <c r="K18" s="23"/>
      <c r="L18" s="23"/>
      <c r="M18" s="23"/>
      <c r="N18" s="23"/>
    </row>
    <row r="20" spans="1:14" ht="15.6" x14ac:dyDescent="0.3">
      <c r="A20" s="70" t="s">
        <v>416</v>
      </c>
      <c r="B20" s="72"/>
      <c r="C20" s="72"/>
      <c r="D20" s="72"/>
      <c r="E20" s="72"/>
      <c r="F20" s="72"/>
    </row>
    <row r="21" spans="1:14" x14ac:dyDescent="0.3">
      <c r="A21" s="26" t="s">
        <v>1</v>
      </c>
      <c r="B21" s="26" t="s">
        <v>253</v>
      </c>
      <c r="C21" s="26" t="s">
        <v>254</v>
      </c>
      <c r="D21" s="26" t="s">
        <v>255</v>
      </c>
      <c r="E21" s="26" t="s">
        <v>256</v>
      </c>
      <c r="F21" s="26" t="s">
        <v>249</v>
      </c>
    </row>
    <row r="22" spans="1:14" x14ac:dyDescent="0.3">
      <c r="A22" s="26" t="s">
        <v>6</v>
      </c>
      <c r="B22" s="26">
        <v>11</v>
      </c>
      <c r="C22" s="26">
        <v>9</v>
      </c>
      <c r="D22" s="26">
        <v>14</v>
      </c>
      <c r="E22" s="26">
        <v>6</v>
      </c>
      <c r="F22" s="26"/>
    </row>
    <row r="23" spans="1:14" x14ac:dyDescent="0.3">
      <c r="A23" s="26" t="s">
        <v>257</v>
      </c>
      <c r="B23" s="26">
        <v>2</v>
      </c>
      <c r="C23" s="26">
        <v>3</v>
      </c>
      <c r="D23" s="26">
        <v>3</v>
      </c>
      <c r="E23" s="26">
        <v>2</v>
      </c>
      <c r="F23" s="26"/>
    </row>
    <row r="24" spans="1:14" x14ac:dyDescent="0.3">
      <c r="A24" s="26" t="s">
        <v>7</v>
      </c>
      <c r="B24" s="26">
        <v>142</v>
      </c>
      <c r="C24" s="26">
        <v>116</v>
      </c>
      <c r="D24" s="26">
        <v>124</v>
      </c>
      <c r="E24" s="26">
        <v>134</v>
      </c>
      <c r="F24" s="26"/>
    </row>
    <row r="25" spans="1:14" x14ac:dyDescent="0.3">
      <c r="A25" s="26" t="s">
        <v>8</v>
      </c>
      <c r="B25" s="26">
        <v>4</v>
      </c>
      <c r="C25" s="26">
        <v>3</v>
      </c>
      <c r="D25" s="26">
        <v>6</v>
      </c>
      <c r="E25" s="26">
        <v>1</v>
      </c>
      <c r="F25" s="26"/>
    </row>
    <row r="26" spans="1:14" x14ac:dyDescent="0.3">
      <c r="A26" s="26" t="s">
        <v>9</v>
      </c>
      <c r="B26" s="26">
        <v>86</v>
      </c>
      <c r="C26" s="26">
        <v>62</v>
      </c>
      <c r="D26" s="26">
        <v>79</v>
      </c>
      <c r="E26" s="26">
        <v>69</v>
      </c>
      <c r="F26" s="26"/>
    </row>
    <row r="27" spans="1:14" x14ac:dyDescent="0.3">
      <c r="A27" s="26" t="s">
        <v>258</v>
      </c>
      <c r="B27" s="26">
        <v>5</v>
      </c>
      <c r="C27" s="26">
        <v>2</v>
      </c>
      <c r="D27" s="26">
        <v>3</v>
      </c>
      <c r="E27" s="26">
        <v>4</v>
      </c>
      <c r="F27" s="26"/>
    </row>
    <row r="28" spans="1:14" x14ac:dyDescent="0.3">
      <c r="A28" s="26" t="s">
        <v>259</v>
      </c>
      <c r="B28" s="26">
        <v>1</v>
      </c>
      <c r="C28" s="26">
        <v>1</v>
      </c>
      <c r="D28" s="26">
        <v>2</v>
      </c>
      <c r="E28" s="26">
        <v>0</v>
      </c>
      <c r="F28" s="26"/>
    </row>
    <row r="29" spans="1:14" x14ac:dyDescent="0.3">
      <c r="A29" s="26" t="s">
        <v>260</v>
      </c>
      <c r="B29" s="26">
        <v>8</v>
      </c>
      <c r="C29" s="26">
        <v>11</v>
      </c>
      <c r="D29" s="26">
        <v>12</v>
      </c>
      <c r="E29" s="26">
        <v>7</v>
      </c>
      <c r="F29" s="26"/>
    </row>
    <row r="30" spans="1:14" x14ac:dyDescent="0.3">
      <c r="A30" s="26" t="s">
        <v>261</v>
      </c>
      <c r="B30" s="26">
        <v>1</v>
      </c>
      <c r="C30" s="26">
        <v>2</v>
      </c>
      <c r="D30" s="26">
        <v>1</v>
      </c>
      <c r="E30" s="26">
        <v>2</v>
      </c>
      <c r="F30" s="26"/>
    </row>
    <row r="31" spans="1:14" x14ac:dyDescent="0.3">
      <c r="A31" s="26" t="s">
        <v>262</v>
      </c>
      <c r="B31" s="26">
        <v>1</v>
      </c>
      <c r="C31" s="26">
        <v>2</v>
      </c>
      <c r="D31" s="26">
        <v>2</v>
      </c>
      <c r="E31" s="26">
        <v>1</v>
      </c>
      <c r="F31" s="26"/>
    </row>
    <row r="32" spans="1:14" x14ac:dyDescent="0.3">
      <c r="A32" s="26" t="s">
        <v>10</v>
      </c>
      <c r="B32" s="26">
        <v>1</v>
      </c>
      <c r="C32" s="26">
        <v>0</v>
      </c>
      <c r="D32" s="26">
        <v>1</v>
      </c>
      <c r="E32" s="26">
        <v>0</v>
      </c>
      <c r="F32" s="26"/>
    </row>
    <row r="33" spans="1:6" x14ac:dyDescent="0.3">
      <c r="A33" s="26" t="s">
        <v>11</v>
      </c>
      <c r="B33" s="26">
        <v>1</v>
      </c>
      <c r="C33" s="26">
        <v>2</v>
      </c>
      <c r="D33" s="26">
        <v>1</v>
      </c>
      <c r="E33" s="26">
        <v>2</v>
      </c>
      <c r="F33" s="26"/>
    </row>
    <row r="34" spans="1:6" x14ac:dyDescent="0.3">
      <c r="A34" s="26" t="s">
        <v>12</v>
      </c>
      <c r="B34" s="26">
        <v>4</v>
      </c>
      <c r="C34" s="26">
        <v>2</v>
      </c>
      <c r="D34" s="26">
        <v>4</v>
      </c>
      <c r="E34" s="26">
        <v>2</v>
      </c>
      <c r="F34" s="26"/>
    </row>
    <row r="35" spans="1:6" x14ac:dyDescent="0.3">
      <c r="A35" s="64" t="s">
        <v>263</v>
      </c>
      <c r="B35" s="64"/>
      <c r="C35" s="64"/>
      <c r="D35" s="64"/>
      <c r="E35" s="26">
        <v>267</v>
      </c>
      <c r="F35" s="26"/>
    </row>
    <row r="36" spans="1:6" x14ac:dyDescent="0.3">
      <c r="A36" s="64" t="s">
        <v>264</v>
      </c>
      <c r="B36" s="64"/>
      <c r="C36" s="64"/>
      <c r="D36" s="64"/>
      <c r="E36" s="26">
        <v>215</v>
      </c>
      <c r="F36" s="26"/>
    </row>
    <row r="37" spans="1:6" x14ac:dyDescent="0.3">
      <c r="A37" s="64" t="s">
        <v>265</v>
      </c>
      <c r="B37" s="64"/>
      <c r="C37" s="64"/>
      <c r="D37" s="64"/>
      <c r="E37" s="26">
        <v>252</v>
      </c>
      <c r="F37" s="26"/>
    </row>
    <row r="38" spans="1:6" x14ac:dyDescent="0.3">
      <c r="A38" s="64" t="s">
        <v>266</v>
      </c>
      <c r="B38" s="64"/>
      <c r="C38" s="64"/>
      <c r="D38" s="64"/>
      <c r="E38" s="26">
        <v>230</v>
      </c>
      <c r="F38" s="26"/>
    </row>
    <row r="39" spans="1:6" x14ac:dyDescent="0.3">
      <c r="A39" s="64" t="s">
        <v>267</v>
      </c>
      <c r="B39" s="64"/>
      <c r="C39" s="64"/>
      <c r="D39" s="64"/>
      <c r="E39" s="64"/>
      <c r="F39" s="64"/>
    </row>
  </sheetData>
  <mergeCells count="14">
    <mergeCell ref="I2:I3"/>
    <mergeCell ref="J2:K2"/>
    <mergeCell ref="L2:L3"/>
    <mergeCell ref="M2:N2"/>
    <mergeCell ref="A35:D35"/>
    <mergeCell ref="A36:D36"/>
    <mergeCell ref="A37:D37"/>
    <mergeCell ref="A38:D38"/>
    <mergeCell ref="A39:F39"/>
    <mergeCell ref="A2:A3"/>
    <mergeCell ref="B2:C2"/>
    <mergeCell ref="D2:D3"/>
    <mergeCell ref="E2:F2"/>
    <mergeCell ref="A20:F20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92D050"/>
  </sheetPr>
  <dimension ref="A1:F7"/>
  <sheetViews>
    <sheetView showGridLines="0" topLeftCell="A4" workbookViewId="0">
      <selection activeCell="Z12" sqref="Z12"/>
    </sheetView>
  </sheetViews>
  <sheetFormatPr baseColWidth="10" defaultColWidth="8.6640625" defaultRowHeight="14.4" x14ac:dyDescent="0.3"/>
  <cols>
    <col min="1" max="1" width="14" bestFit="1" customWidth="1"/>
    <col min="2" max="3" width="15.109375" customWidth="1"/>
    <col min="4" max="4" width="1.109375" customWidth="1"/>
    <col min="5" max="7" width="15.109375" customWidth="1"/>
  </cols>
  <sheetData>
    <row r="1" spans="1:6" x14ac:dyDescent="0.3">
      <c r="A1" s="1" t="s">
        <v>31</v>
      </c>
    </row>
    <row r="2" spans="1:6" x14ac:dyDescent="0.3">
      <c r="A2" s="73" t="s">
        <v>1</v>
      </c>
      <c r="B2" s="74" t="s">
        <v>168</v>
      </c>
      <c r="C2" s="74"/>
      <c r="D2" s="75"/>
      <c r="E2" s="74" t="s">
        <v>169</v>
      </c>
      <c r="F2" s="74"/>
    </row>
    <row r="3" spans="1:6" x14ac:dyDescent="0.3">
      <c r="A3" s="73"/>
      <c r="B3" s="7" t="s">
        <v>170</v>
      </c>
      <c r="C3" s="7" t="s">
        <v>223</v>
      </c>
      <c r="D3" s="76"/>
      <c r="E3" s="7" t="s">
        <v>170</v>
      </c>
      <c r="F3" s="7" t="s">
        <v>223</v>
      </c>
    </row>
    <row r="4" spans="1:6" x14ac:dyDescent="0.3">
      <c r="A4" t="s">
        <v>157</v>
      </c>
      <c r="B4">
        <v>0</v>
      </c>
      <c r="C4">
        <v>0</v>
      </c>
      <c r="E4">
        <v>1</v>
      </c>
      <c r="F4" s="5">
        <v>100000</v>
      </c>
    </row>
    <row r="5" spans="1:6" x14ac:dyDescent="0.3">
      <c r="A5" t="s">
        <v>158</v>
      </c>
      <c r="B5">
        <v>1</v>
      </c>
      <c r="C5" s="5">
        <v>350000</v>
      </c>
      <c r="D5" s="5"/>
      <c r="E5">
        <v>7</v>
      </c>
      <c r="F5" s="5">
        <v>1827000</v>
      </c>
    </row>
    <row r="6" spans="1:6" x14ac:dyDescent="0.3">
      <c r="A6" s="3" t="s">
        <v>167</v>
      </c>
      <c r="B6" s="3">
        <v>1</v>
      </c>
      <c r="C6" s="6">
        <v>350000</v>
      </c>
      <c r="D6" s="6"/>
      <c r="E6" s="3">
        <v>8</v>
      </c>
      <c r="F6" s="6">
        <v>1927000</v>
      </c>
    </row>
    <row r="7" spans="1:6" x14ac:dyDescent="0.3">
      <c r="A7" t="s">
        <v>30</v>
      </c>
    </row>
  </sheetData>
  <mergeCells count="4">
    <mergeCell ref="A2:A3"/>
    <mergeCell ref="B2:C2"/>
    <mergeCell ref="D2:D3"/>
    <mergeCell ref="E2:F2"/>
  </mergeCells>
  <pageMargins left="0.7" right="0.7" top="0.75" bottom="0.75" header="0.3" footer="0.3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rgb="FF92D050"/>
  </sheetPr>
  <dimension ref="A1:E10"/>
  <sheetViews>
    <sheetView showGridLines="0" workbookViewId="0">
      <selection activeCell="J16" sqref="J16"/>
    </sheetView>
  </sheetViews>
  <sheetFormatPr baseColWidth="10" defaultColWidth="8.6640625" defaultRowHeight="14.4" x14ac:dyDescent="0.3"/>
  <cols>
    <col min="1" max="1" width="14" bestFit="1" customWidth="1"/>
    <col min="2" max="2" width="55.33203125" bestFit="1" customWidth="1"/>
    <col min="3" max="4" width="28.109375" bestFit="1" customWidth="1"/>
    <col min="5" max="5" width="25.6640625" bestFit="1" customWidth="1"/>
    <col min="6" max="6" width="7" bestFit="1" customWidth="1"/>
  </cols>
  <sheetData>
    <row r="1" spans="1:5" x14ac:dyDescent="0.3">
      <c r="A1" s="1" t="s">
        <v>59</v>
      </c>
    </row>
    <row r="2" spans="1:5" x14ac:dyDescent="0.3">
      <c r="A2" s="73" t="s">
        <v>1</v>
      </c>
      <c r="B2" s="73" t="s">
        <v>60</v>
      </c>
      <c r="C2" s="24" t="s">
        <v>184</v>
      </c>
      <c r="D2" s="4"/>
      <c r="E2" s="73" t="s">
        <v>29</v>
      </c>
    </row>
    <row r="3" spans="1:5" x14ac:dyDescent="0.3">
      <c r="A3" s="73"/>
      <c r="B3" s="73"/>
      <c r="C3" s="4" t="s">
        <v>168</v>
      </c>
      <c r="D3" s="4" t="s">
        <v>169</v>
      </c>
      <c r="E3" s="73"/>
    </row>
    <row r="4" spans="1:5" x14ac:dyDescent="0.3">
      <c r="A4" s="16" t="s">
        <v>157</v>
      </c>
      <c r="B4" t="s">
        <v>61</v>
      </c>
      <c r="C4">
        <v>30</v>
      </c>
      <c r="D4">
        <v>0</v>
      </c>
      <c r="E4">
        <v>30</v>
      </c>
    </row>
    <row r="5" spans="1:5" x14ac:dyDescent="0.3">
      <c r="A5" t="s">
        <v>158</v>
      </c>
      <c r="B5" t="s">
        <v>61</v>
      </c>
      <c r="C5">
        <v>6</v>
      </c>
      <c r="D5">
        <v>4</v>
      </c>
      <c r="E5">
        <v>10</v>
      </c>
    </row>
    <row r="6" spans="1:5" x14ac:dyDescent="0.3">
      <c r="A6" t="s">
        <v>162</v>
      </c>
      <c r="B6" t="s">
        <v>61</v>
      </c>
      <c r="C6">
        <v>0</v>
      </c>
      <c r="D6">
        <v>1</v>
      </c>
      <c r="E6">
        <v>1</v>
      </c>
    </row>
    <row r="7" spans="1:5" x14ac:dyDescent="0.3">
      <c r="A7" t="s">
        <v>163</v>
      </c>
      <c r="B7" t="s">
        <v>61</v>
      </c>
      <c r="C7">
        <v>15</v>
      </c>
      <c r="D7">
        <v>0</v>
      </c>
      <c r="E7">
        <v>15</v>
      </c>
    </row>
    <row r="8" spans="1:5" x14ac:dyDescent="0.3">
      <c r="A8" t="s">
        <v>164</v>
      </c>
      <c r="B8" t="s">
        <v>61</v>
      </c>
      <c r="C8">
        <v>15</v>
      </c>
      <c r="D8">
        <v>0</v>
      </c>
      <c r="E8">
        <v>15</v>
      </c>
    </row>
    <row r="9" spans="1:5" x14ac:dyDescent="0.3">
      <c r="A9" s="3" t="s">
        <v>29</v>
      </c>
      <c r="B9" s="3"/>
      <c r="C9" s="3">
        <v>66</v>
      </c>
      <c r="D9" s="3">
        <v>5</v>
      </c>
      <c r="E9" s="3">
        <v>71</v>
      </c>
    </row>
    <row r="10" spans="1:5" x14ac:dyDescent="0.3">
      <c r="A10" t="s">
        <v>58</v>
      </c>
    </row>
  </sheetData>
  <mergeCells count="3">
    <mergeCell ref="A2:A3"/>
    <mergeCell ref="B2:B3"/>
    <mergeCell ref="E2:E3"/>
  </mergeCells>
  <pageMargins left="0.7" right="0.7" top="0.75" bottom="0.75" header="0.3" footer="0.3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rgb="FF92D050"/>
  </sheetPr>
  <dimension ref="A1:N45"/>
  <sheetViews>
    <sheetView showGridLines="0" topLeftCell="A13" workbookViewId="0">
      <selection activeCell="J16" sqref="J16"/>
    </sheetView>
  </sheetViews>
  <sheetFormatPr baseColWidth="10" defaultColWidth="8.6640625" defaultRowHeight="14.4" x14ac:dyDescent="0.3"/>
  <cols>
    <col min="1" max="1" width="18.6640625" bestFit="1" customWidth="1"/>
    <col min="2" max="3" width="15.33203125" customWidth="1"/>
    <col min="4" max="4" width="1" customWidth="1"/>
    <col min="5" max="7" width="15.33203125" customWidth="1"/>
  </cols>
  <sheetData>
    <row r="1" spans="1:14" x14ac:dyDescent="0.3">
      <c r="A1" s="1" t="s">
        <v>62</v>
      </c>
    </row>
    <row r="2" spans="1:14" x14ac:dyDescent="0.3">
      <c r="A2" s="73" t="s">
        <v>63</v>
      </c>
      <c r="B2" s="73" t="s">
        <v>23</v>
      </c>
      <c r="C2" s="73"/>
      <c r="D2" s="77"/>
      <c r="E2" s="73" t="s">
        <v>185</v>
      </c>
      <c r="F2" s="73"/>
      <c r="G2" s="73" t="s">
        <v>64</v>
      </c>
    </row>
    <row r="3" spans="1:14" ht="28.8" x14ac:dyDescent="0.3">
      <c r="A3" s="73"/>
      <c r="B3" s="4" t="s">
        <v>186</v>
      </c>
      <c r="C3" s="4" t="s">
        <v>187</v>
      </c>
      <c r="D3" s="78"/>
      <c r="E3" s="4" t="s">
        <v>188</v>
      </c>
      <c r="F3" s="2" t="s">
        <v>189</v>
      </c>
      <c r="G3" s="73"/>
    </row>
    <row r="4" spans="1:14" x14ac:dyDescent="0.3">
      <c r="A4" t="s">
        <v>65</v>
      </c>
      <c r="B4">
        <v>74</v>
      </c>
      <c r="C4">
        <v>69</v>
      </c>
      <c r="E4">
        <v>777.67</v>
      </c>
      <c r="F4" s="19">
        <v>7286.67</v>
      </c>
      <c r="G4">
        <v>11.27</v>
      </c>
      <c r="N4" s="19"/>
    </row>
    <row r="5" spans="1:14" x14ac:dyDescent="0.3">
      <c r="A5" t="s">
        <v>66</v>
      </c>
      <c r="B5" s="19">
        <v>4820</v>
      </c>
      <c r="C5" s="19">
        <v>4820</v>
      </c>
      <c r="D5" s="19"/>
      <c r="E5" s="19">
        <v>26263.7</v>
      </c>
      <c r="F5" s="19">
        <v>138408.22</v>
      </c>
      <c r="G5">
        <v>5.45</v>
      </c>
      <c r="K5" s="19"/>
      <c r="L5" s="19"/>
      <c r="M5" s="19"/>
      <c r="N5" s="19"/>
    </row>
    <row r="6" spans="1:14" x14ac:dyDescent="0.3">
      <c r="A6" t="s">
        <v>67</v>
      </c>
      <c r="B6">
        <v>127</v>
      </c>
      <c r="C6">
        <v>127</v>
      </c>
      <c r="E6">
        <v>168.45</v>
      </c>
      <c r="F6" s="19">
        <v>5233.1000000000004</v>
      </c>
      <c r="G6">
        <v>1.33</v>
      </c>
      <c r="N6" s="19"/>
    </row>
    <row r="7" spans="1:14" x14ac:dyDescent="0.3">
      <c r="A7" t="s">
        <v>68</v>
      </c>
      <c r="B7">
        <v>122</v>
      </c>
      <c r="C7">
        <v>122</v>
      </c>
      <c r="E7" s="19">
        <v>1224.96</v>
      </c>
      <c r="F7" s="19">
        <v>15485.33</v>
      </c>
      <c r="G7">
        <v>10.039999999999999</v>
      </c>
      <c r="M7" s="19"/>
      <c r="N7" s="19"/>
    </row>
    <row r="8" spans="1:14" x14ac:dyDescent="0.3">
      <c r="A8" t="s">
        <v>69</v>
      </c>
      <c r="B8" s="19">
        <v>20176</v>
      </c>
      <c r="C8" s="19">
        <v>20106</v>
      </c>
      <c r="D8" s="19"/>
      <c r="E8" s="19">
        <v>1354847.01</v>
      </c>
      <c r="F8" s="19">
        <v>1004596.74</v>
      </c>
      <c r="G8">
        <v>67.39</v>
      </c>
      <c r="K8" s="19"/>
      <c r="L8" s="19"/>
      <c r="M8" s="19"/>
      <c r="N8" s="19"/>
    </row>
    <row r="9" spans="1:14" x14ac:dyDescent="0.3">
      <c r="A9" t="s">
        <v>70</v>
      </c>
      <c r="B9">
        <v>951.5</v>
      </c>
      <c r="C9">
        <v>951.5</v>
      </c>
      <c r="E9" s="19">
        <v>8971.61</v>
      </c>
      <c r="F9" s="19">
        <v>133899.38</v>
      </c>
      <c r="G9">
        <v>9.43</v>
      </c>
      <c r="M9" s="19"/>
      <c r="N9" s="19"/>
    </row>
    <row r="10" spans="1:14" x14ac:dyDescent="0.3">
      <c r="A10" t="s">
        <v>71</v>
      </c>
      <c r="B10">
        <v>74</v>
      </c>
      <c r="C10">
        <v>60</v>
      </c>
      <c r="E10">
        <v>359.16</v>
      </c>
      <c r="F10" s="19">
        <v>5806.02</v>
      </c>
      <c r="G10">
        <v>5.99</v>
      </c>
      <c r="N10" s="19"/>
    </row>
    <row r="11" spans="1:14" x14ac:dyDescent="0.3">
      <c r="A11" t="s">
        <v>72</v>
      </c>
      <c r="B11" s="19">
        <v>11423</v>
      </c>
      <c r="C11" s="19">
        <v>11423</v>
      </c>
      <c r="D11" s="19"/>
      <c r="E11" s="19">
        <v>8009.57</v>
      </c>
      <c r="F11" s="19">
        <v>432155.4</v>
      </c>
      <c r="G11">
        <v>0.7</v>
      </c>
      <c r="K11" s="19"/>
      <c r="L11" s="19"/>
      <c r="M11" s="19"/>
      <c r="N11" s="19"/>
    </row>
    <row r="12" spans="1:14" x14ac:dyDescent="0.3">
      <c r="A12" t="s">
        <v>73</v>
      </c>
      <c r="B12">
        <v>75</v>
      </c>
      <c r="C12">
        <v>75</v>
      </c>
      <c r="E12">
        <v>231</v>
      </c>
      <c r="F12">
        <v>1155.8599999999999</v>
      </c>
      <c r="G12">
        <v>3.08</v>
      </c>
      <c r="N12" s="19"/>
    </row>
    <row r="13" spans="1:14" x14ac:dyDescent="0.3">
      <c r="A13" t="s">
        <v>74</v>
      </c>
      <c r="B13" s="19">
        <v>1334</v>
      </c>
      <c r="C13" s="19">
        <v>1334</v>
      </c>
      <c r="D13" s="19"/>
      <c r="E13" s="19">
        <v>845.35</v>
      </c>
      <c r="F13" s="19">
        <v>19938.46</v>
      </c>
      <c r="G13">
        <v>0.63</v>
      </c>
      <c r="K13" s="19"/>
      <c r="L13" s="19"/>
      <c r="N13" s="19"/>
    </row>
    <row r="14" spans="1:14" x14ac:dyDescent="0.3">
      <c r="A14" t="s">
        <v>75</v>
      </c>
      <c r="B14">
        <v>1</v>
      </c>
      <c r="C14">
        <v>0</v>
      </c>
      <c r="E14">
        <v>0</v>
      </c>
      <c r="F14">
        <v>0</v>
      </c>
      <c r="G14">
        <v>0</v>
      </c>
    </row>
    <row r="15" spans="1:14" x14ac:dyDescent="0.3">
      <c r="A15" t="s">
        <v>76</v>
      </c>
      <c r="B15">
        <v>24</v>
      </c>
      <c r="C15">
        <v>24</v>
      </c>
      <c r="E15">
        <v>15.96</v>
      </c>
      <c r="F15">
        <v>2921.31</v>
      </c>
      <c r="G15">
        <v>0.67</v>
      </c>
      <c r="N15" s="19"/>
    </row>
    <row r="16" spans="1:14" x14ac:dyDescent="0.3">
      <c r="A16" t="s">
        <v>77</v>
      </c>
      <c r="B16">
        <v>35</v>
      </c>
      <c r="C16">
        <v>35</v>
      </c>
      <c r="E16">
        <v>357</v>
      </c>
      <c r="F16" s="19">
        <v>4529.8</v>
      </c>
      <c r="G16">
        <v>10.199999999999999</v>
      </c>
      <c r="N16" s="19"/>
    </row>
    <row r="17" spans="1:14" x14ac:dyDescent="0.3">
      <c r="A17" t="s">
        <v>78</v>
      </c>
      <c r="B17">
        <v>1785.5</v>
      </c>
      <c r="C17">
        <v>1677</v>
      </c>
      <c r="E17">
        <v>15275.98</v>
      </c>
      <c r="F17" s="19">
        <v>155749.82</v>
      </c>
      <c r="G17">
        <v>9.11</v>
      </c>
      <c r="K17" s="19"/>
      <c r="L17" s="19"/>
      <c r="M17" s="19"/>
      <c r="N17" s="19"/>
    </row>
    <row r="18" spans="1:14" x14ac:dyDescent="0.3">
      <c r="A18" t="s">
        <v>79</v>
      </c>
      <c r="B18" s="19">
        <v>166592</v>
      </c>
      <c r="C18" s="19">
        <v>166592</v>
      </c>
      <c r="D18" s="19"/>
      <c r="E18" s="19">
        <v>519088.5</v>
      </c>
      <c r="F18" s="19">
        <v>2809974.75</v>
      </c>
      <c r="G18">
        <v>3.12</v>
      </c>
      <c r="K18" s="19"/>
      <c r="L18" s="19"/>
      <c r="M18" s="19"/>
      <c r="N18" s="19"/>
    </row>
    <row r="19" spans="1:14" x14ac:dyDescent="0.3">
      <c r="A19" t="s">
        <v>80</v>
      </c>
      <c r="B19" s="19">
        <v>24</v>
      </c>
      <c r="C19" s="19">
        <v>24</v>
      </c>
      <c r="D19" s="19"/>
      <c r="E19" s="19">
        <v>360</v>
      </c>
      <c r="F19" s="19">
        <v>2340</v>
      </c>
      <c r="G19">
        <v>15</v>
      </c>
      <c r="N19" s="19"/>
    </row>
    <row r="20" spans="1:14" x14ac:dyDescent="0.3">
      <c r="A20" t="s">
        <v>81</v>
      </c>
      <c r="B20">
        <v>60.9</v>
      </c>
      <c r="C20">
        <v>50.9</v>
      </c>
      <c r="E20">
        <v>430.44</v>
      </c>
      <c r="F20" s="19">
        <v>3456.39</v>
      </c>
      <c r="G20">
        <v>8.4600000000000009</v>
      </c>
      <c r="N20" s="19"/>
    </row>
    <row r="21" spans="1:14" x14ac:dyDescent="0.3">
      <c r="A21" t="s">
        <v>82</v>
      </c>
      <c r="B21">
        <v>1087.5</v>
      </c>
      <c r="C21">
        <v>1082</v>
      </c>
      <c r="E21">
        <v>12718.15</v>
      </c>
      <c r="F21" s="19">
        <v>94025.61</v>
      </c>
      <c r="G21">
        <v>11.75</v>
      </c>
      <c r="K21" s="19"/>
      <c r="L21" s="19"/>
      <c r="M21" s="19"/>
      <c r="N21" s="19"/>
    </row>
    <row r="22" spans="1:14" x14ac:dyDescent="0.3">
      <c r="A22" t="s">
        <v>83</v>
      </c>
      <c r="B22" s="19">
        <v>32.5</v>
      </c>
      <c r="C22" s="19">
        <v>31.5</v>
      </c>
      <c r="D22" s="19"/>
      <c r="E22" s="19">
        <v>174.47</v>
      </c>
      <c r="F22" s="19">
        <v>3207.54</v>
      </c>
      <c r="G22">
        <v>5.54</v>
      </c>
      <c r="N22" s="19"/>
    </row>
    <row r="23" spans="1:14" x14ac:dyDescent="0.3">
      <c r="A23" t="s">
        <v>84</v>
      </c>
      <c r="B23">
        <v>29</v>
      </c>
      <c r="C23">
        <v>29</v>
      </c>
      <c r="E23">
        <v>152.58000000000001</v>
      </c>
      <c r="F23" s="19">
        <v>1694.86</v>
      </c>
      <c r="G23">
        <v>5.26</v>
      </c>
      <c r="N23" s="19"/>
    </row>
    <row r="24" spans="1:14" x14ac:dyDescent="0.3">
      <c r="A24" t="s">
        <v>85</v>
      </c>
      <c r="B24">
        <v>1311</v>
      </c>
      <c r="C24">
        <v>1275</v>
      </c>
      <c r="E24">
        <v>15186.71</v>
      </c>
      <c r="F24" s="19">
        <v>91023.17</v>
      </c>
      <c r="G24">
        <v>10.96</v>
      </c>
      <c r="K24" s="19"/>
      <c r="L24" s="19"/>
      <c r="M24" s="19"/>
      <c r="N24" s="19"/>
    </row>
    <row r="25" spans="1:14" x14ac:dyDescent="0.3">
      <c r="A25" t="s">
        <v>86</v>
      </c>
      <c r="B25" s="19">
        <v>33514</v>
      </c>
      <c r="C25" s="19">
        <v>29648</v>
      </c>
      <c r="D25" s="19"/>
      <c r="E25" s="19">
        <v>365911.15</v>
      </c>
      <c r="F25" s="19">
        <v>1126423.77</v>
      </c>
      <c r="G25">
        <v>12.34</v>
      </c>
      <c r="K25" s="19"/>
      <c r="L25" s="19"/>
      <c r="M25" s="19"/>
      <c r="N25" s="19"/>
    </row>
    <row r="26" spans="1:14" x14ac:dyDescent="0.3">
      <c r="A26" t="s">
        <v>87</v>
      </c>
      <c r="B26" s="19">
        <v>419</v>
      </c>
      <c r="C26" s="19">
        <v>343</v>
      </c>
      <c r="D26" s="19"/>
      <c r="E26" s="19">
        <v>17373.64</v>
      </c>
      <c r="F26" s="19">
        <v>142306.71</v>
      </c>
      <c r="G26">
        <v>50.65</v>
      </c>
      <c r="M26" s="19"/>
      <c r="N26" s="19"/>
    </row>
    <row r="27" spans="1:14" x14ac:dyDescent="0.3">
      <c r="A27" t="s">
        <v>88</v>
      </c>
      <c r="B27">
        <v>30</v>
      </c>
      <c r="C27">
        <v>30</v>
      </c>
      <c r="E27" s="19">
        <v>268.2</v>
      </c>
      <c r="F27" s="19">
        <v>2873.89</v>
      </c>
      <c r="G27">
        <v>8.94</v>
      </c>
      <c r="N27" s="19"/>
    </row>
    <row r="28" spans="1:14" x14ac:dyDescent="0.3">
      <c r="A28" t="s">
        <v>89</v>
      </c>
      <c r="B28">
        <v>60</v>
      </c>
      <c r="C28">
        <v>60</v>
      </c>
      <c r="E28">
        <v>58.6</v>
      </c>
      <c r="F28" s="19">
        <v>3575.62</v>
      </c>
      <c r="G28">
        <v>0.98</v>
      </c>
      <c r="N28" s="19"/>
    </row>
    <row r="29" spans="1:14" x14ac:dyDescent="0.3">
      <c r="A29" t="s">
        <v>90</v>
      </c>
      <c r="B29">
        <v>43</v>
      </c>
      <c r="C29">
        <v>33</v>
      </c>
      <c r="E29">
        <v>1200.28</v>
      </c>
      <c r="F29" s="19">
        <v>10210.68</v>
      </c>
      <c r="G29">
        <v>36.369999999999997</v>
      </c>
      <c r="M29" s="19"/>
      <c r="N29" s="19"/>
    </row>
    <row r="30" spans="1:14" x14ac:dyDescent="0.3">
      <c r="A30" t="s">
        <v>91</v>
      </c>
      <c r="B30">
        <v>108</v>
      </c>
      <c r="C30">
        <v>108</v>
      </c>
      <c r="E30" s="19">
        <v>1166.19</v>
      </c>
      <c r="F30" s="19">
        <v>5209.58</v>
      </c>
      <c r="G30">
        <v>10.8</v>
      </c>
      <c r="M30" s="19"/>
      <c r="N30" s="19"/>
    </row>
    <row r="31" spans="1:14" x14ac:dyDescent="0.3">
      <c r="A31" t="s">
        <v>92</v>
      </c>
      <c r="B31">
        <v>190.43</v>
      </c>
      <c r="C31">
        <v>185.43</v>
      </c>
      <c r="E31" s="19">
        <v>13248.98</v>
      </c>
      <c r="F31" s="19">
        <v>39208.79</v>
      </c>
      <c r="G31">
        <v>71.45</v>
      </c>
      <c r="M31" s="19"/>
      <c r="N31" s="19"/>
    </row>
    <row r="32" spans="1:14" x14ac:dyDescent="0.3">
      <c r="A32" t="s">
        <v>93</v>
      </c>
      <c r="B32">
        <v>1522</v>
      </c>
      <c r="C32">
        <v>1522</v>
      </c>
      <c r="E32" s="19">
        <v>44221.83</v>
      </c>
      <c r="F32" s="19">
        <v>242666.5</v>
      </c>
      <c r="G32">
        <v>64.709999999999994</v>
      </c>
      <c r="K32" s="19"/>
      <c r="L32" s="19"/>
      <c r="M32" s="19"/>
      <c r="N32" s="19"/>
    </row>
    <row r="33" spans="1:14" x14ac:dyDescent="0.3">
      <c r="A33" t="s">
        <v>94</v>
      </c>
      <c r="B33" s="19">
        <v>23194</v>
      </c>
      <c r="C33" s="19">
        <v>23194</v>
      </c>
      <c r="D33" s="19"/>
      <c r="E33" s="19">
        <v>66261.539999999994</v>
      </c>
      <c r="F33" s="19">
        <v>260794.9</v>
      </c>
      <c r="G33">
        <v>2.86</v>
      </c>
      <c r="K33" s="19"/>
      <c r="L33" s="19"/>
      <c r="M33" s="19"/>
      <c r="N33" s="19"/>
    </row>
    <row r="34" spans="1:14" x14ac:dyDescent="0.3">
      <c r="A34" t="s">
        <v>95</v>
      </c>
      <c r="B34" s="19">
        <v>58700</v>
      </c>
      <c r="C34" s="19">
        <v>58700</v>
      </c>
      <c r="D34" s="19"/>
      <c r="E34" s="19">
        <v>145642.35</v>
      </c>
      <c r="F34" s="19">
        <v>1165434.3999999999</v>
      </c>
      <c r="G34">
        <v>2.48</v>
      </c>
      <c r="K34" s="19"/>
      <c r="L34" s="19"/>
      <c r="M34" s="19"/>
      <c r="N34" s="19"/>
    </row>
    <row r="35" spans="1:14" x14ac:dyDescent="0.3">
      <c r="A35" t="s">
        <v>96</v>
      </c>
      <c r="B35" s="19">
        <v>6</v>
      </c>
      <c r="C35" s="19">
        <v>6</v>
      </c>
      <c r="D35" s="19"/>
      <c r="E35" s="19">
        <v>31.98</v>
      </c>
      <c r="F35" s="19">
        <v>367.77</v>
      </c>
      <c r="G35">
        <v>5.33</v>
      </c>
    </row>
    <row r="36" spans="1:14" x14ac:dyDescent="0.3">
      <c r="A36" t="s">
        <v>97</v>
      </c>
      <c r="B36">
        <v>278</v>
      </c>
      <c r="C36">
        <v>278</v>
      </c>
      <c r="E36">
        <v>11520.19</v>
      </c>
      <c r="F36">
        <v>85237.04</v>
      </c>
      <c r="G36">
        <v>41.44</v>
      </c>
      <c r="M36" s="19"/>
      <c r="N36" s="19"/>
    </row>
    <row r="37" spans="1:14" x14ac:dyDescent="0.3">
      <c r="A37" t="s">
        <v>98</v>
      </c>
      <c r="B37">
        <v>95.5</v>
      </c>
      <c r="C37">
        <v>86.5</v>
      </c>
      <c r="E37">
        <v>2139.25</v>
      </c>
      <c r="F37">
        <v>18141.099999999999</v>
      </c>
      <c r="G37">
        <v>24.73</v>
      </c>
      <c r="M37" s="19"/>
      <c r="N37" s="19"/>
    </row>
    <row r="38" spans="1:14" x14ac:dyDescent="0.3">
      <c r="A38" t="s">
        <v>99</v>
      </c>
      <c r="B38">
        <v>255</v>
      </c>
      <c r="C38">
        <v>205</v>
      </c>
      <c r="E38" s="19">
        <v>919.8</v>
      </c>
      <c r="F38" s="19">
        <v>5224.5</v>
      </c>
      <c r="G38">
        <v>4.49</v>
      </c>
      <c r="N38" s="19"/>
    </row>
    <row r="39" spans="1:14" x14ac:dyDescent="0.3">
      <c r="A39" s="3" t="s">
        <v>29</v>
      </c>
      <c r="B39" s="20">
        <v>328573.83</v>
      </c>
      <c r="C39" s="20">
        <v>324306.83</v>
      </c>
      <c r="D39" s="20"/>
      <c r="E39" s="20">
        <v>2635422.25</v>
      </c>
      <c r="F39" s="20">
        <v>8040563.6799999997</v>
      </c>
      <c r="G39" s="14"/>
    </row>
    <row r="40" spans="1:14" x14ac:dyDescent="0.3">
      <c r="A40" t="s">
        <v>222</v>
      </c>
    </row>
    <row r="42" spans="1:14" x14ac:dyDescent="0.3">
      <c r="G42" s="19"/>
      <c r="H42" s="19"/>
      <c r="I42" s="19"/>
      <c r="J42" s="19"/>
      <c r="K42" s="19"/>
    </row>
    <row r="43" spans="1:14" x14ac:dyDescent="0.3">
      <c r="G43" s="19"/>
    </row>
    <row r="44" spans="1:14" x14ac:dyDescent="0.3">
      <c r="G44" s="19"/>
    </row>
    <row r="45" spans="1:14" x14ac:dyDescent="0.3">
      <c r="G45" s="19"/>
    </row>
  </sheetData>
  <mergeCells count="5">
    <mergeCell ref="A2:A3"/>
    <mergeCell ref="B2:C2"/>
    <mergeCell ref="D2:D3"/>
    <mergeCell ref="E2:F2"/>
    <mergeCell ref="G2:G3"/>
  </mergeCell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rgb="FF92D050"/>
  </sheetPr>
  <dimension ref="A1:F31"/>
  <sheetViews>
    <sheetView showGridLines="0" workbookViewId="0">
      <selection activeCell="J16" sqref="J16"/>
    </sheetView>
  </sheetViews>
  <sheetFormatPr baseColWidth="10" defaultColWidth="8.6640625" defaultRowHeight="14.4" x14ac:dyDescent="0.3"/>
  <cols>
    <col min="1" max="1" width="21.109375" bestFit="1" customWidth="1"/>
    <col min="2" max="2" width="27" bestFit="1" customWidth="1"/>
    <col min="3" max="3" width="47.109375" bestFit="1" customWidth="1"/>
    <col min="4" max="4" width="40" bestFit="1" customWidth="1"/>
    <col min="6" max="6" width="15.33203125" customWidth="1"/>
  </cols>
  <sheetData>
    <row r="1" spans="1:3" x14ac:dyDescent="0.3">
      <c r="A1" s="1" t="s">
        <v>100</v>
      </c>
    </row>
    <row r="2" spans="1:3" x14ac:dyDescent="0.3">
      <c r="A2" s="2" t="s">
        <v>101</v>
      </c>
      <c r="B2" s="2" t="s">
        <v>102</v>
      </c>
      <c r="C2" s="2" t="s">
        <v>103</v>
      </c>
    </row>
    <row r="3" spans="1:3" x14ac:dyDescent="0.3">
      <c r="A3" s="10" t="s">
        <v>190</v>
      </c>
      <c r="B3" s="21"/>
      <c r="C3" s="21"/>
    </row>
    <row r="4" spans="1:3" x14ac:dyDescent="0.3">
      <c r="A4" s="13" t="s">
        <v>191</v>
      </c>
      <c r="B4" s="19">
        <v>24031.919999999998</v>
      </c>
      <c r="C4" s="19">
        <v>1031886.35</v>
      </c>
    </row>
    <row r="5" spans="1:3" x14ac:dyDescent="0.3">
      <c r="A5" s="13" t="s">
        <v>192</v>
      </c>
      <c r="B5" s="19">
        <v>24310.47</v>
      </c>
      <c r="C5" s="19">
        <v>1724193.08</v>
      </c>
    </row>
    <row r="6" spans="1:3" x14ac:dyDescent="0.3">
      <c r="A6" s="13" t="s">
        <v>193</v>
      </c>
      <c r="B6">
        <v>41.46</v>
      </c>
      <c r="C6" s="19">
        <v>2826.69</v>
      </c>
    </row>
    <row r="7" spans="1:3" x14ac:dyDescent="0.3">
      <c r="A7" s="13" t="s">
        <v>194</v>
      </c>
      <c r="B7">
        <v>781.55</v>
      </c>
      <c r="C7" s="19">
        <v>49151.74</v>
      </c>
    </row>
    <row r="8" spans="1:3" x14ac:dyDescent="0.3">
      <c r="A8" s="13" t="s">
        <v>195</v>
      </c>
      <c r="B8" s="19">
        <v>1759.43</v>
      </c>
      <c r="C8" s="19">
        <v>151239.84</v>
      </c>
    </row>
    <row r="9" spans="1:3" x14ac:dyDescent="0.3">
      <c r="A9" s="13" t="s">
        <v>196</v>
      </c>
      <c r="B9" s="19">
        <v>6018.59</v>
      </c>
      <c r="C9" s="19">
        <v>333271.92</v>
      </c>
    </row>
    <row r="10" spans="1:3" x14ac:dyDescent="0.3">
      <c r="A10" s="22" t="s">
        <v>197</v>
      </c>
      <c r="B10" s="19"/>
      <c r="C10" s="19"/>
    </row>
    <row r="11" spans="1:3" x14ac:dyDescent="0.3">
      <c r="A11" s="13" t="s">
        <v>192</v>
      </c>
      <c r="B11" s="19">
        <v>46869.91</v>
      </c>
      <c r="C11" s="19">
        <v>424641.39</v>
      </c>
    </row>
    <row r="12" spans="1:3" x14ac:dyDescent="0.3">
      <c r="A12" s="13" t="s">
        <v>193</v>
      </c>
      <c r="B12">
        <v>39.369999999999997</v>
      </c>
      <c r="C12">
        <v>341.42</v>
      </c>
    </row>
    <row r="13" spans="1:3" x14ac:dyDescent="0.3">
      <c r="A13" s="1" t="s">
        <v>104</v>
      </c>
      <c r="B13">
        <v>67</v>
      </c>
      <c r="C13" s="19">
        <v>5278.03</v>
      </c>
    </row>
    <row r="14" spans="1:3" x14ac:dyDescent="0.3">
      <c r="A14" s="1" t="s">
        <v>105</v>
      </c>
      <c r="B14" s="19">
        <v>4928.54</v>
      </c>
      <c r="C14" s="19">
        <v>141794.21</v>
      </c>
    </row>
    <row r="15" spans="1:3" x14ac:dyDescent="0.3">
      <c r="A15" s="1" t="s">
        <v>106</v>
      </c>
      <c r="B15" s="19">
        <v>4407.6499999999996</v>
      </c>
      <c r="C15" s="19">
        <v>118742.09</v>
      </c>
    </row>
    <row r="16" spans="1:3" x14ac:dyDescent="0.3">
      <c r="A16" s="3" t="s">
        <v>29</v>
      </c>
      <c r="B16" s="3"/>
      <c r="C16" s="20">
        <v>3983366.76</v>
      </c>
    </row>
    <row r="17" spans="1:6" x14ac:dyDescent="0.3">
      <c r="A17" t="s">
        <v>222</v>
      </c>
    </row>
    <row r="20" spans="1:6" x14ac:dyDescent="0.3">
      <c r="E20" s="19"/>
      <c r="F20" s="19"/>
    </row>
    <row r="21" spans="1:6" x14ac:dyDescent="0.3">
      <c r="E21" s="19"/>
      <c r="F21" s="19"/>
    </row>
    <row r="22" spans="1:6" x14ac:dyDescent="0.3">
      <c r="F22" s="19"/>
    </row>
    <row r="23" spans="1:6" x14ac:dyDescent="0.3">
      <c r="F23" s="19"/>
    </row>
    <row r="24" spans="1:6" x14ac:dyDescent="0.3">
      <c r="E24" s="19"/>
      <c r="F24" s="19"/>
    </row>
    <row r="25" spans="1:6" x14ac:dyDescent="0.3">
      <c r="E25" s="19"/>
      <c r="F25" s="19"/>
    </row>
    <row r="26" spans="1:6" x14ac:dyDescent="0.3">
      <c r="E26" s="19"/>
      <c r="F26" s="19"/>
    </row>
    <row r="28" spans="1:6" x14ac:dyDescent="0.3">
      <c r="F28" s="19"/>
    </row>
    <row r="29" spans="1:6" x14ac:dyDescent="0.3">
      <c r="E29" s="19"/>
      <c r="F29" s="19"/>
    </row>
    <row r="30" spans="1:6" x14ac:dyDescent="0.3">
      <c r="E30" s="19"/>
      <c r="F30" s="19"/>
    </row>
    <row r="31" spans="1:6" x14ac:dyDescent="0.3">
      <c r="F31" s="19"/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tabColor rgb="FF92D050"/>
  </sheetPr>
  <dimension ref="A1:R17"/>
  <sheetViews>
    <sheetView showGridLines="0" topLeftCell="A4" zoomScale="90" zoomScaleNormal="90" workbookViewId="0">
      <selection activeCell="J16" sqref="J16"/>
    </sheetView>
  </sheetViews>
  <sheetFormatPr baseColWidth="10" defaultColWidth="8.6640625" defaultRowHeight="14.4" x14ac:dyDescent="0.3"/>
  <cols>
    <col min="1" max="1" width="25.6640625" customWidth="1"/>
    <col min="2" max="3" width="16" customWidth="1"/>
    <col min="4" max="4" width="1" customWidth="1"/>
    <col min="5" max="6" width="16" customWidth="1"/>
    <col min="7" max="7" width="1" customWidth="1"/>
    <col min="8" max="9" width="16" customWidth="1"/>
    <col min="10" max="10" width="1" customWidth="1"/>
    <col min="11" max="12" width="16" customWidth="1"/>
    <col min="13" max="13" width="1" customWidth="1"/>
    <col min="14" max="15" width="16" customWidth="1"/>
    <col min="16" max="16" width="1" customWidth="1"/>
    <col min="17" max="18" width="16" customWidth="1"/>
  </cols>
  <sheetData>
    <row r="1" spans="1:18" x14ac:dyDescent="0.3">
      <c r="A1" s="1" t="s">
        <v>107</v>
      </c>
    </row>
    <row r="2" spans="1:18" x14ac:dyDescent="0.3">
      <c r="A2" s="82" t="s">
        <v>38</v>
      </c>
      <c r="B2" s="81" t="s">
        <v>33</v>
      </c>
      <c r="C2" s="81"/>
      <c r="D2" s="79"/>
      <c r="E2" s="81" t="s">
        <v>7</v>
      </c>
      <c r="F2" s="81"/>
      <c r="G2" s="79"/>
      <c r="H2" s="81" t="s">
        <v>9</v>
      </c>
      <c r="I2" s="81"/>
      <c r="J2" s="79"/>
      <c r="K2" s="81" t="s">
        <v>135</v>
      </c>
      <c r="L2" s="81"/>
      <c r="M2" s="79"/>
      <c r="N2" s="81" t="s">
        <v>10</v>
      </c>
      <c r="O2" s="81"/>
      <c r="P2" s="79"/>
      <c r="Q2" s="81" t="s">
        <v>11</v>
      </c>
      <c r="R2" s="81"/>
    </row>
    <row r="3" spans="1:18" ht="43.2" x14ac:dyDescent="0.3">
      <c r="A3" s="83"/>
      <c r="B3" s="15" t="s">
        <v>118</v>
      </c>
      <c r="C3" s="15" t="s">
        <v>119</v>
      </c>
      <c r="D3" s="80"/>
      <c r="E3" s="15" t="s">
        <v>118</v>
      </c>
      <c r="F3" s="15" t="s">
        <v>119</v>
      </c>
      <c r="G3" s="80"/>
      <c r="H3" s="15" t="s">
        <v>118</v>
      </c>
      <c r="I3" s="15" t="s">
        <v>119</v>
      </c>
      <c r="J3" s="80"/>
      <c r="K3" s="15" t="s">
        <v>118</v>
      </c>
      <c r="L3" s="15" t="s">
        <v>119</v>
      </c>
      <c r="M3" s="80"/>
      <c r="N3" s="15" t="s">
        <v>118</v>
      </c>
      <c r="O3" s="15" t="s">
        <v>119</v>
      </c>
      <c r="P3" s="80"/>
      <c r="Q3" s="15" t="s">
        <v>118</v>
      </c>
      <c r="R3" s="15" t="s">
        <v>119</v>
      </c>
    </row>
    <row r="4" spans="1:18" x14ac:dyDescent="0.3">
      <c r="A4" t="s">
        <v>198</v>
      </c>
      <c r="B4">
        <v>0</v>
      </c>
      <c r="C4">
        <v>0</v>
      </c>
      <c r="E4" s="5">
        <v>1129</v>
      </c>
      <c r="F4" s="5">
        <v>76079</v>
      </c>
      <c r="G4" s="5"/>
      <c r="H4" s="5">
        <v>1336</v>
      </c>
      <c r="I4" s="5">
        <v>43238</v>
      </c>
      <c r="J4" s="5"/>
      <c r="K4">
        <v>0</v>
      </c>
      <c r="L4">
        <v>0</v>
      </c>
      <c r="N4">
        <v>0</v>
      </c>
      <c r="O4">
        <v>0</v>
      </c>
      <c r="Q4">
        <v>0</v>
      </c>
      <c r="R4">
        <v>0</v>
      </c>
    </row>
    <row r="5" spans="1:18" x14ac:dyDescent="0.3">
      <c r="A5" t="s">
        <v>108</v>
      </c>
      <c r="B5" s="5">
        <v>2565</v>
      </c>
      <c r="C5" s="5">
        <v>168599</v>
      </c>
      <c r="D5" s="5"/>
      <c r="E5" s="5">
        <v>1915</v>
      </c>
      <c r="F5" s="5">
        <v>175112</v>
      </c>
      <c r="G5" s="5"/>
      <c r="H5">
        <v>247</v>
      </c>
      <c r="I5" s="5">
        <v>9990</v>
      </c>
      <c r="J5" s="5"/>
      <c r="K5" s="5">
        <v>1440</v>
      </c>
      <c r="L5" s="5">
        <v>41531</v>
      </c>
      <c r="M5" s="5"/>
      <c r="N5">
        <v>0</v>
      </c>
      <c r="O5">
        <v>0</v>
      </c>
      <c r="Q5">
        <v>958</v>
      </c>
      <c r="R5" s="5">
        <v>45913</v>
      </c>
    </row>
    <row r="6" spans="1:18" x14ac:dyDescent="0.3">
      <c r="A6" t="s">
        <v>109</v>
      </c>
      <c r="B6">
        <v>59</v>
      </c>
      <c r="C6" s="5">
        <v>2263</v>
      </c>
      <c r="D6" s="5"/>
      <c r="E6">
        <v>190</v>
      </c>
      <c r="F6" s="5">
        <v>18881</v>
      </c>
      <c r="G6" s="5"/>
      <c r="H6" s="5">
        <v>1193</v>
      </c>
      <c r="I6" s="5">
        <v>78938</v>
      </c>
      <c r="J6" s="5"/>
      <c r="K6">
        <v>360</v>
      </c>
      <c r="L6" s="5">
        <v>8075</v>
      </c>
      <c r="M6" s="5"/>
      <c r="N6">
        <v>5</v>
      </c>
      <c r="O6">
        <v>68</v>
      </c>
      <c r="Q6">
        <v>395</v>
      </c>
      <c r="R6" s="5">
        <v>19050</v>
      </c>
    </row>
    <row r="7" spans="1:18" x14ac:dyDescent="0.3">
      <c r="A7" t="s">
        <v>110</v>
      </c>
      <c r="B7">
        <v>0</v>
      </c>
      <c r="C7">
        <v>0</v>
      </c>
      <c r="E7">
        <v>9</v>
      </c>
      <c r="F7">
        <v>168</v>
      </c>
      <c r="H7" s="5">
        <v>3005</v>
      </c>
      <c r="I7" s="5">
        <v>40437</v>
      </c>
      <c r="J7" s="5"/>
      <c r="K7">
        <v>39</v>
      </c>
      <c r="L7">
        <v>393</v>
      </c>
      <c r="N7">
        <v>0</v>
      </c>
      <c r="O7">
        <v>0</v>
      </c>
      <c r="Q7">
        <v>0</v>
      </c>
      <c r="R7">
        <v>0</v>
      </c>
    </row>
    <row r="8" spans="1:18" x14ac:dyDescent="0.3">
      <c r="A8" t="s">
        <v>111</v>
      </c>
      <c r="B8">
        <v>47</v>
      </c>
      <c r="C8" s="5">
        <v>1441</v>
      </c>
      <c r="D8" s="5"/>
      <c r="E8">
        <v>36</v>
      </c>
      <c r="F8" s="5">
        <v>1267</v>
      </c>
      <c r="G8" s="5"/>
      <c r="H8" s="5">
        <v>1021</v>
      </c>
      <c r="I8" s="5">
        <v>21419</v>
      </c>
      <c r="J8" s="5"/>
      <c r="K8">
        <v>308</v>
      </c>
      <c r="L8" s="5">
        <v>5237</v>
      </c>
      <c r="M8" s="5"/>
      <c r="N8">
        <v>0</v>
      </c>
      <c r="O8">
        <v>0</v>
      </c>
      <c r="Q8">
        <v>118</v>
      </c>
      <c r="R8" s="5">
        <v>1775</v>
      </c>
    </row>
    <row r="9" spans="1:18" x14ac:dyDescent="0.3">
      <c r="A9" t="s">
        <v>112</v>
      </c>
      <c r="B9">
        <v>253</v>
      </c>
      <c r="C9" s="5">
        <v>12184</v>
      </c>
      <c r="D9" s="5"/>
      <c r="E9">
        <v>199</v>
      </c>
      <c r="F9" s="5">
        <v>7289</v>
      </c>
      <c r="G9" s="5"/>
      <c r="H9">
        <v>249</v>
      </c>
      <c r="I9" s="5">
        <v>4755</v>
      </c>
      <c r="J9" s="5"/>
      <c r="K9">
        <v>103</v>
      </c>
      <c r="L9" s="5">
        <v>1584</v>
      </c>
      <c r="M9" s="5"/>
      <c r="N9">
        <v>0</v>
      </c>
      <c r="O9">
        <v>0</v>
      </c>
      <c r="Q9">
        <v>85</v>
      </c>
      <c r="R9" s="5">
        <v>1172</v>
      </c>
    </row>
    <row r="10" spans="1:18" x14ac:dyDescent="0.3">
      <c r="A10" t="s">
        <v>199</v>
      </c>
      <c r="B10">
        <v>4</v>
      </c>
      <c r="C10">
        <v>352</v>
      </c>
      <c r="E10">
        <v>3</v>
      </c>
      <c r="F10">
        <v>245</v>
      </c>
      <c r="H10">
        <v>55</v>
      </c>
      <c r="I10" s="5">
        <v>3004</v>
      </c>
      <c r="J10" s="5"/>
      <c r="K10">
        <v>33</v>
      </c>
      <c r="L10" s="5">
        <v>2293</v>
      </c>
      <c r="M10" s="5"/>
      <c r="N10">
        <v>3</v>
      </c>
      <c r="O10">
        <v>91</v>
      </c>
      <c r="Q10">
        <v>0</v>
      </c>
      <c r="R10">
        <v>0</v>
      </c>
    </row>
    <row r="11" spans="1:18" x14ac:dyDescent="0.3">
      <c r="A11" t="s">
        <v>113</v>
      </c>
      <c r="B11">
        <v>150</v>
      </c>
      <c r="C11" s="5">
        <v>5017</v>
      </c>
      <c r="D11" s="5"/>
      <c r="E11">
        <v>971</v>
      </c>
      <c r="F11" s="5">
        <v>43067</v>
      </c>
      <c r="G11" s="5"/>
      <c r="H11">
        <v>73</v>
      </c>
      <c r="I11" s="5">
        <v>1274</v>
      </c>
      <c r="J11" s="5"/>
      <c r="K11" s="5">
        <v>2163</v>
      </c>
      <c r="L11" s="5">
        <v>8514</v>
      </c>
      <c r="M11" s="5"/>
      <c r="N11">
        <v>0</v>
      </c>
      <c r="O11">
        <v>0</v>
      </c>
      <c r="Q11" s="5">
        <v>1054</v>
      </c>
      <c r="R11" s="5">
        <v>12141</v>
      </c>
    </row>
    <row r="12" spans="1:18" x14ac:dyDescent="0.3">
      <c r="A12" t="s">
        <v>114</v>
      </c>
      <c r="B12">
        <v>13</v>
      </c>
      <c r="C12">
        <v>219</v>
      </c>
      <c r="E12">
        <v>52</v>
      </c>
      <c r="F12" s="5">
        <v>1361</v>
      </c>
      <c r="G12" s="5"/>
      <c r="H12">
        <v>187</v>
      </c>
      <c r="I12" s="5">
        <v>2588</v>
      </c>
      <c r="J12" s="5"/>
      <c r="K12">
        <v>313</v>
      </c>
      <c r="L12" s="5">
        <v>3640</v>
      </c>
      <c r="M12" s="5"/>
      <c r="N12">
        <v>0</v>
      </c>
      <c r="O12">
        <v>0</v>
      </c>
      <c r="Q12">
        <v>240</v>
      </c>
      <c r="R12" s="5">
        <v>5497</v>
      </c>
    </row>
    <row r="13" spans="1:18" x14ac:dyDescent="0.3">
      <c r="A13" t="s">
        <v>115</v>
      </c>
      <c r="B13" s="5">
        <v>1351</v>
      </c>
      <c r="C13" s="5">
        <v>100137</v>
      </c>
      <c r="D13" s="5"/>
      <c r="E13" s="5">
        <v>1593</v>
      </c>
      <c r="F13" s="5">
        <v>46734</v>
      </c>
      <c r="G13" s="5"/>
      <c r="H13" s="5">
        <v>4269</v>
      </c>
      <c r="I13" s="5">
        <v>77420</v>
      </c>
      <c r="J13" s="5"/>
      <c r="K13" s="5">
        <v>5730</v>
      </c>
      <c r="L13" s="5">
        <v>55236</v>
      </c>
      <c r="M13" s="5"/>
      <c r="N13">
        <v>78</v>
      </c>
      <c r="O13">
        <v>642</v>
      </c>
      <c r="Q13" s="5">
        <v>5394</v>
      </c>
      <c r="R13" s="5">
        <v>52097</v>
      </c>
    </row>
    <row r="14" spans="1:18" x14ac:dyDescent="0.3">
      <c r="A14" s="3" t="s">
        <v>29</v>
      </c>
      <c r="B14" s="6">
        <v>4442</v>
      </c>
      <c r="C14" s="6">
        <v>290212</v>
      </c>
      <c r="D14" s="6"/>
      <c r="E14" s="6">
        <v>6097</v>
      </c>
      <c r="F14" s="6">
        <v>370203</v>
      </c>
      <c r="G14" s="6"/>
      <c r="H14" s="6">
        <v>11635</v>
      </c>
      <c r="I14" s="6">
        <v>283063</v>
      </c>
      <c r="J14" s="6"/>
      <c r="K14" s="6">
        <v>10489</v>
      </c>
      <c r="L14" s="6">
        <v>126503</v>
      </c>
      <c r="M14" s="6"/>
      <c r="N14" s="3">
        <v>86</v>
      </c>
      <c r="O14" s="3">
        <v>801</v>
      </c>
      <c r="P14" s="3"/>
      <c r="Q14" s="6">
        <v>8244</v>
      </c>
      <c r="R14" s="6">
        <v>137645</v>
      </c>
    </row>
    <row r="15" spans="1:18" x14ac:dyDescent="0.3">
      <c r="A15" t="s">
        <v>200</v>
      </c>
    </row>
    <row r="16" spans="1:18" x14ac:dyDescent="0.3">
      <c r="A16" t="s">
        <v>201</v>
      </c>
    </row>
    <row r="17" spans="1:1" x14ac:dyDescent="0.3">
      <c r="A17" t="s">
        <v>116</v>
      </c>
    </row>
  </sheetData>
  <mergeCells count="12">
    <mergeCell ref="P2:P3"/>
    <mergeCell ref="Q2:R2"/>
    <mergeCell ref="A2:A3"/>
    <mergeCell ref="B2:C2"/>
    <mergeCell ref="D2:D3"/>
    <mergeCell ref="E2:F2"/>
    <mergeCell ref="G2:G3"/>
    <mergeCell ref="H2:I2"/>
    <mergeCell ref="J2:J3"/>
    <mergeCell ref="K2:L2"/>
    <mergeCell ref="M2:M3"/>
    <mergeCell ref="N2:O2"/>
  </mergeCells>
  <pageMargins left="0.7" right="0.7" top="0.75" bottom="0.75" header="0.3" footer="0.3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tabColor rgb="FF92D050"/>
  </sheetPr>
  <dimension ref="A1:C16"/>
  <sheetViews>
    <sheetView showGridLines="0" workbookViewId="0">
      <selection activeCell="J16" sqref="J16"/>
    </sheetView>
  </sheetViews>
  <sheetFormatPr baseColWidth="10" defaultColWidth="8.6640625" defaultRowHeight="14.4" x14ac:dyDescent="0.3"/>
  <cols>
    <col min="1" max="1" width="33" bestFit="1" customWidth="1"/>
    <col min="2" max="2" width="23.44140625" bestFit="1" customWidth="1"/>
    <col min="3" max="3" width="30.44140625" bestFit="1" customWidth="1"/>
    <col min="4" max="4" width="51.6640625" bestFit="1" customWidth="1"/>
  </cols>
  <sheetData>
    <row r="1" spans="1:3" x14ac:dyDescent="0.3">
      <c r="A1" s="1" t="s">
        <v>117</v>
      </c>
      <c r="B1" s="1"/>
      <c r="C1" s="1"/>
    </row>
    <row r="2" spans="1:3" x14ac:dyDescent="0.3">
      <c r="A2" s="3" t="s">
        <v>38</v>
      </c>
      <c r="B2" s="3" t="s">
        <v>118</v>
      </c>
      <c r="C2" s="3" t="s">
        <v>119</v>
      </c>
    </row>
    <row r="3" spans="1:3" x14ac:dyDescent="0.3">
      <c r="A3" t="s">
        <v>198</v>
      </c>
      <c r="B3" s="5">
        <v>2465</v>
      </c>
      <c r="C3" s="5">
        <v>119317</v>
      </c>
    </row>
    <row r="4" spans="1:3" x14ac:dyDescent="0.3">
      <c r="A4" t="s">
        <v>108</v>
      </c>
      <c r="B4" s="5">
        <v>7124</v>
      </c>
      <c r="C4" s="5">
        <v>441145</v>
      </c>
    </row>
    <row r="5" spans="1:3" x14ac:dyDescent="0.3">
      <c r="A5" t="s">
        <v>109</v>
      </c>
      <c r="B5" s="5">
        <v>2203</v>
      </c>
      <c r="C5" s="5">
        <v>127275</v>
      </c>
    </row>
    <row r="6" spans="1:3" x14ac:dyDescent="0.3">
      <c r="A6" t="s">
        <v>110</v>
      </c>
      <c r="B6" s="5">
        <v>3052</v>
      </c>
      <c r="C6" s="5">
        <v>40999</v>
      </c>
    </row>
    <row r="7" spans="1:3" x14ac:dyDescent="0.3">
      <c r="A7" t="s">
        <v>111</v>
      </c>
      <c r="B7" s="5">
        <v>1530</v>
      </c>
      <c r="C7" s="5">
        <v>31138</v>
      </c>
    </row>
    <row r="8" spans="1:3" x14ac:dyDescent="0.3">
      <c r="A8" t="s">
        <v>112</v>
      </c>
      <c r="B8">
        <v>889</v>
      </c>
      <c r="C8" s="5">
        <v>26984</v>
      </c>
    </row>
    <row r="9" spans="1:3" x14ac:dyDescent="0.3">
      <c r="A9" t="s">
        <v>199</v>
      </c>
      <c r="B9">
        <v>99</v>
      </c>
      <c r="C9" s="5">
        <v>5985</v>
      </c>
    </row>
    <row r="10" spans="1:3" x14ac:dyDescent="0.3">
      <c r="A10" t="s">
        <v>113</v>
      </c>
      <c r="B10" s="5">
        <v>4411</v>
      </c>
      <c r="C10" s="5">
        <v>70013</v>
      </c>
    </row>
    <row r="11" spans="1:3" x14ac:dyDescent="0.3">
      <c r="A11" t="s">
        <v>114</v>
      </c>
      <c r="B11">
        <v>804</v>
      </c>
      <c r="C11" s="5">
        <v>13305</v>
      </c>
    </row>
    <row r="12" spans="1:3" x14ac:dyDescent="0.3">
      <c r="A12" t="s">
        <v>115</v>
      </c>
      <c r="B12" s="5">
        <v>18416</v>
      </c>
      <c r="C12" s="5">
        <v>332266</v>
      </c>
    </row>
    <row r="13" spans="1:3" x14ac:dyDescent="0.3">
      <c r="A13" s="14" t="s">
        <v>29</v>
      </c>
      <c r="B13" s="12">
        <v>40993</v>
      </c>
      <c r="C13" s="12">
        <v>1208427</v>
      </c>
    </row>
    <row r="14" spans="1:3" x14ac:dyDescent="0.3">
      <c r="A14" t="s">
        <v>202</v>
      </c>
      <c r="B14" s="5"/>
      <c r="C14" s="5"/>
    </row>
    <row r="15" spans="1:3" x14ac:dyDescent="0.3">
      <c r="A15" t="s">
        <v>201</v>
      </c>
    </row>
    <row r="16" spans="1:3" x14ac:dyDescent="0.3">
      <c r="A16" t="s">
        <v>116</v>
      </c>
    </row>
  </sheetData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INDICE</vt:lpstr>
      <vt:lpstr>M4-009</vt:lpstr>
      <vt:lpstr>M4-011</vt:lpstr>
      <vt:lpstr>M4-014</vt:lpstr>
      <vt:lpstr>M4-015</vt:lpstr>
      <vt:lpstr>M4-017</vt:lpstr>
      <vt:lpstr>M4-020</vt:lpstr>
      <vt:lpstr>M4-022</vt:lpstr>
      <vt:lpstr>M4-049</vt:lpstr>
      <vt:lpstr>M4-050</vt:lpstr>
      <vt:lpstr>M4-051</vt:lpstr>
      <vt:lpstr>M4-058</vt:lpstr>
      <vt:lpstr>M4-066</vt:lpstr>
      <vt:lpstr>M4-079</vt:lpstr>
      <vt:lpstr>Coyuntura1</vt:lpstr>
      <vt:lpstr>Coyuntura2</vt:lpstr>
      <vt:lpstr>Coyuntura3</vt:lpstr>
      <vt:lpstr>Coyuntura4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Creator;Andres Durán</dc:creator>
  <cp:keywords/>
  <dc:description/>
  <cp:lastModifiedBy>felipe caudillo</cp:lastModifiedBy>
  <dcterms:created xsi:type="dcterms:W3CDTF">2025-05-06T17:57:25Z</dcterms:created>
  <dcterms:modified xsi:type="dcterms:W3CDTF">2026-06-18T22:47:31Z</dcterms:modified>
  <cp:category/>
</cp:coreProperties>
</file>
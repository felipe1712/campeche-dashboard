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https://d.docs.live.net/9fa90e3ca4227a55/Escritorio/QUINTO INFORME DE GOBIERNO/TABLAS/"/>
    </mc:Choice>
  </mc:AlternateContent>
  <xr:revisionPtr revIDLastSave="0" documentId="8_{A2801150-744D-4433-91F8-C714F2F378F2}" xr6:coauthVersionLast="47" xr6:coauthVersionMax="47" xr10:uidLastSave="{00000000-0000-0000-0000-000000000000}"/>
  <bookViews>
    <workbookView xWindow="28680" yWindow="-120" windowWidth="29040" windowHeight="15720" tabRatio="949" activeTab="50" xr2:uid="{00000000-000D-0000-FFFF-FFFF00000000}"/>
  </bookViews>
  <sheets>
    <sheet name="Índice" sheetId="1" r:id="rId1"/>
    <sheet name="M2-055-Objetos puestos a dispos" sheetId="96" r:id="rId2"/>
    <sheet name="M2-001 - Número de operativos 1" sheetId="5" r:id="rId3"/>
    <sheet name="M2-002 - Acciones de proximid 1" sheetId="7" r:id="rId4"/>
    <sheet name="M2-003 - Acciones de proximid 1" sheetId="9" r:id="rId5"/>
    <sheet name="M2-004 - Conformación de rede 1" sheetId="11" r:id="rId6"/>
    <sheet name="M2-005 - Visitas realizadas por" sheetId="13" r:id="rId7"/>
    <sheet name="M2-006 - Número de acciones e 1" sheetId="15" r:id="rId8"/>
    <sheet name="M2-007 - Acciones y productos 1" sheetId="17" r:id="rId9"/>
    <sheet name="M2-008 - Personas puestas a d 1" sheetId="19" r:id="rId10"/>
    <sheet name="M2-009 - Personas puestas a d 1" sheetId="21" r:id="rId11"/>
    <sheet name="M2-010 - Puestas a disposició 1" sheetId="23" r:id="rId12"/>
    <sheet name="M2-011 - Actividades realizad 1" sheetId="25" r:id="rId13"/>
    <sheet name="M2-012 - Evolución mensual de 1" sheetId="27" r:id="rId14"/>
    <sheet name="M2-013 - Evolución mensual de 1" sheetId="29" r:id="rId15"/>
    <sheet name="M2-014 - Cursos y personas in 1" sheetId="31" r:id="rId16"/>
    <sheet name="M2-015 - Licencias de manejo  1" sheetId="33" r:id="rId17"/>
    <sheet name="M2-016 - Infracciones de trán 1" sheetId="35" r:id="rId18"/>
    <sheet name="M2-018 - Acciones de evaluaci 1" sheetId="38" r:id="rId19"/>
    <sheet name="M2-019 - Carpetas de investig 1" sheetId="40" r:id="rId20"/>
    <sheet name="M2-020 - Número de participan 1" sheetId="42" r:id="rId21"/>
    <sheet name="M2-021 - Total de denuncias,  1" sheetId="44" r:id="rId22"/>
    <sheet name="M2-022 - Tipo de atención que 1" sheetId="46" r:id="rId23"/>
    <sheet name="M2-023 - Forma de inicio de l 1" sheetId="48" r:id="rId24"/>
    <sheet name="M2-024 - Determinaciones mini 1" sheetId="50" r:id="rId25"/>
    <sheet name="M2-025 - Proceso de las car FGE" sheetId="98" r:id="rId26"/>
    <sheet name="M2-026 - Medios alternativos  1" sheetId="54" r:id="rId27"/>
    <sheet name="M2-027 Órdenes de Aprehensión " sheetId="3" r:id="rId28"/>
    <sheet name="M2-028 - Gestión de la Comisi 1" sheetId="57" r:id="rId29"/>
    <sheet name="M2-029 - Total de medidas de  1" sheetId="59" r:id="rId30"/>
    <sheet name="M2-030 - Acciones y personas  1" sheetId="61" r:id="rId31"/>
    <sheet name="M2-031 - Personas beneficiada 1" sheetId="63" r:id="rId32"/>
    <sheet name="M2-032 - Personas beneficiadas." sheetId="64" r:id="rId33"/>
    <sheet name="M2-033 - Personas evaluadas en." sheetId="66" r:id="rId34"/>
    <sheet name="M2-034 - Puntos de monitoreo ve" sheetId="67" r:id="rId35"/>
    <sheet name="M2-035 - Constancias de inscrip" sheetId="68" r:id="rId36"/>
    <sheet name="M2-036 - Registros inscritos y." sheetId="69" r:id="rId37"/>
    <sheet name="M2-037 - Inversión para el equi" sheetId="86" r:id="rId38"/>
    <sheet name="M2-038 - Inversión para el equi" sheetId="87" r:id="rId39"/>
    <sheet name="M2-039 - Inversión para el Fort" sheetId="88" r:id="rId40"/>
    <sheet name="M2-040 - Inversión para el fort" sheetId="89" r:id="rId41"/>
    <sheet name="M2-041 - Inversión para la prof" sheetId="90" r:id="rId42"/>
    <sheet name="M2-042 - Inversión en el Progra" sheetId="91" r:id="rId43"/>
    <sheet name="M2-043 - Inversión en los Progr" sheetId="92" r:id="rId44"/>
    <sheet name="M2-044 - Inversión para el Sist" sheetId="93" r:id="rId45"/>
    <sheet name="M2-045 - Inversión para el equi" sheetId="94" r:id="rId46"/>
    <sheet name="M2-046 - Resumen de la inversió" sheetId="95" r:id="rId47"/>
    <sheet name="M2-047 - Capacidad instalada  1" sheetId="71" r:id="rId48"/>
    <sheet name="M2-048 - Personas privadas de l" sheetId="72" r:id="rId49"/>
    <sheet name="M2-049 - Población en los Cen 1" sheetId="75" r:id="rId50"/>
    <sheet name="M2-050-Acciones de capacitacion" sheetId="99" r:id="rId51"/>
    <sheet name="M2-051 - Personas capacitadas 1" sheetId="79" r:id="rId52"/>
    <sheet name="M2-052 - Número de servicios  1" sheetId="81" r:id="rId53"/>
    <sheet name="M2-053 - Número de servicios  1" sheetId="83" r:id="rId54"/>
    <sheet name="M2-054 - Dictámenes emitidos  1" sheetId="85" r:id="rId55"/>
  </sheets>
  <definedNames>
    <definedName name="_xlnm._FilterDatabase" localSheetId="0" hidden="1">Índice!$B$1:$E$55</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7" i="68" l="1"/>
  <c r="D7" i="68"/>
  <c r="B7" i="68"/>
  <c r="C35" i="75" l="1"/>
  <c r="D35" i="75"/>
  <c r="B35" i="75"/>
  <c r="C14" i="69" l="1"/>
  <c r="B14" i="69"/>
  <c r="C14" i="64" l="1"/>
  <c r="B14" i="64"/>
  <c r="D14" i="64"/>
  <c r="D15" i="63"/>
  <c r="C15" i="63"/>
  <c r="B15" i="63"/>
  <c r="C17" i="61"/>
  <c r="D17" i="61"/>
  <c r="B17" i="61"/>
  <c r="E15" i="57"/>
  <c r="D15" i="57"/>
  <c r="C15" i="57"/>
  <c r="B15" i="57"/>
  <c r="E11" i="57"/>
  <c r="D11" i="57"/>
  <c r="C11" i="57"/>
  <c r="B11" i="57"/>
  <c r="E7" i="57"/>
  <c r="D7" i="57"/>
  <c r="C7" i="57"/>
  <c r="B7" i="57"/>
  <c r="C3" i="57"/>
  <c r="D3" i="57"/>
  <c r="E3" i="57"/>
  <c r="B3" i="57"/>
  <c r="C15" i="3"/>
  <c r="B15" i="3"/>
  <c r="D25" i="50"/>
  <c r="C16" i="40" l="1"/>
  <c r="D16" i="40"/>
  <c r="E16" i="40"/>
  <c r="B16" i="40"/>
  <c r="D17" i="33" l="1"/>
  <c r="E17" i="33"/>
  <c r="C17" i="33"/>
  <c r="B17" i="33"/>
  <c r="C16" i="31"/>
  <c r="D16" i="31"/>
  <c r="F16" i="31"/>
  <c r="G16" i="31"/>
  <c r="H16" i="31"/>
  <c r="B16" i="31"/>
  <c r="H16" i="23"/>
  <c r="C16" i="23"/>
  <c r="D16" i="23"/>
  <c r="E16" i="23"/>
  <c r="F16" i="23"/>
  <c r="G16" i="23"/>
  <c r="B16" i="23"/>
  <c r="D16" i="21"/>
  <c r="C16" i="21"/>
  <c r="B16" i="21"/>
  <c r="C15" i="11"/>
  <c r="B15" i="11"/>
</calcChain>
</file>

<file path=xl/sharedStrings.xml><?xml version="1.0" encoding="utf-8"?>
<sst xmlns="http://schemas.openxmlformats.org/spreadsheetml/2006/main" count="1185" uniqueCount="664">
  <si>
    <t>#</t>
  </si>
  <si>
    <t>Clave</t>
  </si>
  <si>
    <t>Título</t>
  </si>
  <si>
    <t>Dependencia</t>
  </si>
  <si>
    <t>Objetos puestos a disposición por la Unidad K9, 2025.</t>
  </si>
  <si>
    <t>SPSC</t>
  </si>
  <si>
    <t xml:space="preserve">Órdenes de Aprehensión y Detención, 2025.	OTRA </t>
  </si>
  <si>
    <t>FGECAM</t>
  </si>
  <si>
    <t>M2-001</t>
  </si>
  <si>
    <t xml:space="preserve">Número de operativos implementados por la Policía Estatal, 2025.	</t>
  </si>
  <si>
    <t>M2-002</t>
  </si>
  <si>
    <t xml:space="preserve">Acciones de proximidad del Código Jaguar por mes, 2025.	</t>
  </si>
  <si>
    <t>M2-003</t>
  </si>
  <si>
    <t>Acciones de proximidad de la Policía Estatal, 2025.</t>
  </si>
  <si>
    <t>M2-004</t>
  </si>
  <si>
    <t xml:space="preserve">Conformación de redes vecinales y asistentes  por municipio, 2025.		</t>
  </si>
  <si>
    <t>M2-005</t>
  </si>
  <si>
    <t xml:space="preserve">Visitas realizadas por Seguimiento Zazil por municipio, 2025.	</t>
  </si>
  <si>
    <t>M2-006</t>
  </si>
  <si>
    <t>Número de acciones en atención a víctimas por tipo, 2025.</t>
  </si>
  <si>
    <t>M2-007</t>
  </si>
  <si>
    <t xml:space="preserve">Acciones y productos de investigación e inteligencia policial, 2025.	</t>
  </si>
  <si>
    <t>M2-008</t>
  </si>
  <si>
    <t xml:space="preserve">Personas puestas a disposición de presuntos delitos por municipio según sexo, 2025.			</t>
  </si>
  <si>
    <t>M2-009</t>
  </si>
  <si>
    <t>Personas puestas a disposición de presuntas faltas cívicas por municipio según sexo, 2025.</t>
  </si>
  <si>
    <t>M2-010</t>
  </si>
  <si>
    <t xml:space="preserve">Puestas a disposición de  infractores por municipio según tipo de faltas administrativas o cívicas, 2025.			</t>
  </si>
  <si>
    <t>M2-011</t>
  </si>
  <si>
    <t>Actividades realizadas por los caninos  K9, 2025.</t>
  </si>
  <si>
    <t>M2-012</t>
  </si>
  <si>
    <t>Evolución mensual de servicios de atención de llamadas de denuncia anónima 089 según tipo de llamada, 2025.</t>
  </si>
  <si>
    <t>M2-013</t>
  </si>
  <si>
    <t>Evolución mensual del servicio de atención de llamadas de emergencia 911 según tipo de llamada, 2025.</t>
  </si>
  <si>
    <t>M2-014</t>
  </si>
  <si>
    <t>Cursos y personas inscritas en capacitación de educación vial por mes según tipo de conductor, 2025.</t>
  </si>
  <si>
    <t>M2-015</t>
  </si>
  <si>
    <t>Licencias de manejo emitidas por municipio según tipo de licencia, 2025.</t>
  </si>
  <si>
    <t>M2-016</t>
  </si>
  <si>
    <t>Infracciones de tránsito por mes, 2025.</t>
  </si>
  <si>
    <t>M2-018</t>
  </si>
  <si>
    <t>Acciones de evaluación y supervisión de medidas cautelares y suspensión condicional del proceso por mes, 2025.</t>
  </si>
  <si>
    <t>M2-019</t>
  </si>
  <si>
    <t>Carpetas de investigación sobre la actuación policial según tipo de inicio, 2025.</t>
  </si>
  <si>
    <t>M2-020</t>
  </si>
  <si>
    <t>Número de participantes en cursos impartidos en materia de Seguridad Pública por el Centro de Estudios en Seguridad Pública, 2025.</t>
  </si>
  <si>
    <t>M2-021</t>
  </si>
  <si>
    <t>Total de denuncias, querellas y otras notificaciones hechas del conocimiento del ministerio público durante el año, 2025.</t>
  </si>
  <si>
    <t>M2-022</t>
  </si>
  <si>
    <t>Tipo de atención que recibieron las denuncias o querellas que fueron atendidas de alguna forma distinta a la apertura de una carpeta de investigación durante el año, 2025.</t>
  </si>
  <si>
    <t>M2-023</t>
  </si>
  <si>
    <t>Forma de inicio de las carpetas de investigación iniciadas durante el año, 2025.</t>
  </si>
  <si>
    <t>M2-024</t>
  </si>
  <si>
    <t xml:space="preserve">Determinaciones ministeriales emitidas durante el año (con independencia de la fecha de inicio de la carpeta de investigación), 2025. </t>
  </si>
  <si>
    <t>M2-025</t>
  </si>
  <si>
    <t xml:space="preserve">Proceso de las carpetas de investigación, 2025. </t>
  </si>
  <si>
    <t>M2-026</t>
  </si>
  <si>
    <t>Medios alternativos de solución de controversias (MASC), 2025.</t>
  </si>
  <si>
    <t>M2-027</t>
  </si>
  <si>
    <t>M2-028</t>
  </si>
  <si>
    <t>COMBUSPER</t>
  </si>
  <si>
    <t>Gestión de la Comisión Local de Búsqueda según acciones realizadas, 2022-2025.</t>
  </si>
  <si>
    <t>M2-029</t>
  </si>
  <si>
    <t>Total de medidas de protección solicitadas al ministerio público del fuero común con independencia de la fecha de inicio de los procedimientos registrados en las carpetas de investigación, 2025.</t>
  </si>
  <si>
    <t>M2-030</t>
  </si>
  <si>
    <t>Acciones y personas atendidas en prevención social del delito realizadas por municipio, 2025.</t>
  </si>
  <si>
    <t>CESP</t>
  </si>
  <si>
    <t>M2-031</t>
  </si>
  <si>
    <t>Personas beneficiadas en la campaña de prevención de abuso sexual infantil "Este Juego No Es Bonito" por municipio , 2025.</t>
  </si>
  <si>
    <t>M2-032</t>
  </si>
  <si>
    <t>Personas beneficiadas con campañas de prevención de acoso escolar por municipio, 2025.</t>
  </si>
  <si>
    <t>M2-033</t>
  </si>
  <si>
    <t>Personas evaluadas en el proceso de evaluación de control de confianza, 2025.</t>
  </si>
  <si>
    <t>M2-034</t>
  </si>
  <si>
    <t>Puntos de monitoreo vehicular instalados y vehículos asegurados por alertamiento de los puntos de monitoreo, 2022 - 2025</t>
  </si>
  <si>
    <t>M2-035</t>
  </si>
  <si>
    <t>Constancias de inscripción colocadas y actualizadas para la identificación y control del parque vehicular en el Estado, 2025.</t>
  </si>
  <si>
    <t>M2-036</t>
  </si>
  <si>
    <t>Registros inscritos y actualizados en las bases de datos estatales y nacionales de seguridad pública, por bases de datos, según tipo de registro, 2025.</t>
  </si>
  <si>
    <t>M2-047</t>
  </si>
  <si>
    <t>Subsecretaría del Sistema Penitenciario, Prevención y Reinserción Social del Estado</t>
  </si>
  <si>
    <t>Capacidad instalada y personas privadas de su libertad por Centros Penitenciarios y Centro de Internamiento para Adolescentes, 2025.</t>
  </si>
  <si>
    <t>M2-048</t>
  </si>
  <si>
    <t>Personas privadas de la libertad de los Centros Penitenciarios y el Centro de Internamiento para Adolescentes que se encuentran cursando un programa y/o grado académico educativo, 2025.</t>
  </si>
  <si>
    <t>M2-049</t>
  </si>
  <si>
    <t>Población en los Centros Penitenciarios y Centro de Internamiento para Adolescentes por tipo de delito, 2025.</t>
  </si>
  <si>
    <t>M2-050</t>
  </si>
  <si>
    <t>Acciones de capacitación a la población privada de su libertad en los Centros Penitenciarios y Centro de internamiento del Estado, 2025.</t>
  </si>
  <si>
    <t>M2-051</t>
  </si>
  <si>
    <t>SEPROCI</t>
  </si>
  <si>
    <t>Personas capacitadas en materia de Protección Civil por rubro, 2025.</t>
  </si>
  <si>
    <t>M2-052</t>
  </si>
  <si>
    <t>Número de servicios de emergencia realizados por concepto según mes, 2025. (1)</t>
  </si>
  <si>
    <t>M2-053</t>
  </si>
  <si>
    <t xml:space="preserve">Número de servicios de emergencia realizados por concepto según mes, 2025. (2)						</t>
  </si>
  <si>
    <t>M2-054</t>
  </si>
  <si>
    <t>Dictámenes emitidos en materia de Protección Civil por nivel, 2022-2025.</t>
  </si>
  <si>
    <t xml:space="preserve">TIPO DE OBJETO </t>
  </si>
  <si>
    <t xml:space="preserve">FORMA DE PRESENTACIÓN </t>
  </si>
  <si>
    <t>Notas</t>
  </si>
  <si>
    <t>Armas de fuego</t>
  </si>
  <si>
    <t>Piezas</t>
  </si>
  <si>
    <t>Cocaína</t>
  </si>
  <si>
    <t>Dosis</t>
  </si>
  <si>
    <t>Marihuana</t>
  </si>
  <si>
    <t>Bolsas de gomitas</t>
  </si>
  <si>
    <t>Bolsas con cierre tipo zipper</t>
  </si>
  <si>
    <t>Cigarros</t>
  </si>
  <si>
    <t>Kilos</t>
  </si>
  <si>
    <t>Vaporizadores</t>
  </si>
  <si>
    <t>Municiones</t>
  </si>
  <si>
    <t>Cartuchos</t>
  </si>
  <si>
    <t>Otros opioides sintéticos</t>
  </si>
  <si>
    <t>Fuente: Gobierno del Estado de Campeche. Secretaría de Protección y Seguridad Ciudadana. 2026.</t>
  </si>
  <si>
    <t>MES</t>
  </si>
  <si>
    <t>RECIBIDAS a/</t>
  </si>
  <si>
    <t>CUMPLIDAS b/</t>
  </si>
  <si>
    <t>Enero</t>
  </si>
  <si>
    <t>Febrero</t>
  </si>
  <si>
    <t>Marzo</t>
  </si>
  <si>
    <t>Abril</t>
  </si>
  <si>
    <t>Mayo</t>
  </si>
  <si>
    <t>Junio</t>
  </si>
  <si>
    <t>Julio</t>
  </si>
  <si>
    <t>Agosto</t>
  </si>
  <si>
    <t>Septiembre</t>
  </si>
  <si>
    <t>Octubre</t>
  </si>
  <si>
    <t>Noviembre</t>
  </si>
  <si>
    <t>Diciembre</t>
  </si>
  <si>
    <t>Fuente: Gobierno del Estado de Campeche. Fiscalía General del Estado de Campeche. 2026.</t>
  </si>
  <si>
    <t>NOMBRE DEL OPERATIVO</t>
  </si>
  <si>
    <t xml:space="preserve"> OPERATIVOS</t>
  </si>
  <si>
    <t>Operativo interinstitucional</t>
  </si>
  <si>
    <t xml:space="preserve"> ACCIONES</t>
  </si>
  <si>
    <t>NOMBRE DE LA ACCIÓN</t>
  </si>
  <si>
    <t>ACCIONES</t>
  </si>
  <si>
    <t>Conformación de redes vecinales</t>
  </si>
  <si>
    <t>Pláticas de "Mujer Valiente"</t>
  </si>
  <si>
    <t>Reuniones vecinales, institucionales y escolares</t>
  </si>
  <si>
    <t>Talleres en escuelas y comunidades</t>
  </si>
  <si>
    <t>Eventos en escuelas, comunidades e instituciones</t>
  </si>
  <si>
    <t>Teatro guiñol (escuelas y comunidades)</t>
  </si>
  <si>
    <t>Recorridos a pie tierra en las colonias</t>
  </si>
  <si>
    <t>MUNICIPIO</t>
  </si>
  <si>
    <t>NÚMERO DE REDES</t>
  </si>
  <si>
    <t>ASISTENTES</t>
  </si>
  <si>
    <t>VISITAS</t>
  </si>
  <si>
    <t>TIPO</t>
  </si>
  <si>
    <t>Reportes atendidos</t>
  </si>
  <si>
    <t>Víctimas atendidas</t>
  </si>
  <si>
    <t>Traslados a víctimas</t>
  </si>
  <si>
    <t>Canalizaciones</t>
  </si>
  <si>
    <t>Acompañamiento a víctimas</t>
  </si>
  <si>
    <t>Órdenes y medidas de protección</t>
  </si>
  <si>
    <t>CONCEPTO</t>
  </si>
  <si>
    <t>Acciones</t>
  </si>
  <si>
    <t>Cursos, capacitaciones y talleres</t>
  </si>
  <si>
    <t>Investigaciones realizadas</t>
  </si>
  <si>
    <t>Remisiones administrativas</t>
  </si>
  <si>
    <t>Análisis de redes de vínculos</t>
  </si>
  <si>
    <t>Productos</t>
  </si>
  <si>
    <t>Gacetas</t>
  </si>
  <si>
    <t>Informes de logros institucionales por delitos de alto impacto</t>
  </si>
  <si>
    <t>Panoramas y balances operativos</t>
  </si>
  <si>
    <t>Reportes de robos atendidos</t>
  </si>
  <si>
    <t>Respuestas de oficios a diversas instituciones</t>
  </si>
  <si>
    <t>Tarjetas informativas realizadas</t>
  </si>
  <si>
    <t>Búsqueda de objetivos prioritarios</t>
  </si>
  <si>
    <t>Colaboraciones institucionales</t>
  </si>
  <si>
    <t>Colaboraciones interinstitucionales</t>
  </si>
  <si>
    <t>Oficios recibidos</t>
  </si>
  <si>
    <t>Puestas a disposición a Fiscalía</t>
  </si>
  <si>
    <t>Reuniones de trabajo interinstitucionales</t>
  </si>
  <si>
    <t>Expedientes de reportes relevantes</t>
  </si>
  <si>
    <t>Fichas delictivas</t>
  </si>
  <si>
    <t>Fichas técnicas</t>
  </si>
  <si>
    <t>Fichas de seguimiento</t>
  </si>
  <si>
    <t>Informes de investigación</t>
  </si>
  <si>
    <t>Reportes relevantes</t>
  </si>
  <si>
    <t>Requerimientos de investigación</t>
  </si>
  <si>
    <t>MUJERES</t>
  </si>
  <si>
    <t>HOMBRES</t>
  </si>
  <si>
    <t>TOTAL</t>
  </si>
  <si>
    <t xml:space="preserve">TOTAL </t>
  </si>
  <si>
    <t xml:space="preserve">MUNICIPIO </t>
  </si>
  <si>
    <t>AFECTACIÓN AL BIENESTAR COLECTIVO POR EL CONSUMO Y/O SUMINISTRO DE SUSTANCIAS NOCIVAS</t>
  </si>
  <si>
    <t>AFECTACIÓN A LA TRANQUILIDAD Y CONVIVENCIA SOCIAL</t>
  </si>
  <si>
    <t>AFECTACIÓN A LA SEGURIDAD CIUDADANA Y AL ORDEN PÚBLICO</t>
  </si>
  <si>
    <t>AFECTACIÓN A LA DIGNIDAD DE LAS PERSONAS</t>
  </si>
  <si>
    <t>AFECTACIÓN AL ENTORNO URBANO Y MEDIO AMBIENTE</t>
  </si>
  <si>
    <t>AFECTACIÓN A LA SEGURIDAD Y TRATO DIGNO DE LOS ANIMALES</t>
  </si>
  <si>
    <t>NÚMERO</t>
  </si>
  <si>
    <t>Autobuses verificados</t>
  </si>
  <si>
    <t>Pasajeros inspeccionados</t>
  </si>
  <si>
    <t>Visitas a paqueterías</t>
  </si>
  <si>
    <t xml:space="preserve">Inspección de paquetes </t>
  </si>
  <si>
    <t>Terminales de autobuses</t>
  </si>
  <si>
    <t xml:space="preserve">Visitas a terminales de autobuses
</t>
  </si>
  <si>
    <t>Terminales de combis</t>
  </si>
  <si>
    <t>Visitas a terminales de combis</t>
  </si>
  <si>
    <t>Vehículos inspeccionados</t>
  </si>
  <si>
    <t>Paquetes inspeccionados</t>
  </si>
  <si>
    <t>Filtros de seguridad</t>
  </si>
  <si>
    <t>Personas inspeccionadas</t>
  </si>
  <si>
    <t>Paqueterías</t>
  </si>
  <si>
    <t>Puestas a disposición</t>
  </si>
  <si>
    <t>Lugares varios</t>
  </si>
  <si>
    <t>RECIBIDAS</t>
  </si>
  <si>
    <t>REALES</t>
  </si>
  <si>
    <t>CANCELADAS</t>
  </si>
  <si>
    <t>REALES a/</t>
  </si>
  <si>
    <t>NÚMERO DE INFRACCIONES</t>
  </si>
  <si>
    <t>SUPERVISIÓN DE MEDIDA CAUTELAR b/</t>
  </si>
  <si>
    <t>SUPERVISIÓN DE LA SUSPENSIÓN CONDICIONAL DEL PROCESO</t>
  </si>
  <si>
    <t>CURSO</t>
  </si>
  <si>
    <t>Policía Estatal</t>
  </si>
  <si>
    <t>Justicia Cívica</t>
  </si>
  <si>
    <t>Especialización para Policía de Reacción</t>
  </si>
  <si>
    <t>Policía Municipal</t>
  </si>
  <si>
    <t>Protocolo para la atención a víctimas y grupos vulnerables</t>
  </si>
  <si>
    <t>Competencias básicas de la función policial</t>
  </si>
  <si>
    <t>Curso de protocolo de Estambul</t>
  </si>
  <si>
    <t>Diplomado de investigación criminal</t>
  </si>
  <si>
    <t>Diplomado en peritación de incidentes de vialidad terrestre</t>
  </si>
  <si>
    <t>Curso de protocolo de Minessota</t>
  </si>
  <si>
    <t>Curso de protocolo de derechos humanos y tortura</t>
  </si>
  <si>
    <t>Protocolo nacional de actuación, primer respondiente e informe policial homologado</t>
  </si>
  <si>
    <t>Diplomado de inteligencia policial</t>
  </si>
  <si>
    <t>Diplomado en audiencias para el policía preventivo</t>
  </si>
  <si>
    <t>Taller de conducción de vehículos terrestres</t>
  </si>
  <si>
    <t>Protocolo nacional de uso de la fuerza</t>
  </si>
  <si>
    <t>Formación inicial para policía estatal de proximidad (aspirante)</t>
  </si>
  <si>
    <t>Curso de policía cibernética. Nivel 0: "Prevención de delitos cibernéticos"</t>
  </si>
  <si>
    <t>Curso de policía cibernética. Nivel 1: "Atención ciudadana a delito cibernético e identificación y análisis de incidentes cibernéticos"</t>
  </si>
  <si>
    <t xml:space="preserve">CONCEPTO </t>
  </si>
  <si>
    <t xml:space="preserve">CANTIDAD </t>
  </si>
  <si>
    <t>Denuncias</t>
  </si>
  <si>
    <t>Querellas</t>
  </si>
  <si>
    <t>Otras formas de notificación (distintas a las anteriores)</t>
  </si>
  <si>
    <t>Acta circunstanciada</t>
  </si>
  <si>
    <t>Generación de manifestaciones de hechos no constitutivos de delitos</t>
  </si>
  <si>
    <t>Generación de constancia de indicios o evidencias de hechos presuntamente delictivos</t>
  </si>
  <si>
    <t>Canalización a autoridades administrativas, judiciales, instituciones del gobierno u otras</t>
  </si>
  <si>
    <t xml:space="preserve">Orientación </t>
  </si>
  <si>
    <t>Con persona detenida</t>
  </si>
  <si>
    <t>Sin persona detenida</t>
  </si>
  <si>
    <t>Mixta</t>
  </si>
  <si>
    <t>Acumulación</t>
  </si>
  <si>
    <t>Ejercicio de la acción penal (casos judicializados durante el año con independencia de la fecha de inicio de la carpeta de investigación)</t>
  </si>
  <si>
    <t>No ejercicio de la acción penal</t>
  </si>
  <si>
    <t>Archivo temporal</t>
  </si>
  <si>
    <t>Facultad de abstención de investigar</t>
  </si>
  <si>
    <t>Criterio de oportunidad</t>
  </si>
  <si>
    <t>Incompetencia</t>
  </si>
  <si>
    <t>Otras formas de determinación</t>
  </si>
  <si>
    <t>CONSIDERAR LAS SANGRIAS DE LOS SUBCONCEPTOS EN ESTA TABLA (SE MANEJARON CON UN ESPACIO).</t>
  </si>
  <si>
    <t xml:space="preserve">   Acuerdos reparatorios cumplidos, para los cuales se decretó la extinción de la acción penal</t>
  </si>
  <si>
    <t xml:space="preserve">   Por muerte de la persona imputada</t>
  </si>
  <si>
    <t xml:space="preserve">   Por perdón de la víctima u ofendido</t>
  </si>
  <si>
    <t xml:space="preserve">   Por extinción de la acción penal</t>
  </si>
  <si>
    <t xml:space="preserve">   Por prescripción de la acción penal</t>
  </si>
  <si>
    <t xml:space="preserve">   Por hechos no constitutivos de delito</t>
  </si>
  <si>
    <t xml:space="preserve">   Porque el hecho no se cometió</t>
  </si>
  <si>
    <t xml:space="preserve">   Porque la persona imputada está exenta de responsabilidad penal</t>
  </si>
  <si>
    <t xml:space="preserve">   Abstención de investigar porque los hechos no constituyeron un delito</t>
  </si>
  <si>
    <t xml:space="preserve">   Abstención de investigar por extinción de la acción penal</t>
  </si>
  <si>
    <t xml:space="preserve">   Incompetencia hacia otra Fiscalía/Procuraduría del fuero común (externa)</t>
  </si>
  <si>
    <t xml:space="preserve">   Incompetencia hacia el fuero federal (externa)</t>
  </si>
  <si>
    <t xml:space="preserve">CARPETAS </t>
  </si>
  <si>
    <t>Total de carpetas de investigación en trámite, es decir, que no recibieron algún tipo de determinación ministerial, al cierre del año (con independencia de la fecha de inicio de la carpeta de investigación)</t>
  </si>
  <si>
    <t>Total de carpetas de investigación reingresadas (reactivadas) del archivo temporal durante el año (con independencia de la fecha de inicio de la carpeta de investigación)</t>
  </si>
  <si>
    <t>CANTIDAD</t>
  </si>
  <si>
    <t>Total de carpetas de investigación derivadas a MASC durante el año (con independencia de la fecha de inicio de la carpeta de investigación)</t>
  </si>
  <si>
    <t>Número de acuerdos reparatorios aprobados por el ministerio público al cierre del año (con independencia de la fecha de inicio de la carpeta de investigación) y forma de cumplimiento</t>
  </si>
  <si>
    <t xml:space="preserve">   Inmediato</t>
  </si>
  <si>
    <t xml:space="preserve">   Diferido</t>
  </si>
  <si>
    <t>AÑO</t>
  </si>
  <si>
    <t>POBLACIÓN</t>
  </si>
  <si>
    <t>REPORTE DE PERSONAS DESAPARECIDAS</t>
  </si>
  <si>
    <t>PERSONAS LOCALIZADAS CON VIDA</t>
  </si>
  <si>
    <t>PERSONAS LOCALIZADAS SIN VIDA</t>
  </si>
  <si>
    <t>PERSONAS NO LOCALIZADAS</t>
  </si>
  <si>
    <t>Hombres</t>
  </si>
  <si>
    <t>Mujeres</t>
  </si>
  <si>
    <t>Niñas, niños y adolescentes</t>
  </si>
  <si>
    <t>Fuente: Gobierno del Estado de Campeche. Comisión Local de Búsqueda de Personas. 2026.</t>
  </si>
  <si>
    <t xml:space="preserve">MEDIDAS DE PROTECCIÓN </t>
  </si>
  <si>
    <t>Medidas de protección otorgadas por tipo de medida</t>
  </si>
  <si>
    <t>No otorgadas</t>
  </si>
  <si>
    <t xml:space="preserve">   Prohibición de acercarse o comunicarse con la víctima u ofendido</t>
  </si>
  <si>
    <t xml:space="preserve">   Limitación para asistir o acercarse al domicilio de la víctima u ofendido o al lugar donde se encuentre</t>
  </si>
  <si>
    <t xml:space="preserve">   Separación inmediata del domicilio</t>
  </si>
  <si>
    <t xml:space="preserve">   La entrega inmediata de objetos de uso personal y documentos de identidad de la víctima que tuviera en su posesión el probable responsable</t>
  </si>
  <si>
    <t xml:space="preserve">   La prohibición de realizar conductas de intimidación o molestia a la víctima u ofendido o a personas relacionados con ellos</t>
  </si>
  <si>
    <t xml:space="preserve">   Vigilancia en el domicilio de la víctima u ofendido</t>
  </si>
  <si>
    <t xml:space="preserve">   Protección policial de la víctima u ofendido</t>
  </si>
  <si>
    <t xml:space="preserve">   Auxilio inmediato por integrantes de instituciones policiales, al domicilio en donde se localice o se encuentre la víctima u ofendido en el momento de solicitarlo</t>
  </si>
  <si>
    <t xml:space="preserve">   Traslado de la víctima u ofendido a refugios o albergues temporales, así como de sus descendientes</t>
  </si>
  <si>
    <t xml:space="preserve">   El reingreso de la víctima u ofendido a su domicilio, una vez que se salvaguarde su seguridad</t>
  </si>
  <si>
    <t xml:space="preserve">   Otras</t>
  </si>
  <si>
    <t>Fuente: Gobierno del Estado de Campeche. Secretaría de Protección y Seguridad Ciudadana. Consejo Estatal de Seguridad Pública. 2026.</t>
  </si>
  <si>
    <t>ÁMBITO</t>
  </si>
  <si>
    <t>PERSONAS EVALUADAS</t>
  </si>
  <si>
    <t>Seguridad Pública Estatal</t>
  </si>
  <si>
    <t>Prevención y Readaptación Social</t>
  </si>
  <si>
    <t>Procuración de Justicia</t>
  </si>
  <si>
    <t>Seguridad Pública Municipal</t>
  </si>
  <si>
    <t>PUNTOS DE MONITOREO VEHÍCULAR RFID INSTALADOS a/</t>
  </si>
  <si>
    <t>PUNTOS DE MONITOREO VEHICULAR RFDI EN OPERACIÓN</t>
  </si>
  <si>
    <t>VEHICULOS ASEGURADOS POR ALERTAMIENTO DE LOS PUNTOS DE MONITOREO RFID b/</t>
  </si>
  <si>
    <t>MÓDULO</t>
  </si>
  <si>
    <t>VEHÍCULOS IDENTIFICADOS CON ALTERACIÓN EN EL PROCESO DE VERIFICACIÓN</t>
  </si>
  <si>
    <t>CONSTANCIAS INSCRITAS (COLOCADAS)</t>
  </si>
  <si>
    <t>CONSTANCIAS ACTUALIZADAS</t>
  </si>
  <si>
    <t>BASE DE DATOS</t>
  </si>
  <si>
    <t>REGISTROS INSCRITOS</t>
  </si>
  <si>
    <t>REGISTROS ACTUALIZADOS</t>
  </si>
  <si>
    <t>CENTRO PENITENCIARIO</t>
  </si>
  <si>
    <t>CAPACIDAD INSTALADA</t>
  </si>
  <si>
    <t>PERSONAS PRIVADAS DE SU LIBERTAD</t>
  </si>
  <si>
    <t>Centro Penitenciario Carmen</t>
  </si>
  <si>
    <t>Centro de Internamiento para Adolescentes</t>
  </si>
  <si>
    <t xml:space="preserve">Centro Penitenciario San Francisco Kobén </t>
  </si>
  <si>
    <t>Fuente: Gobierno del Estado de Campeche. Secretaría de Gobierno. Subsecretaría del Sistema Penitenciario, Prevención y Reinserción Social, 2026.</t>
  </si>
  <si>
    <t>PROGRAMA Y/O GRADO ACADÉMICO</t>
  </si>
  <si>
    <t>CENTRO PENITENCIARIO KOBÉN</t>
  </si>
  <si>
    <t xml:space="preserve">CENTRO DE INTERNAMIENTO PARA ADOLESCENTES </t>
  </si>
  <si>
    <t>Alfabetización</t>
  </si>
  <si>
    <t>Primaria</t>
  </si>
  <si>
    <t>Secundaria</t>
  </si>
  <si>
    <t>Preparatoria</t>
  </si>
  <si>
    <t>Educación No Formal</t>
  </si>
  <si>
    <t>Fuente: Gobierno del Estado de Campeche. Secretaría de Gobierno. Subsecretaría del Sistema Penitenciario, Prevención y Reinserción Social, 2025.</t>
  </si>
  <si>
    <t>DELITO</t>
  </si>
  <si>
    <t>Abuso sexual</t>
  </si>
  <si>
    <t>Delitos en materia de migración</t>
  </si>
  <si>
    <t>Delitos en materia de hidrocarburos y sus derivados</t>
  </si>
  <si>
    <t>Delitos en materia fiscal</t>
  </si>
  <si>
    <t>Delitos federales contra la salud relacionados con narcóticos</t>
  </si>
  <si>
    <t>Desaparición forzada</t>
  </si>
  <si>
    <t>Extorsión</t>
  </si>
  <si>
    <t>Falsificación</t>
  </si>
  <si>
    <t>Feminicidio</t>
  </si>
  <si>
    <t>Fraude</t>
  </si>
  <si>
    <t>Homicidio</t>
  </si>
  <si>
    <t>Incumplimiento de obligaciones familiares</t>
  </si>
  <si>
    <t>Lesiones</t>
  </si>
  <si>
    <t>Operaciones con recurso de procedencia ilícita</t>
  </si>
  <si>
    <t>Privación de la libertad</t>
  </si>
  <si>
    <t>Robo</t>
  </si>
  <si>
    <t>Secuestro</t>
  </si>
  <si>
    <t>Trata de personas</t>
  </si>
  <si>
    <t>Violación</t>
  </si>
  <si>
    <t>Violencia familiar</t>
  </si>
  <si>
    <t>CENTRO PENITENCIARIO SAN FRANCISCO KOBÉN</t>
  </si>
  <si>
    <t>CENTRO PENITENCIARIO CARMEN</t>
  </si>
  <si>
    <t xml:space="preserve">Otros delitos que atentan contra la vida y la integridad corporal
</t>
  </si>
  <si>
    <t>Delitos contra la administración de justicia</t>
  </si>
  <si>
    <t>Delitos en materia de vías de comunicación y correspondencia</t>
  </si>
  <si>
    <t xml:space="preserve">Delitos por hechos de corrupción </t>
  </si>
  <si>
    <t>Fuente: Gobierno del Estado de Campeche. Secretaría de Gobierno. Subsecretaría del Sistema Penitenciario, Prevención y Reinserción Social. 2026.</t>
  </si>
  <si>
    <t>CERESO/CAPACITACIÓN</t>
  </si>
  <si>
    <t>RUBRO</t>
  </si>
  <si>
    <t>CURSOS</t>
  </si>
  <si>
    <t>PERSONAS CAPACITADAS MUJERES</t>
  </si>
  <si>
    <t>PERSONAS CAPACITADAS HOMBRES</t>
  </si>
  <si>
    <t>Fuente: Gobierno del Estado de Campeche. Secretaría de Protección Civil. 2026.</t>
  </si>
  <si>
    <t xml:space="preserve">SERVICIOS </t>
  </si>
  <si>
    <t>ENERO</t>
  </si>
  <si>
    <t>FEBRERO</t>
  </si>
  <si>
    <t>MARZO</t>
  </si>
  <si>
    <t>ABRIL</t>
  </si>
  <si>
    <t>MAYO</t>
  </si>
  <si>
    <t>JUNIO</t>
  </si>
  <si>
    <t>JULIO</t>
  </si>
  <si>
    <t>AGOSTO</t>
  </si>
  <si>
    <t>SEPTIEMBRE</t>
  </si>
  <si>
    <t>OCTUBRE</t>
  </si>
  <si>
    <t>NOVIEMBRE</t>
  </si>
  <si>
    <t>DICIEMBRE</t>
  </si>
  <si>
    <t>DICTÁMENES</t>
  </si>
  <si>
    <t>Federal</t>
  </si>
  <si>
    <t>Estatal</t>
  </si>
  <si>
    <t>Particular</t>
  </si>
  <si>
    <t xml:space="preserve">Municipal </t>
  </si>
  <si>
    <t>Fuente:  Gobierno del Estado de Campeche. Secretaría de Protección Civil. 2026.</t>
  </si>
  <si>
    <t xml:space="preserve">Conformación de redes vecinales y asistentes por municipio, 2025.		</t>
  </si>
  <si>
    <t>M2-037</t>
  </si>
  <si>
    <t xml:space="preserve">Inversión para el equipamiento a diversas áreas que integran el Centro de Estudios en Seguridad Pública del Consejo Estatal de Seguridad Pública, Julio 2025 a junio 2026.	</t>
  </si>
  <si>
    <t>M2-038</t>
  </si>
  <si>
    <t>Inversión para el equipamiento de las instituciones en Seguridad Pública por concepto, Julio 2025 a junio 2026.</t>
  </si>
  <si>
    <t>M2-039</t>
  </si>
  <si>
    <t>Inversión para el Fortalecimiento del Sistema Penitenciario Nacional y de Ejecución de medidas para adolescentes por concepto, Julio 2025 a junio 2026.</t>
  </si>
  <si>
    <t>M2-040</t>
  </si>
  <si>
    <t>Inversión para el fortalecimiento de las Capacidades de Evaluación en Control de Confianza (C3), Julio 2025 a junio 2026.</t>
  </si>
  <si>
    <t>M2-041</t>
  </si>
  <si>
    <t>Inversión para la profesionalización y capacitación de los elementos policiales de Seguridad Pública por institución, Julio 2025 a junio 2026.</t>
  </si>
  <si>
    <t>M2-042</t>
  </si>
  <si>
    <t>Inversión en el Programa de Prevención de la Violencia y el Delito por institución ejecutora de fondos del Programa Nacional de Seguridad Pública, Julio 2025 a junio 2026.</t>
  </si>
  <si>
    <t>M2-043</t>
  </si>
  <si>
    <t>Inversión en los Programas de Seguimiento y Evaluación proveniente de fondos del Programa Nacional de Seguridad Pública, Julio 2025 a junio 2026.</t>
  </si>
  <si>
    <t>M2-044</t>
  </si>
  <si>
    <t xml:space="preserve">Inversión para el Sistema Nacional de Información, Julio 2025 a junio 2026.	</t>
  </si>
  <si>
    <t>M2-045</t>
  </si>
  <si>
    <t>Inversión para el equipamiento de unidades vehiculares por Entes y Entidades de la Administración Pública, financiados por fondos y subsidios del Programa Nacional de Seguridad Pública, Julio 2025 a junio 2026.</t>
  </si>
  <si>
    <t>M2-046</t>
  </si>
  <si>
    <t xml:space="preserve">Resumen de la inversión del Programa Nacional de Seguridad Pública por concepto, Julio 2025 a junio 2026.	</t>
  </si>
  <si>
    <t>Operación</t>
  </si>
  <si>
    <t>Equipamiento</t>
  </si>
  <si>
    <t>INVERSIÓN (PESOS)</t>
  </si>
  <si>
    <t>En proceso de cierre de ejercicio, por lo cual se están definiendo los conceptos y montos de inversión para este apartado.</t>
  </si>
  <si>
    <t>INVERSIÓN (FOFISP)  (PESOS)</t>
  </si>
  <si>
    <t>En proceso de cierre de ejercicio, por lo cual se están definiendo los concepto y montos de inversión...</t>
  </si>
  <si>
    <t>Diverso equipamiento</t>
  </si>
  <si>
    <t>En proceso de cierre de ejercicio.</t>
  </si>
  <si>
    <t>Fiscalía General del Estado</t>
  </si>
  <si>
    <t>Consejo Estatal de Seguridad Pública del Estado de Campeche</t>
  </si>
  <si>
    <t xml:space="preserve">Secretaría de Protección y Seguridad Ciudadana </t>
  </si>
  <si>
    <t>INSTITUCIÓN</t>
  </si>
  <si>
    <t>La inversión corresponde al Centro Estatal de Prevención Social del Delito y Participación Ciudadana (CEPREDECAM).</t>
  </si>
  <si>
    <t>Evaluación</t>
  </si>
  <si>
    <t>Seguimiento</t>
  </si>
  <si>
    <t>PROGRAMA</t>
  </si>
  <si>
    <t>En proceso de cierre de ejercicio, por lo que están definiendo los montos de inversión para cada uno.</t>
  </si>
  <si>
    <t>Diversos subprogramas</t>
  </si>
  <si>
    <t xml:space="preserve"> INVERSIÓN (PESOS)</t>
  </si>
  <si>
    <t>En proceso de cierre de ejercicio, por lo que se están definiendo las metas y montos de inversión.</t>
  </si>
  <si>
    <t>Centros Penitenciarios</t>
  </si>
  <si>
    <t>Fiscalía General del Estado (FGECAM)</t>
  </si>
  <si>
    <t>Secretaría de Protección y Seguridad Ciudadana (SPSC)</t>
  </si>
  <si>
    <t xml:space="preserve"> VEHÍCULOS</t>
  </si>
  <si>
    <t>INSTITUCIONES</t>
  </si>
  <si>
    <t>En proceso de cierre de ejercicio, por lo que se están definiendo los montos de inversión.</t>
  </si>
  <si>
    <t>Diversas áreas y subprogramas</t>
  </si>
  <si>
    <t>INVERSIÓN (FOFISP) (PESO)</t>
  </si>
  <si>
    <t>Nota: Los operativos de la Policía Estatal son medidas de prevención del delito en distintos lugares y situaciones, a fin de salvaguardar la integridad de los ciudadanos y sus bienes. Para 2025, el operativo "Guadalupe Reyes" se adhiere a "Navidad Segura" y concluye el operativo "Tren Maya" por finalización de obras.</t>
  </si>
  <si>
    <t>Nota: El Código Jaguar es una acción de proximidad que consiste en la visita del policía al domicilio, negocio o en el lugar donde se encuentre el ciudadano.</t>
  </si>
  <si>
    <t>Nota: Las acciones de proximidad son estrategias que tienen como objetivo promover la colaboración entre ciudadanía y policía.</t>
  </si>
  <si>
    <t>Nota: Las redes vecinales son ciudadanas y ciudadanos a través de los cuales la secretaría se encarga de monitorear la actividad e informar los servicios que ofrece la policía, además de brindar asesoría para la prevención del delito.</t>
  </si>
  <si>
    <t>Calakmul</t>
  </si>
  <si>
    <t>Calkiní</t>
  </si>
  <si>
    <t>Campeche</t>
  </si>
  <si>
    <t>Carmen</t>
  </si>
  <si>
    <t>Champotón</t>
  </si>
  <si>
    <t>Dzitbalché</t>
  </si>
  <si>
    <t>Escárcega</t>
  </si>
  <si>
    <t>Hecelchakán</t>
  </si>
  <si>
    <t>Hopelchén</t>
  </si>
  <si>
    <t>Palizada</t>
  </si>
  <si>
    <t>Seybaplaya</t>
  </si>
  <si>
    <t>Tenabo</t>
  </si>
  <si>
    <t xml:space="preserve">ESTADO </t>
  </si>
  <si>
    <t>Nota: El Seguimiento Zazil son acciones realizadas por el grupo policial denominado "Mujer Valiente", cuyo objetivo es procurar que las víctimas tramiten sus denuncias en completa tranquilidad, así como implementar medidas de protección a estas personas cuando así lo requieran.</t>
  </si>
  <si>
    <t>Nota: La atención de víctimas es una acción de proximidad que permite la recepción de denuncias por diversos medios, a fin de proporcionar asesoría para el manejo de crisis en situaciones de delitos del fuero común, así como otorgar el cuidado integral a las víctimas u ofendidos por los delitos en los diferentes tipos de victimización.</t>
  </si>
  <si>
    <t>Nota: Las acciones de investigación e inteligencia policial están encaminadas a generar productos que permitan establecer estrategias dirigidas a reducir las actividades delictivas, mediante el uso de herramientas tecnológicas.</t>
  </si>
  <si>
    <t>NÚMERO DE ACCIONES</t>
  </si>
  <si>
    <t>Candelaria</t>
  </si>
  <si>
    <t>Nota: Se refiere a las personas que han sido puestas a disposición de alguna autoridad competente, como la Fiscalía General del Estado de Campeche o Ministerios Públicos, por la comisión de un hecho probablemente delictivo.</t>
  </si>
  <si>
    <t xml:space="preserve">LUGAR/ACTIVIDAD </t>
  </si>
  <si>
    <t>Número de acciones de pie tierra a/</t>
  </si>
  <si>
    <t>Reportes verificados en pie tierra a/</t>
  </si>
  <si>
    <t>Puestas a disposición en pie tierra a/</t>
  </si>
  <si>
    <t>Número de exhibiciones b/</t>
  </si>
  <si>
    <t>Personas participantes en exhibiciones b/</t>
  </si>
  <si>
    <t>Apoyos a Fiscalía y operativos conjuntos y/o extraordinarios c/</t>
  </si>
  <si>
    <t>a/ El pie tierra se refiere a la presencia física de los binomios, generalmente a pie o fuera de patrulla, en calles y parques de mayor afluencia del Centro Histórico para inhibir conductas delictivas y garantizar el orden público.</t>
  </si>
  <si>
    <t>b/ Las exhibiciones son demostraciones de obediencia, búsqueda de narcóticos y guardia de protección que se realizan en escuelas y otras instituciones, donde se destaca el entrenamiento y coordinación de los caninos con sus manejadores.</t>
  </si>
  <si>
    <t>c/ Se refiere a la coordinación interinstitucional que consiste en la colaboración estructurada que se realiza con otras instituciones, tales como el Servicio de Administración Fiscal del Estado de Campeche (SEAFI), la Secretaría de la Defensa Nacional (DEFENSA), Fiscalía General del Estado de Campeche (FGECAM), Guardia Nacional, Fiscalía General de la República (FGR), Secretaría de Medio Ambiente, Biodiversidad, Cambio Climático y Energía (SEMABICCE) que permite la atención de problemáticas públicas en distintos puntos de la geografía estatal.</t>
  </si>
  <si>
    <t>Nota: La unidad canina K9 colabora con distintas agrupaciones y corporaciones en la detección de estupefacientes, explosivos, rescate de personas, entre otras actividades.</t>
  </si>
  <si>
    <t>Nota: El servicio de denuncia anónima 089 atiende las llamadas sobre venta de droga, secuestro, pandillerismo, entre otros durante las 24 horas del día los 365 días del año.</t>
  </si>
  <si>
    <t xml:space="preserve">
a/ Las llamadas reales no corresponden al volumen de llamadas, sino al número de incidentes atendidos.</t>
  </si>
  <si>
    <t>Nota: El 911 es un servicio de atención telefónica donde se atienden llamadas de emergencias médicas, seguridad y protección civil.</t>
  </si>
  <si>
    <t>Nota: Debido a que la SPSC cuenta con un convenio con el H. Ayuntamiento de Campeche donde otorga las facultades para generar esta información, es el único municipio que presenta datos para este tabulado.</t>
  </si>
  <si>
    <t>Nota: La expedición de licencias de conducir está sustentada por el Título Cuarto de las Licencias y Permisos de Conducir del Reglamento de la Ley de Vialidad, Tránsito y Control Vehicular del Estado de Campeche.</t>
  </si>
  <si>
    <t xml:space="preserve">TIPO DE LICENCIA </t>
  </si>
  <si>
    <t xml:space="preserve">PERMISO MENOR AUTOMOVILISTA 		</t>
  </si>
  <si>
    <t>CHOFER</t>
  </si>
  <si>
    <t>AUTOMOVILISTA</t>
  </si>
  <si>
    <t>MOTOCICLISTA</t>
  </si>
  <si>
    <t>Nota: Las infracciones son aquellas acciones u omisiones que transgreden la normatividad en materia de tránsito y vialidad, señalada en los bandos municipales vigentes o la Ley de Justicia Cívica de Campeche.
         Las cifras reportadas corresponden al municipio de Campeche.</t>
  </si>
  <si>
    <t>b/ Consiste en el registro de actividades de la persona imputada mediante entrevistas, verificaciones domiciliarias o del lugar donde se encuentre, a fin de dar seguimiento y cumplimiento de las medidas cautelares.</t>
  </si>
  <si>
    <t>a/ Consiste en realizar acciones que permitan consolidar la información necesaria sobre la persona imputada, como su conducta y desempeño en el entorno laboral y social.</t>
  </si>
  <si>
    <t>Nota: Estas acciones tienen como misión evitar la sobrepoblación de los Centros de Reinserción Social con medidas de evaluación y supervisión a los imputados de un delito, distintas a la prisión preventiva.</t>
  </si>
  <si>
    <t xml:space="preserve">EVALUACIÓN DE RIESGO a/ </t>
  </si>
  <si>
    <t xml:space="preserve">FUERO FEDERAL </t>
  </si>
  <si>
    <t xml:space="preserve"> FUERO COMÚN</t>
  </si>
  <si>
    <t xml:space="preserve">Marihuana </t>
  </si>
  <si>
    <t xml:space="preserve"> Nota: Las carpetas de investigación sobre la actuación policial contienen la documentación que se recaba cuando se tiene conocimiento, por cualquier medio, de faltas administrativas o infracciones disciplinarias cometidas por los integrantes policiales.</t>
  </si>
  <si>
    <t>TIPO DE INICIO</t>
  </si>
  <si>
    <t xml:space="preserve"> ACTA</t>
  </si>
  <si>
    <t>QUEJA</t>
  </si>
  <si>
    <t>OFICIO</t>
  </si>
  <si>
    <t>TARJETA INFORMATIVA</t>
  </si>
  <si>
    <t xml:space="preserve"> </t>
  </si>
  <si>
    <t>PARTICIPANTES</t>
  </si>
  <si>
    <t>Nota: Cursos gestionados por la Unidad de Programas y Recursos Federales e impartidos en el Centro de Estudios en Seguridad Pública.</t>
  </si>
  <si>
    <t xml:space="preserve">Órdenes de Aprehensión y Detención, 2025.	</t>
  </si>
  <si>
    <t>b/ Los mandamientos judiciales cumplidos, son el resultado de los mandamientos librados y que se ejecutan en contra de las personas a los cuales se pone a disposición del Juez que lo requiere.</t>
  </si>
  <si>
    <t>a/ Los mandamientos judiciales librados o recibidos son solicitudes que efectúa el Ministerio Público al Juez de Control para la detención de una persona cuando: existen datos de prueba suficientes para determinar su probable responsabilidad, se resiste a comparecer ante la autoridad judicial, o se ha sustraído de la acción de la justicia.</t>
  </si>
  <si>
    <t>Nota: Los números reportados consideran las acciones de búsqueda realizadas tanto por los reportes recibidos, como las realizadas como parte del Programa Nacional de Búsqueda Generalizada del Gobierno Federal.</t>
  </si>
  <si>
    <t>Dzitbalche</t>
  </si>
  <si>
    <t>PERSONAS ATENDIDAS</t>
  </si>
  <si>
    <t>Nota: Acciones de difusión y orientación para la prevención del delito a través de pláticas, talleres, conferencias y teatro guiñol.</t>
  </si>
  <si>
    <t>PERSONAS BENEFICIADAS</t>
  </si>
  <si>
    <t>Nota: Teatro guiñol referente a la prevención de abuso sexual infantil.</t>
  </si>
  <si>
    <t>Nota: La campaña se refiere a teatro guiñol enfocado en mensajes de autocuidado para niñas y niños.</t>
  </si>
  <si>
    <t>a/ Contienen tecnología que leen las constancias del REPUVE de los vehículos, identificando cuando un vehículo tiene reporte de robo.</t>
  </si>
  <si>
    <t>b/ Son las cifras de los vehículos asegurados por las corporaciones policiales y que tienen reporte de robo detectado por los puntos de monitoreo o alertados por algún posible acto delictivo.</t>
  </si>
  <si>
    <t>Nota: Del 01 de enero al 31 de diciembre de 2025, se instalaron 2 Puntos de Monitoreo Vehicular y se aseguraron 108 vehículos con alertamiento.</t>
  </si>
  <si>
    <t>Puntos de monitoreo vehicular instalados y vehículos asegurados por alertamiento de los puntos de monitoreo, 2022 - 2025.</t>
  </si>
  <si>
    <t>Itinerante Campeche</t>
  </si>
  <si>
    <t>Itinerante Carmen</t>
  </si>
  <si>
    <t>NA</t>
  </si>
  <si>
    <t>Informe policial homologado</t>
  </si>
  <si>
    <t>Licencias de conducir</t>
  </si>
  <si>
    <t>Registro de mandamientos judiciales</t>
  </si>
  <si>
    <t>Registro de vehículos robados y recuperados</t>
  </si>
  <si>
    <t>Registro nacional de armamento y equipo</t>
  </si>
  <si>
    <t>Registro nacional de detenciones</t>
  </si>
  <si>
    <t>Registro nacional de huellas dactilares</t>
  </si>
  <si>
    <t>Registro nacional de información penitenciaria</t>
  </si>
  <si>
    <t>Registro nacional de personal de seguridad pública</t>
  </si>
  <si>
    <t>Registro público vehicular</t>
  </si>
  <si>
    <t>Sistema de administración de usuarios</t>
  </si>
  <si>
    <t>Allanamiento de morada</t>
  </si>
  <si>
    <t>Amenazas</t>
  </si>
  <si>
    <t xml:space="preserve">Contra la salud en su modalidad de narcomenudeo en su variante de posesión con fines de comercio </t>
  </si>
  <si>
    <t>Daño a la propiedad privada</t>
  </si>
  <si>
    <t>Delitos contra la salud relacionados con narcóticos en su modalidad de narcomenudeo</t>
  </si>
  <si>
    <t>Delitos de delincuencia organizada</t>
  </si>
  <si>
    <t>Delitos en materia de armas, explosivos y otros materiales destructivos</t>
  </si>
  <si>
    <t>Delitos en materia de armas y objetos prohibidos</t>
  </si>
  <si>
    <t>Accidentes varios</t>
  </si>
  <si>
    <t>Auxilio social y servicios diversos</t>
  </si>
  <si>
    <t>Atención a enjambres de abejas y avispas</t>
  </si>
  <si>
    <t>Conatos de incendios</t>
  </si>
  <si>
    <t>Fugas de cilindros gas L.P</t>
  </si>
  <si>
    <t>Incendio de casa habitación</t>
  </si>
  <si>
    <t>Incendio de comercio</t>
  </si>
  <si>
    <t>Incendio de vehículos</t>
  </si>
  <si>
    <t>Incendios de basura y maleza</t>
  </si>
  <si>
    <t>Rescate de animales</t>
  </si>
  <si>
    <t>Servicios improcedentes</t>
  </si>
  <si>
    <t>Servicios de eventos socio-organizativos</t>
  </si>
  <si>
    <t>Apoyo a simulacros</t>
  </si>
  <si>
    <t>Conatos de incendio</t>
  </si>
  <si>
    <t>Fugas de cilindro gas L.P</t>
  </si>
  <si>
    <t>Sensibilización y capacitación en materia de Protección Civil a niñas, niños y adolescentes</t>
  </si>
  <si>
    <t>Capacitación especial en autoprotección a mujeres en temas de Protección Civil</t>
  </si>
  <si>
    <t>Personas con discapacidad en temas de Protección Civil</t>
  </si>
  <si>
    <t>Capacitación a servidores públicos en temas de Protección Civil</t>
  </si>
  <si>
    <t>Capacitación a sociedad civil en temas de Protección Civil</t>
  </si>
  <si>
    <t>Campeche seguro</t>
  </si>
  <si>
    <t>Carnaval seguro</t>
  </si>
  <si>
    <t>Colonia segura</t>
  </si>
  <si>
    <t>Comercio seguro</t>
  </si>
  <si>
    <t>Cuadrante seguro</t>
  </si>
  <si>
    <t>Escuela segura</t>
  </si>
  <si>
    <t>Feria segura</t>
  </si>
  <si>
    <t>Navidad segura</t>
  </si>
  <si>
    <t>CURSOS IMPARTIDOS</t>
  </si>
  <si>
    <t>PERSONAS INSCRITA</t>
  </si>
  <si>
    <r>
      <t xml:space="preserve">NO SE PUEDE CAMBIAR EL TITULO NI LA REDACCIÓN DEL CONCEPTO </t>
    </r>
    <r>
      <rPr>
        <sz val="11"/>
        <color rgb="FFFF0000"/>
        <rFont val="Calibri"/>
        <family val="2"/>
      </rPr>
      <t xml:space="preserve">TOTAL CANTIDAD </t>
    </r>
    <r>
      <rPr>
        <sz val="11"/>
        <rFont val="Calibri"/>
        <family val="2"/>
      </rPr>
      <t xml:space="preserve">DEBIDO A QUE SON OBSERVACIONES DE ESTRUCTURA DE TABLA, MISMA QUE YA HA SIDO VALIDADA PREVIAMENTE Y YA NO PUEDE SER MODIFICADA. 
</t>
    </r>
  </si>
  <si>
    <t xml:space="preserve">   Por otra causa</t>
  </si>
  <si>
    <t xml:space="preserve">   Incompetencia hacia otra unidad de la misma Fiscalía/Procuraduría (interna)</t>
  </si>
  <si>
    <t xml:space="preserve">OBSERVACIONES </t>
  </si>
  <si>
    <t xml:space="preserve">Aprobar la forma como se agruparon los conceptos. Preguntarle a la dependencia si esta deacuerdo con esa agrupación </t>
  </si>
  <si>
    <t xml:space="preserve">Considero necesario eliminar las columnas en 0, no tiene caso dejarlas pues estan en ceros. </t>
  </si>
  <si>
    <t xml:space="preserve">Validar el encabezado de la tbl, se cambio según la nota marcada en la tabla. </t>
  </si>
  <si>
    <t xml:space="preserve">Aclara la nota puesta en  la tbl. Si no es suma, no debería de tener sangrías o presentarla de otra forma, asi como esta confunde. </t>
  </si>
  <si>
    <t xml:space="preserve">Validar la fila de totales para omitir la nota. </t>
  </si>
  <si>
    <t xml:space="preserve">Validar eliminación de nota, pues no tiene caso porq esta en el total </t>
  </si>
  <si>
    <t xml:space="preserve">Validar la forma de presenciación, pues son muchas llamadas y para q se vea mejor la presentación de la tabla se hizo de esa manera. </t>
  </si>
  <si>
    <t>DEPENDENCIA VALIDACIÓN</t>
  </si>
  <si>
    <t>Se valida la nueva propuesta</t>
  </si>
  <si>
    <t>SE VALIDA LA TABLA CON EL CAMBIO REALIZADO</t>
  </si>
  <si>
    <t>PARA MAYO CLARIDAD, SE PROPONE INTEGRAR LAS DOS FILAS COMO PARTE DE LAS NOTAS DE LA TABLA, TAL COMO SE MUESTRA EN LA TABLA (ULTIMA PESTAÑA)</t>
  </si>
  <si>
    <t>Total de personas respecto de las cuales el ministerio público ejerció la acción penal (con independencia de la fecha de inicio de la carpeta de investigación) a/</t>
  </si>
  <si>
    <t>Total de carpetas de investigación en las cuales se ejerció la acción penal y su resultado (con independencia de la fecha en que fueron judicializados) b/</t>
  </si>
  <si>
    <t>a/ Incluyen 897 personas que fueron vinculadas a proceso</t>
  </si>
  <si>
    <t>Se anexa la tabla propuesta</t>
  </si>
  <si>
    <t>Se acepta la eliminación de columnas en 0</t>
  </si>
  <si>
    <t xml:space="preserve">Acciones de capacitación a la población privada de su libertad en los Centros Penitenciarios y Centro de internamiento para Adolescentes, 2025.	</t>
  </si>
  <si>
    <t>Centro Penitenciario San Francisco Kobén</t>
  </si>
  <si>
    <t>Comercialización Bazar Penitenciario bazar penitenciarios "Bazar Ka'síjil" e/ y m/</t>
  </si>
  <si>
    <t>Manualidades en general a/</t>
  </si>
  <si>
    <t>Cultora de belleza a/</t>
  </si>
  <si>
    <t>Tallado de madera a/</t>
  </si>
  <si>
    <t>Trabajos elaborados en madera (bisutería) a/</t>
  </si>
  <si>
    <t>Informática a/ y  d/</t>
  </si>
  <si>
    <t>Urdido de hamaca b/</t>
  </si>
  <si>
    <t>Alfarería b/</t>
  </si>
  <si>
    <t>Estilismo y diseño de imagen c/</t>
  </si>
  <si>
    <t>Tejiendo sueños: Elaboración de jabones, piñatas y artesanías en macramé f/</t>
  </si>
  <si>
    <t>Maquila "Construyendo mi libertad" e/ y m/</t>
  </si>
  <si>
    <t>Huertos y hortalizas j/</t>
  </si>
  <si>
    <t>Elaboración de composta m/</t>
  </si>
  <si>
    <t>Crianza de animales de granja m/</t>
  </si>
  <si>
    <t>Taller pelucas oncológicas d/ y m/</t>
  </si>
  <si>
    <t>Arte contemporáneo k/</t>
  </si>
  <si>
    <t>Taller de canto m/</t>
  </si>
  <si>
    <t>Taller de guitarra m/</t>
  </si>
  <si>
    <t>Taller de folklore m/ y k/</t>
  </si>
  <si>
    <t>Taller cívico de escoltas m/</t>
  </si>
  <si>
    <t>Taller de lectura "Voces en Libertad" i/</t>
  </si>
  <si>
    <t>Taller de escritura terapéutica "Voces que liberan" l/</t>
  </si>
  <si>
    <t>Taller percusiones y ritmos del Caribe i/</t>
  </si>
  <si>
    <t>Soldadura eléctrica c/</t>
  </si>
  <si>
    <t>Mantenimiento electromecánico del automóvil c/</t>
  </si>
  <si>
    <t>Mantenimiento al sistema eléctrico del automóvil c/</t>
  </si>
  <si>
    <t>Carpintería básica c/</t>
  </si>
  <si>
    <t>Mecánica diésel c/</t>
  </si>
  <si>
    <t>Pintura y bisutería g/</t>
  </si>
  <si>
    <t>Fomento al empleo "Paz y justicia con enfoque laboral" h/</t>
  </si>
  <si>
    <t>Peluquería y barbería a/</t>
  </si>
  <si>
    <t>Cultora de Belleza a/</t>
  </si>
  <si>
    <t>Refrigeración y aires acondicionados a/</t>
  </si>
  <si>
    <t>Huertos y hortalizas n/</t>
  </si>
  <si>
    <t>Administración de negocios a/</t>
  </si>
  <si>
    <t>Corte y confección a/</t>
  </si>
  <si>
    <r>
      <t xml:space="preserve">Urdido de hamaca </t>
    </r>
    <r>
      <rPr>
        <sz val="11"/>
        <rFont val="Calibri"/>
        <family val="2"/>
      </rPr>
      <t>n/</t>
    </r>
  </si>
  <si>
    <t>Artesanía en hilo y tejido n/</t>
  </si>
  <si>
    <t>Carpintería a/</t>
  </si>
  <si>
    <t>Soldadura marina c/</t>
  </si>
  <si>
    <t>Elaboración de piñatas n/</t>
  </si>
  <si>
    <t>Pintura sobre madera a/</t>
  </si>
  <si>
    <t>Urdido de hamaca a/</t>
  </si>
  <si>
    <t>Elaboración de maceteros con material reciclable o/</t>
  </si>
  <si>
    <t>Elaboración de máscaras d/</t>
  </si>
  <si>
    <t>Hortalizas o/</t>
  </si>
  <si>
    <t>a/ Capacitó el Instituto de Capacitación para el Trabajo del Estado de Campeche.</t>
  </si>
  <si>
    <t>b/ Capacitó el Instituto Estatal para el Fomento de las Actividades Artesanales en Campeche.</t>
  </si>
  <si>
    <t>c/ Capacitó el Centro de Capacitación para el Trabajo Industrial No. 40.</t>
  </si>
  <si>
    <t>d/ Capacitó la Secretaría de Inclusión del Poder Ejecutivo del Estado de Campeche.</t>
  </si>
  <si>
    <t>e/ Capacitó la Secretaría de Desarrollo Económico del Poder Ejecutivo del Estado de Campeche.</t>
  </si>
  <si>
    <t>f/ Capacitó la Administración Portuaria Integral de Campeche.</t>
  </si>
  <si>
    <t>g/ Capacitó la Secretaría de Salud del Poder Ejecutivo del Estado de Campeche.</t>
  </si>
  <si>
    <t>h/ Capacitó la Subsecretaría de Trabajo y Previsión Social de la Secretaría de Gobierno del Poder Ejecutivo del Estado de Campeche.</t>
  </si>
  <si>
    <t>i/ Capacitó el Instituto de Cultura y Artes del Estado de Campeche.</t>
  </si>
  <si>
    <t>j/ Capacitó la Secretaría de Medio Ambiente, Biodiversidad, Cambio Climático y Energía del Poder Ejecutivo del Estado de Campeche.</t>
  </si>
  <si>
    <t>k/Capacitó facilitador de la sociedad civil.</t>
  </si>
  <si>
    <t>l/ Capacitó el Poder Judicial del Estado de Campeche.</t>
  </si>
  <si>
    <t>m/ Capacitó el Centro Penitenciario San Francisco Kobén.</t>
  </si>
  <si>
    <t>n/ Capacitó el Centro Penitenciario Carmen.</t>
  </si>
  <si>
    <t>o/ Capacitó el Centro de Internamiento para Adolescentes.</t>
  </si>
  <si>
    <t>No estan de acuerdo la Dependencia, que se quede como se capturo</t>
  </si>
  <si>
    <t>Se anexa la tabla capturada</t>
  </si>
  <si>
    <t>b/ Se refiere al resultado de audiencias durante el año. Incluyen 682 carpetas concluidas por no vinculaciones, suspensión condicional del proceso cumplidas, resueltos por otras causas de sobreseimiento, resueltos por procedimiento abreviado, resueltos por juicio oral, acuerdos reparatorios cumplidos, para los cuales se decretó la extinción de la acción penal, por muerte de la persona imputada, por perdón de la víctima u ofendido, por extinción de la acción penal y por prescripción de la acción penal.</t>
  </si>
  <si>
    <t>Forma de inicio de las carpetas de investigación aperturadas durante el año, 2025.</t>
  </si>
  <si>
    <t>NA: No Aplica.</t>
  </si>
  <si>
    <t>Tema</t>
  </si>
  <si>
    <t>1.1. Modelo de Prevención para Brindar Seguridad a la Gente</t>
  </si>
  <si>
    <t xml:space="preserve">1.2. Sistema nacional de información para la protección ciudadana </t>
  </si>
  <si>
    <t>1.4. Fortalecimiento de capacidades del personal de seguridad pública</t>
  </si>
  <si>
    <t xml:space="preserve">2.1. Atención ciudadana </t>
  </si>
  <si>
    <t xml:space="preserve">2.2.Investigación delictiva y conciliación ciudadana </t>
  </si>
  <si>
    <t xml:space="preserve">2.2.	Investigación delictiva y conciliación ciudadana </t>
  </si>
  <si>
    <t>1.1.	Modelo de Prevención para Brindar Seguridad a la Gente</t>
  </si>
  <si>
    <r>
      <t>1.4.</t>
    </r>
    <r>
      <rPr>
        <sz val="7"/>
        <color rgb="FF000000"/>
        <rFont val="Times New Roman"/>
        <family val="1"/>
      </rPr>
      <t xml:space="preserve">  </t>
    </r>
    <r>
      <rPr>
        <sz val="10"/>
        <color rgb="FF000000"/>
        <rFont val="Averta"/>
        <family val="3"/>
      </rPr>
      <t>Fortalecimiento de capacidades del personal de seguridad pública</t>
    </r>
  </si>
  <si>
    <t xml:space="preserve">1.2.	Sistema nacional de información para la protección ciudadana </t>
  </si>
  <si>
    <t>1.3.	Dignificación de la seguridad pública</t>
  </si>
  <si>
    <t>3.1.	Una vida digna para las personas privadas de su libertad</t>
  </si>
  <si>
    <t>4.2.	Prevención para la gestión integral de los riesgos</t>
  </si>
  <si>
    <t>M2-055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</si>
</sst>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11" x14ac:knownFonts="1">
    <font>
      <sz val="11"/>
      <color rgb="FF000000"/>
      <name val="Calibri"/>
    </font>
    <font>
      <b/>
      <sz val="11"/>
      <color rgb="FF000000"/>
      <name val="Calibri"/>
      <family val="2"/>
    </font>
    <font>
      <b/>
      <sz val="12"/>
      <color rgb="FF000000"/>
      <name val="Calibri"/>
      <family val="2"/>
    </font>
    <font>
      <sz val="11"/>
      <color rgb="FF000000"/>
      <name val="Calibri"/>
      <family val="2"/>
    </font>
    <font>
      <sz val="11"/>
      <color rgb="FF000000"/>
      <name val="Calibri"/>
      <family val="2"/>
    </font>
    <font>
      <sz val="11"/>
      <color rgb="FFFF0000"/>
      <name val="Calibri"/>
      <family val="2"/>
    </font>
    <font>
      <sz val="12"/>
      <color rgb="FF000000"/>
      <name val="Calibri"/>
      <family val="2"/>
    </font>
    <font>
      <sz val="11"/>
      <name val="Calibri"/>
      <family val="2"/>
    </font>
    <font>
      <b/>
      <sz val="11"/>
      <name val="Calibri"/>
      <family val="2"/>
    </font>
    <font>
      <sz val="7"/>
      <color rgb="FF000000"/>
      <name val="Times New Roman"/>
      <family val="1"/>
    </font>
    <font>
      <sz val="10"/>
      <color rgb="FF000000"/>
      <name val="Averta"/>
      <family val="3"/>
    </font>
  </fonts>
  <fills count="7">
    <fill>
      <patternFill patternType="none"/>
    </fill>
    <fill>
      <patternFill patternType="gray125"/>
    </fill>
    <fill>
      <patternFill patternType="solid">
        <fgColor rgb="FFFFFF00"/>
        <bgColor indexed="64"/>
      </patternFill>
    </fill>
    <fill>
      <patternFill patternType="solid">
        <fgColor theme="3" tint="0.79998168889431442"/>
        <bgColor indexed="64"/>
      </patternFill>
    </fill>
    <fill>
      <patternFill patternType="solid">
        <fgColor theme="6" tint="0.59999389629810485"/>
        <bgColor indexed="64"/>
      </patternFill>
    </fill>
    <fill>
      <patternFill patternType="solid">
        <fgColor theme="9" tint="0.39997558519241921"/>
        <bgColor indexed="64"/>
      </patternFill>
    </fill>
    <fill>
      <patternFill patternType="solid">
        <fgColor rgb="FF92D050"/>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right/>
      <top style="thin">
        <color auto="1"/>
      </top>
      <bottom style="thin">
        <color auto="1"/>
      </bottom>
      <diagonal/>
    </border>
    <border>
      <left style="thin">
        <color rgb="FF000000"/>
      </left>
      <right style="thin">
        <color rgb="FF000000"/>
      </right>
      <top style="thin">
        <color rgb="FF000000"/>
      </top>
      <bottom/>
      <diagonal/>
    </border>
    <border>
      <left/>
      <right/>
      <top style="thin">
        <color auto="1"/>
      </top>
      <bottom/>
      <diagonal/>
    </border>
    <border>
      <left/>
      <right/>
      <top/>
      <bottom style="thin">
        <color indexed="64"/>
      </bottom>
      <diagonal/>
    </border>
    <border>
      <left/>
      <right/>
      <top style="thin">
        <color rgb="FF000000"/>
      </top>
      <bottom style="thin">
        <color rgb="FF000000"/>
      </bottom>
      <diagonal/>
    </border>
  </borders>
  <cellStyleXfs count="4">
    <xf numFmtId="0" fontId="0" fillId="0" borderId="0"/>
    <xf numFmtId="0" fontId="3" fillId="0" borderId="0"/>
    <xf numFmtId="43" fontId="4" fillId="0" borderId="0" applyFont="0" applyFill="0" applyBorder="0" applyAlignment="0" applyProtection="0"/>
    <xf numFmtId="43" fontId="3" fillId="0" borderId="0" applyFont="0" applyFill="0" applyBorder="0" applyAlignment="0" applyProtection="0"/>
  </cellStyleXfs>
  <cellXfs count="136">
    <xf numFmtId="0" fontId="0" fillId="0" borderId="0" xfId="0"/>
    <xf numFmtId="0" fontId="1" fillId="0" borderId="0" xfId="0" applyFont="1"/>
    <xf numFmtId="0" fontId="3" fillId="0" borderId="0" xfId="0" applyFont="1"/>
    <xf numFmtId="0" fontId="3" fillId="0" borderId="0" xfId="1"/>
    <xf numFmtId="0" fontId="3" fillId="0" borderId="1" xfId="1" applyBorder="1"/>
    <xf numFmtId="3" fontId="0" fillId="0" borderId="0" xfId="0" applyNumberFormat="1"/>
    <xf numFmtId="0" fontId="0" fillId="0" borderId="2" xfId="0" applyBorder="1"/>
    <xf numFmtId="0" fontId="0" fillId="0" borderId="2" xfId="0" applyBorder="1" applyAlignment="1">
      <alignment horizontal="center"/>
    </xf>
    <xf numFmtId="3" fontId="0" fillId="0" borderId="2" xfId="0" applyNumberFormat="1" applyBorder="1"/>
    <xf numFmtId="0" fontId="3" fillId="0" borderId="0" xfId="0" applyFont="1" applyAlignment="1">
      <alignment wrapText="1"/>
    </xf>
    <xf numFmtId="0" fontId="0" fillId="0" borderId="0" xfId="0" applyAlignment="1">
      <alignment horizontal="center"/>
    </xf>
    <xf numFmtId="0" fontId="0" fillId="0" borderId="0" xfId="0" applyAlignment="1">
      <alignment wrapText="1"/>
    </xf>
    <xf numFmtId="0" fontId="0" fillId="0" borderId="0" xfId="0" applyAlignment="1">
      <alignment horizontal="left" wrapText="1"/>
    </xf>
    <xf numFmtId="0" fontId="3" fillId="0" borderId="2" xfId="0" applyFont="1" applyBorder="1"/>
    <xf numFmtId="0" fontId="3" fillId="0" borderId="0" xfId="0" applyFont="1" applyAlignment="1">
      <alignment vertical="center"/>
    </xf>
    <xf numFmtId="3" fontId="1" fillId="0" borderId="2" xfId="0" applyNumberFormat="1" applyFont="1" applyBorder="1"/>
    <xf numFmtId="0" fontId="0" fillId="0" borderId="0" xfId="0" applyAlignment="1">
      <alignment horizontal="right"/>
    </xf>
    <xf numFmtId="3" fontId="0" fillId="0" borderId="0" xfId="0" applyNumberFormat="1" applyAlignment="1">
      <alignment horizontal="right"/>
    </xf>
    <xf numFmtId="3" fontId="0" fillId="0" borderId="2" xfId="0" applyNumberFormat="1" applyBorder="1" applyAlignment="1">
      <alignment horizontal="right"/>
    </xf>
    <xf numFmtId="164" fontId="0" fillId="0" borderId="0" xfId="2" applyNumberFormat="1" applyFont="1" applyBorder="1"/>
    <xf numFmtId="0" fontId="1" fillId="0" borderId="0" xfId="0" applyFont="1" applyAlignment="1">
      <alignment horizontal="left"/>
    </xf>
    <xf numFmtId="0" fontId="0" fillId="0" borderId="0" xfId="0" applyAlignment="1">
      <alignment horizontal="left" indent="1"/>
    </xf>
    <xf numFmtId="1" fontId="0" fillId="0" borderId="0" xfId="0" applyNumberFormat="1" applyAlignment="1">
      <alignment horizontal="right"/>
    </xf>
    <xf numFmtId="0" fontId="0" fillId="0" borderId="6" xfId="0" applyBorder="1" applyAlignment="1">
      <alignment horizontal="center"/>
    </xf>
    <xf numFmtId="1" fontId="0" fillId="0" borderId="2" xfId="0" applyNumberFormat="1" applyBorder="1"/>
    <xf numFmtId="0" fontId="0" fillId="0" borderId="2" xfId="0" applyBorder="1" applyAlignment="1">
      <alignment wrapText="1"/>
    </xf>
    <xf numFmtId="0" fontId="3" fillId="0" borderId="2" xfId="0" applyFont="1" applyBorder="1" applyAlignment="1">
      <alignment vertical="center"/>
    </xf>
    <xf numFmtId="164" fontId="0" fillId="0" borderId="2" xfId="2" applyNumberFormat="1" applyFont="1" applyBorder="1"/>
    <xf numFmtId="0" fontId="3" fillId="0" borderId="2" xfId="0" applyFont="1" applyBorder="1" applyAlignment="1">
      <alignment horizontal="center"/>
    </xf>
    <xf numFmtId="0" fontId="3" fillId="0" borderId="0" xfId="0" applyFont="1" applyAlignment="1">
      <alignment horizontal="left" indent="1"/>
    </xf>
    <xf numFmtId="0" fontId="0" fillId="0" borderId="2" xfId="0" applyBorder="1" applyAlignment="1">
      <alignment horizontal="center" wrapText="1"/>
    </xf>
    <xf numFmtId="0" fontId="3" fillId="0" borderId="2" xfId="0" applyFont="1" applyBorder="1" applyAlignment="1">
      <alignment horizontal="center" vertical="center" wrapText="1"/>
    </xf>
    <xf numFmtId="0" fontId="0" fillId="0" borderId="2" xfId="0" applyBorder="1" applyAlignment="1">
      <alignment horizontal="center" vertical="center"/>
    </xf>
    <xf numFmtId="0" fontId="0" fillId="0" borderId="2" xfId="0" applyBorder="1" applyAlignment="1">
      <alignment horizontal="center" vertical="center" wrapText="1"/>
    </xf>
    <xf numFmtId="0" fontId="3" fillId="0" borderId="2" xfId="1" applyBorder="1"/>
    <xf numFmtId="0" fontId="1" fillId="0" borderId="0" xfId="1" applyFont="1"/>
    <xf numFmtId="3" fontId="3" fillId="0" borderId="0" xfId="1" applyNumberFormat="1"/>
    <xf numFmtId="0" fontId="8" fillId="0" borderId="0" xfId="1" applyFont="1"/>
    <xf numFmtId="0" fontId="3" fillId="0" borderId="2" xfId="1" applyBorder="1" applyAlignment="1">
      <alignment horizontal="center"/>
    </xf>
    <xf numFmtId="0" fontId="5" fillId="0" borderId="0" xfId="1" applyFont="1"/>
    <xf numFmtId="0" fontId="0" fillId="3" borderId="0" xfId="0" applyFill="1"/>
    <xf numFmtId="0" fontId="3" fillId="0" borderId="0" xfId="0" applyFont="1" applyAlignment="1">
      <alignment horizontal="center" vertical="center"/>
    </xf>
    <xf numFmtId="0" fontId="3" fillId="0" borderId="5" xfId="0" applyFont="1" applyBorder="1" applyAlignment="1">
      <alignment horizontal="center" vertical="center"/>
    </xf>
    <xf numFmtId="0" fontId="1" fillId="0" borderId="0" xfId="0" applyFont="1" applyAlignment="1">
      <alignment wrapText="1"/>
    </xf>
    <xf numFmtId="3" fontId="1" fillId="0" borderId="0" xfId="0" applyNumberFormat="1" applyFont="1"/>
    <xf numFmtId="0" fontId="3" fillId="0" borderId="2" xfId="0" applyFont="1" applyBorder="1" applyAlignment="1">
      <alignment horizontal="center" vertical="center"/>
    </xf>
    <xf numFmtId="164" fontId="0" fillId="0" borderId="2" xfId="2" applyNumberFormat="1" applyFont="1" applyBorder="1" applyAlignment="1"/>
    <xf numFmtId="0" fontId="3" fillId="0" borderId="0" xfId="0" applyFont="1" applyAlignment="1">
      <alignment horizontal="right" indent="1"/>
    </xf>
    <xf numFmtId="0" fontId="3" fillId="0" borderId="0" xfId="0" applyFont="1" applyAlignment="1">
      <alignment horizontal="right"/>
    </xf>
    <xf numFmtId="0" fontId="3" fillId="0" borderId="2" xfId="0" applyFont="1" applyBorder="1" applyAlignment="1">
      <alignment horizontal="center" wrapText="1"/>
    </xf>
    <xf numFmtId="0" fontId="3" fillId="0" borderId="0" xfId="0" applyFont="1" applyAlignment="1">
      <alignment horizontal="left" wrapText="1"/>
    </xf>
    <xf numFmtId="164" fontId="0" fillId="0" borderId="0" xfId="2" applyNumberFormat="1" applyFont="1" applyBorder="1" applyAlignment="1">
      <alignment horizontal="right"/>
    </xf>
    <xf numFmtId="3" fontId="0" fillId="0" borderId="0" xfId="2" applyNumberFormat="1" applyFont="1" applyBorder="1" applyAlignment="1">
      <alignment horizontal="right"/>
    </xf>
    <xf numFmtId="0" fontId="3" fillId="0" borderId="0" xfId="1" applyAlignment="1">
      <alignment wrapText="1"/>
    </xf>
    <xf numFmtId="0" fontId="2" fillId="0" borderId="2" xfId="0" applyFont="1" applyBorder="1"/>
    <xf numFmtId="0" fontId="3" fillId="0" borderId="2" xfId="1" applyBorder="1" applyAlignment="1">
      <alignment horizontal="center" vertical="center" wrapText="1"/>
    </xf>
    <xf numFmtId="0" fontId="3" fillId="0" borderId="2" xfId="1" applyBorder="1" applyAlignment="1">
      <alignment horizontal="center" vertical="center"/>
    </xf>
    <xf numFmtId="0" fontId="0" fillId="5" borderId="0" xfId="0" applyFill="1"/>
    <xf numFmtId="0" fontId="6" fillId="6" borderId="0" xfId="0" applyFont="1" applyFill="1" applyAlignment="1">
      <alignment vertical="center"/>
    </xf>
    <xf numFmtId="0" fontId="6" fillId="6" borderId="0" xfId="0" applyFont="1" applyFill="1" applyAlignment="1">
      <alignment vertical="center" wrapText="1"/>
    </xf>
    <xf numFmtId="3" fontId="3" fillId="0" borderId="5" xfId="1" applyNumberFormat="1" applyBorder="1"/>
    <xf numFmtId="0" fontId="3" fillId="0" borderId="5" xfId="1" applyBorder="1" applyAlignment="1">
      <alignment wrapText="1"/>
    </xf>
    <xf numFmtId="0" fontId="0" fillId="6" borderId="0" xfId="0" applyFill="1" applyAlignment="1">
      <alignment vertical="center" wrapText="1"/>
    </xf>
    <xf numFmtId="0" fontId="3" fillId="0" borderId="4" xfId="1" applyBorder="1" applyAlignment="1">
      <alignment horizontal="left"/>
    </xf>
    <xf numFmtId="0" fontId="3" fillId="0" borderId="0" xfId="1" applyAlignment="1">
      <alignment horizontal="center" wrapText="1"/>
    </xf>
    <xf numFmtId="0" fontId="3" fillId="0" borderId="0" xfId="1" applyAlignment="1">
      <alignment horizontal="right"/>
    </xf>
    <xf numFmtId="0" fontId="3" fillId="0" borderId="2" xfId="1" applyBorder="1" applyAlignment="1">
      <alignment horizontal="left" indent="1"/>
    </xf>
    <xf numFmtId="0" fontId="3" fillId="0" borderId="2" xfId="1" applyBorder="1" applyAlignment="1">
      <alignment horizontal="left"/>
    </xf>
    <xf numFmtId="0" fontId="3" fillId="0" borderId="0" xfId="1" applyAlignment="1">
      <alignment horizontal="left"/>
    </xf>
    <xf numFmtId="0" fontId="0" fillId="0" borderId="0" xfId="0" applyAlignment="1">
      <alignment horizontal="center" vertical="center"/>
    </xf>
    <xf numFmtId="0" fontId="1" fillId="0" borderId="0" xfId="0" applyFont="1" applyAlignment="1">
      <alignment horizontal="left" vertical="center" wrapText="1"/>
    </xf>
    <xf numFmtId="0" fontId="0" fillId="0" borderId="0" xfId="0" applyAlignment="1">
      <alignment vertical="center" wrapText="1"/>
    </xf>
    <xf numFmtId="0" fontId="3" fillId="0" borderId="0" xfId="0" applyFont="1" applyAlignment="1">
      <alignment horizontal="left" vertical="center"/>
    </xf>
    <xf numFmtId="0" fontId="3" fillId="0" borderId="0" xfId="0" applyFont="1" applyAlignment="1">
      <alignment horizontal="left" vertical="center" wrapText="1"/>
    </xf>
    <xf numFmtId="0" fontId="3" fillId="0" borderId="0" xfId="0" applyFont="1" applyAlignment="1">
      <alignment vertical="center" wrapText="1"/>
    </xf>
    <xf numFmtId="0" fontId="0" fillId="0" borderId="0" xfId="0" applyAlignment="1">
      <alignment horizontal="left" vertical="center"/>
    </xf>
    <xf numFmtId="0" fontId="1" fillId="0" borderId="0" xfId="0" applyFont="1" applyAlignment="1">
      <alignment vertical="center"/>
    </xf>
    <xf numFmtId="0" fontId="0" fillId="0" borderId="0" xfId="0" applyAlignment="1">
      <alignment vertical="center"/>
    </xf>
    <xf numFmtId="0" fontId="0" fillId="5" borderId="0" xfId="0" applyFill="1" applyAlignment="1">
      <alignment vertical="center"/>
    </xf>
    <xf numFmtId="0" fontId="3" fillId="5" borderId="0" xfId="0" applyFont="1" applyFill="1" applyAlignment="1">
      <alignment vertical="center"/>
    </xf>
    <xf numFmtId="0" fontId="3" fillId="5" borderId="0" xfId="0" applyFont="1" applyFill="1" applyAlignment="1">
      <alignment vertical="center" wrapText="1"/>
    </xf>
    <xf numFmtId="0" fontId="0" fillId="3" borderId="0" xfId="0" applyFill="1" applyAlignment="1">
      <alignment vertical="center"/>
    </xf>
    <xf numFmtId="0" fontId="3" fillId="6" borderId="0" xfId="1" applyFill="1" applyAlignment="1">
      <alignment vertical="center" wrapText="1"/>
    </xf>
    <xf numFmtId="0" fontId="0" fillId="2" borderId="0" xfId="0" applyFill="1" applyAlignment="1">
      <alignment vertical="center"/>
    </xf>
    <xf numFmtId="0" fontId="0" fillId="6" borderId="0" xfId="0" applyFill="1" applyAlignment="1">
      <alignment horizontal="center" vertical="center" wrapText="1"/>
    </xf>
    <xf numFmtId="0" fontId="1" fillId="0" borderId="0" xfId="0" applyFont="1" applyAlignment="1">
      <alignment horizontal="center" vertical="center"/>
    </xf>
    <xf numFmtId="0" fontId="0" fillId="5" borderId="0" xfId="0" applyFill="1" applyAlignment="1">
      <alignment horizontal="center" vertical="center"/>
    </xf>
    <xf numFmtId="0" fontId="0" fillId="3" borderId="0" xfId="0" applyFill="1" applyAlignment="1">
      <alignment horizontal="center" vertical="center"/>
    </xf>
    <xf numFmtId="0" fontId="0" fillId="2" borderId="0" xfId="0" applyFill="1" applyAlignment="1">
      <alignment horizontal="center" vertical="center"/>
    </xf>
    <xf numFmtId="0" fontId="2" fillId="0" borderId="0" xfId="1" applyFont="1"/>
    <xf numFmtId="0" fontId="3" fillId="0" borderId="0" xfId="1"/>
    <xf numFmtId="0" fontId="2" fillId="0" borderId="0" xfId="1" applyFont="1" applyAlignment="1">
      <alignment wrapText="1"/>
    </xf>
    <xf numFmtId="0" fontId="2" fillId="0" borderId="0" xfId="0" applyFont="1" applyAlignment="1">
      <alignment horizontal="left"/>
    </xf>
    <xf numFmtId="0" fontId="3" fillId="0" borderId="2" xfId="0" applyFont="1" applyBorder="1"/>
    <xf numFmtId="0" fontId="0" fillId="0" borderId="0" xfId="0" applyAlignment="1">
      <alignment wrapText="1"/>
    </xf>
    <xf numFmtId="0" fontId="3" fillId="0" borderId="0" xfId="0" applyFont="1" applyAlignment="1">
      <alignment wrapText="1"/>
    </xf>
    <xf numFmtId="0" fontId="2" fillId="0" borderId="0" xfId="0" applyFont="1"/>
    <xf numFmtId="0" fontId="2" fillId="0" borderId="3" xfId="0" applyFont="1" applyBorder="1"/>
    <xf numFmtId="0" fontId="3" fillId="0" borderId="4" xfId="0" applyFont="1" applyBorder="1" applyAlignment="1">
      <alignment horizontal="left" wrapText="1"/>
    </xf>
    <xf numFmtId="0" fontId="0" fillId="0" borderId="0" xfId="0" applyAlignment="1">
      <alignment horizontal="left" wrapText="1"/>
    </xf>
    <xf numFmtId="0" fontId="3" fillId="0" borderId="0" xfId="0" applyFont="1" applyAlignment="1">
      <alignment horizontal="left" wrapText="1"/>
    </xf>
    <xf numFmtId="0" fontId="1" fillId="0" borderId="2" xfId="0" applyFont="1" applyBorder="1"/>
    <xf numFmtId="0" fontId="3" fillId="0" borderId="0" xfId="0" applyFont="1"/>
    <xf numFmtId="0" fontId="0" fillId="0" borderId="0" xfId="0"/>
    <xf numFmtId="0" fontId="3" fillId="0" borderId="0" xfId="0" applyFont="1" applyAlignment="1">
      <alignment horizontal="left" vertical="top" wrapText="1"/>
    </xf>
    <xf numFmtId="0" fontId="0" fillId="0" borderId="0" xfId="0" applyAlignment="1">
      <alignment horizontal="left" vertical="top" wrapText="1"/>
    </xf>
    <xf numFmtId="0" fontId="0" fillId="0" borderId="2" xfId="0" applyBorder="1" applyAlignment="1">
      <alignment horizontal="center"/>
    </xf>
    <xf numFmtId="0" fontId="2" fillId="0" borderId="1" xfId="0" applyFont="1" applyBorder="1"/>
    <xf numFmtId="0" fontId="2" fillId="0" borderId="0" xfId="0" applyFont="1" applyAlignment="1">
      <alignment wrapText="1"/>
    </xf>
    <xf numFmtId="0" fontId="6" fillId="0" borderId="2" xfId="0" applyFont="1" applyBorder="1" applyAlignment="1">
      <alignment horizontal="center"/>
    </xf>
    <xf numFmtId="0" fontId="6" fillId="0" borderId="4" xfId="0" applyFont="1" applyBorder="1" applyAlignment="1">
      <alignment horizontal="center"/>
    </xf>
    <xf numFmtId="0" fontId="6" fillId="0" borderId="5" xfId="0" applyFont="1" applyBorder="1" applyAlignment="1">
      <alignment horizontal="center"/>
    </xf>
    <xf numFmtId="0" fontId="6" fillId="0" borderId="2" xfId="0" applyFont="1" applyBorder="1" applyAlignment="1">
      <alignment horizontal="center" vertical="center"/>
    </xf>
    <xf numFmtId="0" fontId="0" fillId="0" borderId="4" xfId="0" applyBorder="1" applyAlignment="1">
      <alignment horizontal="center" vertical="center"/>
    </xf>
    <xf numFmtId="0" fontId="0" fillId="0" borderId="0" xfId="0" applyAlignment="1">
      <alignment horizontal="center" vertical="center"/>
    </xf>
    <xf numFmtId="0" fontId="3" fillId="0" borderId="2" xfId="0" applyFont="1" applyBorder="1" applyAlignment="1">
      <alignment horizontal="center" wrapText="1"/>
    </xf>
    <xf numFmtId="0" fontId="0" fillId="0" borderId="2" xfId="0" applyBorder="1" applyAlignment="1">
      <alignment horizontal="center" vertical="center"/>
    </xf>
    <xf numFmtId="0" fontId="3" fillId="0" borderId="2" xfId="0" applyFont="1" applyBorder="1" applyAlignment="1">
      <alignment horizontal="center" vertical="center" wrapText="1"/>
    </xf>
    <xf numFmtId="0" fontId="0" fillId="0" borderId="2" xfId="0" applyBorder="1" applyAlignment="1">
      <alignment horizontal="center" vertical="center" wrapText="1"/>
    </xf>
    <xf numFmtId="0" fontId="0" fillId="0" borderId="4" xfId="0" applyBorder="1" applyAlignment="1">
      <alignment horizontal="left" wrapText="1"/>
    </xf>
    <xf numFmtId="0" fontId="0" fillId="0" borderId="5" xfId="0" applyBorder="1" applyAlignment="1">
      <alignment horizontal="center" vertical="center"/>
    </xf>
    <xf numFmtId="0" fontId="2" fillId="0" borderId="5" xfId="0" applyFont="1" applyBorder="1" applyAlignment="1">
      <alignment horizontal="left" wrapText="1"/>
    </xf>
    <xf numFmtId="0" fontId="7" fillId="0" borderId="0" xfId="0" applyFont="1" applyAlignment="1">
      <alignment wrapText="1"/>
    </xf>
    <xf numFmtId="0" fontId="7" fillId="0" borderId="0" xfId="0" applyFont="1"/>
    <xf numFmtId="0" fontId="3" fillId="0" borderId="2" xfId="0" applyFont="1" applyBorder="1" applyAlignment="1">
      <alignment wrapText="1"/>
    </xf>
    <xf numFmtId="0" fontId="0" fillId="4" borderId="0" xfId="0" applyFill="1" applyAlignment="1">
      <alignment wrapText="1"/>
    </xf>
    <xf numFmtId="0" fontId="0" fillId="4" borderId="1" xfId="0" applyFill="1" applyBorder="1" applyAlignment="1">
      <alignment wrapText="1"/>
    </xf>
    <xf numFmtId="0" fontId="3" fillId="0" borderId="4" xfId="0" applyFont="1" applyBorder="1" applyAlignment="1">
      <alignment horizontal="left" vertical="top" wrapText="1"/>
    </xf>
    <xf numFmtId="0" fontId="3" fillId="0" borderId="0" xfId="0" applyFont="1" applyAlignment="1">
      <alignment horizontal="left"/>
    </xf>
    <xf numFmtId="0" fontId="0" fillId="0" borderId="0" xfId="0" applyAlignment="1">
      <alignment horizontal="left"/>
    </xf>
    <xf numFmtId="0" fontId="0" fillId="4" borderId="0" xfId="0" applyFill="1"/>
    <xf numFmtId="0" fontId="6" fillId="0" borderId="2" xfId="0" applyFont="1" applyBorder="1" applyAlignment="1">
      <alignment horizontal="center" vertical="center" wrapText="1"/>
    </xf>
    <xf numFmtId="0" fontId="3" fillId="0" borderId="0" xfId="1" applyAlignment="1">
      <alignment wrapText="1"/>
    </xf>
    <xf numFmtId="0" fontId="2" fillId="0" borderId="1" xfId="1" applyFont="1" applyBorder="1"/>
    <xf numFmtId="0" fontId="3" fillId="0" borderId="1" xfId="1" applyBorder="1"/>
    <xf numFmtId="0" fontId="2" fillId="0" borderId="3" xfId="0" applyFont="1" applyBorder="1" applyAlignment="1">
      <alignment wrapText="1"/>
    </xf>
  </cellXfs>
  <cellStyles count="4">
    <cellStyle name="Millares" xfId="2" builtinId="3"/>
    <cellStyle name="Millares 2" xfId="3" xr:uid="{7DB80EBB-8297-4899-9FEB-B57261DEE5F9}"/>
    <cellStyle name="Normal" xfId="0" builtinId="0"/>
    <cellStyle name="Normal 2" xfId="1" xr:uid="{00000000-0005-0000-0000-00000200000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'M2-047 - Capacidad instalada  1'!$B$2</c:f>
              <c:strCache>
                <c:ptCount val="1"/>
                <c:pt idx="0">
                  <c:v>CAPACIDAD INSTALADA</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'M2-047 - Capacidad instalada  1'!$A$3:$A$5</c:f>
              <c:strCache>
                <c:ptCount val="3"/>
                <c:pt idx="0">
                  <c:v>Centro Penitenciario San Francisco Kobén </c:v>
                </c:pt>
                <c:pt idx="1">
                  <c:v>Centro Penitenciario Carmen</c:v>
                </c:pt>
                <c:pt idx="2">
                  <c:v>Centro de Internamiento para Adolescentes</c:v>
                </c:pt>
              </c:strCache>
            </c:strRef>
          </c:cat>
          <c:val>
            <c:numRef>
              <c:f>'M2-047 - Capacidad instalada  1'!$B$3:$B$5</c:f>
              <c:numCache>
                <c:formatCode>_-* #,##0_-;\-* #,##0_-;_-* "-"??_-;_-@_-</c:formatCode>
                <c:ptCount val="3"/>
                <c:pt idx="0" formatCode="#,##0">
                  <c:v>1400</c:v>
                </c:pt>
                <c:pt idx="1">
                  <c:v>376</c:v>
                </c:pt>
                <c:pt idx="2">
                  <c:v>72</c:v>
                </c:pt>
              </c:numCache>
            </c:numRef>
          </c:val>
          <c:extLst>
            <c:ext xmlns:c16="http://schemas.microsoft.com/office/drawing/2014/chart" uri="{C3380CC4-5D6E-409C-BE32-E72D297353CC}">
              <c16:uniqueId val="{00000000-EB3F-474F-ADE6-5EE94FC0945C}"/>
            </c:ext>
          </c:extLst>
        </c:ser>
        <c:ser>
          <c:idx val="1"/>
          <c:order val="1"/>
          <c:tx>
            <c:strRef>
              <c:f>'M2-047 - Capacidad instalada  1'!$C$2</c:f>
              <c:strCache>
                <c:ptCount val="1"/>
                <c:pt idx="0">
                  <c:v>PERSONAS PRIVADAS DE SU LIBERTAD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'M2-047 - Capacidad instalada  1'!$A$3:$A$5</c:f>
              <c:strCache>
                <c:ptCount val="3"/>
                <c:pt idx="0">
                  <c:v>Centro Penitenciario San Francisco Kobén </c:v>
                </c:pt>
                <c:pt idx="1">
                  <c:v>Centro Penitenciario Carmen</c:v>
                </c:pt>
                <c:pt idx="2">
                  <c:v>Centro de Internamiento para Adolescentes</c:v>
                </c:pt>
              </c:strCache>
            </c:strRef>
          </c:cat>
          <c:val>
            <c:numRef>
              <c:f>'M2-047 - Capacidad instalada  1'!$C$3:$C$5</c:f>
              <c:numCache>
                <c:formatCode>General</c:formatCode>
                <c:ptCount val="3"/>
                <c:pt idx="0">
                  <c:v>807</c:v>
                </c:pt>
                <c:pt idx="1">
                  <c:v>260</c:v>
                </c:pt>
                <c:pt idx="2">
                  <c:v>5</c:v>
                </c:pt>
              </c:numCache>
            </c:numRef>
          </c:val>
          <c:extLst>
            <c:ext xmlns:c16="http://schemas.microsoft.com/office/drawing/2014/chart" uri="{C3380CC4-5D6E-409C-BE32-E72D297353CC}">
              <c16:uniqueId val="{00000001-EB3F-474F-ADE6-5EE94FC0945C}"/>
            </c:ext>
          </c:extLst>
        </c:ser>
        <c:dLbls>
          <c:showLegendKey val="0"/>
          <c:showVal val="0"/>
          <c:showCatName val="0"/>
          <c:showSerName val="0"/>
          <c:showPercent val="0"/>
          <c:showBubbleSize val="0"/>
        </c:dLbls>
        <c:gapWidth val="219"/>
        <c:overlap val="-27"/>
        <c:axId val="968239088"/>
        <c:axId val="968237008"/>
      </c:barChart>
      <c:catAx>
        <c:axId val="968239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968237008"/>
        <c:crosses val="autoZero"/>
        <c:auto val="1"/>
        <c:lblAlgn val="ctr"/>
        <c:lblOffset val="100"/>
        <c:noMultiLvlLbl val="0"/>
      </c:catAx>
      <c:valAx>
        <c:axId val="96823700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9682390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908050</xdr:colOff>
      <xdr:row>7</xdr:row>
      <xdr:rowOff>44450</xdr:rowOff>
    </xdr:from>
    <xdr:to>
      <xdr:col>2</xdr:col>
      <xdr:colOff>1358899</xdr:colOff>
      <xdr:row>27</xdr:row>
      <xdr:rowOff>149225</xdr:rowOff>
    </xdr:to>
    <xdr:graphicFrame macro="">
      <xdr:nvGraphicFramePr>
        <xdr:cNvPr id="3" name="Gráfico 2">
          <a:extLst>
            <a:ext uri="{FF2B5EF4-FFF2-40B4-BE49-F238E27FC236}">
              <a16:creationId xmlns:a16="http://schemas.microsoft.com/office/drawing/2014/main" id="{00000000-0008-0000-2F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5"/>
  <sheetViews>
    <sheetView topLeftCell="A34" zoomScale="60" zoomScaleNormal="60" workbookViewId="0">
      <selection activeCell="D2" sqref="D2"/>
    </sheetView>
  </sheetViews>
  <sheetFormatPr baseColWidth="10" defaultColWidth="8.77734375" defaultRowHeight="14.4" x14ac:dyDescent="0.3"/>
  <cols>
    <col min="1" max="1" width="27.33203125" style="75" customWidth="1"/>
    <col min="2" max="2" width="7.44140625" style="69" customWidth="1"/>
    <col min="3" max="3" width="14" style="77" bestFit="1" customWidth="1"/>
    <col min="4" max="4" width="70" style="77" customWidth="1"/>
    <col min="5" max="5" width="12.44140625" style="69" customWidth="1"/>
    <col min="6" max="6" width="50.33203125" style="77" customWidth="1"/>
    <col min="7" max="7" width="40.33203125" style="77" customWidth="1"/>
    <col min="8" max="8" width="14.77734375" style="77" customWidth="1"/>
  </cols>
  <sheetData>
    <row r="1" spans="1:8" x14ac:dyDescent="0.3">
      <c r="A1" s="70" t="s">
        <v>650</v>
      </c>
      <c r="B1" s="85" t="s">
        <v>0</v>
      </c>
      <c r="C1" s="76" t="s">
        <v>1</v>
      </c>
      <c r="D1" s="76" t="s">
        <v>2</v>
      </c>
      <c r="E1" s="85" t="s">
        <v>3</v>
      </c>
      <c r="F1" s="76" t="s">
        <v>565</v>
      </c>
      <c r="G1" s="76" t="s">
        <v>573</v>
      </c>
    </row>
    <row r="2" spans="1:8" s="57" customFormat="1" ht="43.2" x14ac:dyDescent="0.3">
      <c r="A2" s="71" t="s">
        <v>651</v>
      </c>
      <c r="B2" s="86">
        <v>1</v>
      </c>
      <c r="C2" s="80" t="s">
        <v>663</v>
      </c>
      <c r="D2" s="78" t="s">
        <v>4</v>
      </c>
      <c r="E2" s="86" t="s">
        <v>5</v>
      </c>
      <c r="F2" s="80" t="s">
        <v>566</v>
      </c>
      <c r="G2" s="58" t="s">
        <v>574</v>
      </c>
      <c r="H2" s="78"/>
    </row>
    <row r="3" spans="1:8" ht="28.8" x14ac:dyDescent="0.3">
      <c r="A3" s="71" t="s">
        <v>651</v>
      </c>
      <c r="B3" s="69">
        <v>2</v>
      </c>
      <c r="C3" s="77" t="s">
        <v>8</v>
      </c>
      <c r="D3" s="77" t="s">
        <v>9</v>
      </c>
      <c r="E3" s="69" t="s">
        <v>5</v>
      </c>
    </row>
    <row r="4" spans="1:8" ht="28.8" x14ac:dyDescent="0.3">
      <c r="A4" s="71" t="s">
        <v>651</v>
      </c>
      <c r="B4" s="69">
        <v>3</v>
      </c>
      <c r="C4" s="77" t="s">
        <v>10</v>
      </c>
      <c r="D4" s="77" t="s">
        <v>11</v>
      </c>
      <c r="E4" s="69" t="s">
        <v>5</v>
      </c>
    </row>
    <row r="5" spans="1:8" ht="28.8" x14ac:dyDescent="0.3">
      <c r="A5" s="71" t="s">
        <v>651</v>
      </c>
      <c r="B5" s="69">
        <v>4</v>
      </c>
      <c r="C5" s="77" t="s">
        <v>12</v>
      </c>
      <c r="D5" s="77" t="s">
        <v>13</v>
      </c>
      <c r="E5" s="69" t="s">
        <v>5</v>
      </c>
    </row>
    <row r="6" spans="1:8" ht="28.8" x14ac:dyDescent="0.3">
      <c r="A6" s="71" t="s">
        <v>651</v>
      </c>
      <c r="B6" s="69">
        <v>5</v>
      </c>
      <c r="C6" s="77" t="s">
        <v>14</v>
      </c>
      <c r="D6" s="77" t="s">
        <v>15</v>
      </c>
      <c r="E6" s="69" t="s">
        <v>5</v>
      </c>
    </row>
    <row r="7" spans="1:8" ht="28.8" x14ac:dyDescent="0.3">
      <c r="A7" s="71" t="s">
        <v>651</v>
      </c>
      <c r="B7" s="69">
        <v>6</v>
      </c>
      <c r="C7" s="77" t="s">
        <v>16</v>
      </c>
      <c r="D7" s="77" t="s">
        <v>17</v>
      </c>
      <c r="E7" s="69" t="s">
        <v>5</v>
      </c>
    </row>
    <row r="8" spans="1:8" ht="28.8" x14ac:dyDescent="0.3">
      <c r="A8" s="71" t="s">
        <v>651</v>
      </c>
      <c r="B8" s="69">
        <v>7</v>
      </c>
      <c r="C8" s="77" t="s">
        <v>18</v>
      </c>
      <c r="D8" s="77" t="s">
        <v>19</v>
      </c>
      <c r="E8" s="69" t="s">
        <v>5</v>
      </c>
    </row>
    <row r="9" spans="1:8" ht="28.8" x14ac:dyDescent="0.3">
      <c r="A9" s="71" t="s">
        <v>651</v>
      </c>
      <c r="B9" s="69">
        <v>8</v>
      </c>
      <c r="C9" s="77" t="s">
        <v>20</v>
      </c>
      <c r="D9" s="77" t="s">
        <v>21</v>
      </c>
      <c r="E9" s="69" t="s">
        <v>5</v>
      </c>
    </row>
    <row r="10" spans="1:8" ht="28.8" x14ac:dyDescent="0.3">
      <c r="A10" s="71" t="s">
        <v>651</v>
      </c>
      <c r="B10" s="69">
        <v>9</v>
      </c>
      <c r="C10" s="77" t="s">
        <v>22</v>
      </c>
      <c r="D10" s="77" t="s">
        <v>23</v>
      </c>
      <c r="E10" s="69" t="s">
        <v>5</v>
      </c>
    </row>
    <row r="11" spans="1:8" ht="28.8" x14ac:dyDescent="0.3">
      <c r="A11" s="71" t="s">
        <v>651</v>
      </c>
      <c r="B11" s="69">
        <v>10</v>
      </c>
      <c r="C11" s="77" t="s">
        <v>24</v>
      </c>
      <c r="D11" s="77" t="s">
        <v>25</v>
      </c>
      <c r="E11" s="69" t="s">
        <v>5</v>
      </c>
    </row>
    <row r="12" spans="1:8" s="57" customFormat="1" ht="31.2" x14ac:dyDescent="0.3">
      <c r="A12" s="71" t="s">
        <v>651</v>
      </c>
      <c r="B12" s="86">
        <v>11</v>
      </c>
      <c r="C12" s="78" t="s">
        <v>26</v>
      </c>
      <c r="D12" s="78" t="s">
        <v>27</v>
      </c>
      <c r="E12" s="86" t="s">
        <v>5</v>
      </c>
      <c r="F12" s="80" t="s">
        <v>567</v>
      </c>
      <c r="G12" s="59" t="s">
        <v>581</v>
      </c>
      <c r="H12" s="78"/>
    </row>
    <row r="13" spans="1:8" ht="28.8" x14ac:dyDescent="0.3">
      <c r="A13" s="71" t="s">
        <v>651</v>
      </c>
      <c r="B13" s="69">
        <v>12</v>
      </c>
      <c r="C13" s="77" t="s">
        <v>28</v>
      </c>
      <c r="D13" s="77" t="s">
        <v>29</v>
      </c>
      <c r="E13" s="69" t="s">
        <v>5</v>
      </c>
    </row>
    <row r="14" spans="1:8" ht="43.2" x14ac:dyDescent="0.3">
      <c r="A14" s="71" t="s">
        <v>652</v>
      </c>
      <c r="B14" s="69">
        <v>13</v>
      </c>
      <c r="C14" s="77" t="s">
        <v>30</v>
      </c>
      <c r="D14" s="77" t="s">
        <v>31</v>
      </c>
      <c r="E14" s="69" t="s">
        <v>5</v>
      </c>
    </row>
    <row r="15" spans="1:8" ht="43.2" x14ac:dyDescent="0.3">
      <c r="A15" s="71" t="s">
        <v>652</v>
      </c>
      <c r="B15" s="69">
        <v>14</v>
      </c>
      <c r="C15" s="77" t="s">
        <v>32</v>
      </c>
      <c r="D15" s="77" t="s">
        <v>33</v>
      </c>
      <c r="E15" s="69" t="s">
        <v>5</v>
      </c>
    </row>
    <row r="16" spans="1:8" ht="28.8" x14ac:dyDescent="0.3">
      <c r="A16" s="71" t="s">
        <v>651</v>
      </c>
      <c r="B16" s="69">
        <v>15</v>
      </c>
      <c r="C16" s="77" t="s">
        <v>34</v>
      </c>
      <c r="D16" s="77" t="s">
        <v>35</v>
      </c>
      <c r="E16" s="69" t="s">
        <v>5</v>
      </c>
    </row>
    <row r="17" spans="1:8" ht="28.8" x14ac:dyDescent="0.3">
      <c r="A17" s="71" t="s">
        <v>651</v>
      </c>
      <c r="B17" s="69">
        <v>16</v>
      </c>
      <c r="C17" s="77" t="s">
        <v>36</v>
      </c>
      <c r="D17" s="77" t="s">
        <v>37</v>
      </c>
      <c r="E17" s="69" t="s">
        <v>5</v>
      </c>
    </row>
    <row r="18" spans="1:8" ht="28.8" x14ac:dyDescent="0.3">
      <c r="A18" s="71" t="s">
        <v>651</v>
      </c>
      <c r="B18" s="69">
        <v>17</v>
      </c>
      <c r="C18" s="77" t="s">
        <v>38</v>
      </c>
      <c r="D18" s="77" t="s">
        <v>39</v>
      </c>
      <c r="E18" s="69" t="s">
        <v>5</v>
      </c>
    </row>
    <row r="19" spans="1:8" ht="28.8" x14ac:dyDescent="0.3">
      <c r="A19" s="71" t="s">
        <v>651</v>
      </c>
      <c r="B19" s="69">
        <v>18</v>
      </c>
      <c r="C19" s="77" t="s">
        <v>40</v>
      </c>
      <c r="D19" s="77" t="s">
        <v>41</v>
      </c>
      <c r="E19" s="69" t="s">
        <v>5</v>
      </c>
    </row>
    <row r="20" spans="1:8" s="40" customFormat="1" ht="28.8" x14ac:dyDescent="0.3">
      <c r="A20" s="71" t="s">
        <v>651</v>
      </c>
      <c r="B20" s="87">
        <v>19</v>
      </c>
      <c r="C20" s="81" t="s">
        <v>42</v>
      </c>
      <c r="D20" s="81" t="s">
        <v>43</v>
      </c>
      <c r="E20" s="87" t="s">
        <v>5</v>
      </c>
      <c r="F20" s="81"/>
      <c r="G20" s="81"/>
      <c r="H20" s="81"/>
    </row>
    <row r="21" spans="1:8" ht="43.2" x14ac:dyDescent="0.3">
      <c r="A21" s="71" t="s">
        <v>653</v>
      </c>
      <c r="B21" s="69">
        <v>20</v>
      </c>
      <c r="C21" s="77" t="s">
        <v>44</v>
      </c>
      <c r="D21" s="77" t="s">
        <v>45</v>
      </c>
      <c r="E21" s="69" t="s">
        <v>5</v>
      </c>
    </row>
    <row r="22" spans="1:8" x14ac:dyDescent="0.3">
      <c r="A22" s="72" t="s">
        <v>654</v>
      </c>
      <c r="B22" s="69">
        <v>21</v>
      </c>
      <c r="C22" s="77" t="s">
        <v>46</v>
      </c>
      <c r="D22" s="77" t="s">
        <v>47</v>
      </c>
      <c r="E22" s="69" t="s">
        <v>7</v>
      </c>
    </row>
    <row r="23" spans="1:8" x14ac:dyDescent="0.3">
      <c r="A23" s="72" t="s">
        <v>654</v>
      </c>
      <c r="B23" s="69">
        <v>22</v>
      </c>
      <c r="C23" s="77" t="s">
        <v>48</v>
      </c>
      <c r="D23" s="77" t="s">
        <v>49</v>
      </c>
      <c r="E23" s="69" t="s">
        <v>7</v>
      </c>
    </row>
    <row r="24" spans="1:8" s="57" customFormat="1" ht="28.8" x14ac:dyDescent="0.3">
      <c r="A24" s="72" t="s">
        <v>654</v>
      </c>
      <c r="B24" s="86">
        <v>23</v>
      </c>
      <c r="C24" s="78" t="s">
        <v>50</v>
      </c>
      <c r="D24" s="78" t="s">
        <v>51</v>
      </c>
      <c r="E24" s="86" t="s">
        <v>7</v>
      </c>
      <c r="F24" s="80" t="s">
        <v>568</v>
      </c>
      <c r="G24" s="82" t="s">
        <v>575</v>
      </c>
      <c r="H24" s="78"/>
    </row>
    <row r="25" spans="1:8" x14ac:dyDescent="0.3">
      <c r="A25" s="72" t="s">
        <v>654</v>
      </c>
      <c r="B25" s="69">
        <v>24</v>
      </c>
      <c r="C25" s="77" t="s">
        <v>52</v>
      </c>
      <c r="D25" s="77" t="s">
        <v>53</v>
      </c>
      <c r="E25" s="69" t="s">
        <v>7</v>
      </c>
      <c r="F25" s="71"/>
    </row>
    <row r="26" spans="1:8" s="57" customFormat="1" ht="57.6" x14ac:dyDescent="0.3">
      <c r="A26" s="72" t="s">
        <v>654</v>
      </c>
      <c r="B26" s="86">
        <v>25</v>
      </c>
      <c r="C26" s="78" t="s">
        <v>54</v>
      </c>
      <c r="D26" s="78" t="s">
        <v>55</v>
      </c>
      <c r="E26" s="86" t="s">
        <v>7</v>
      </c>
      <c r="F26" s="80" t="s">
        <v>569</v>
      </c>
      <c r="G26" s="82" t="s">
        <v>576</v>
      </c>
      <c r="H26" s="62" t="s">
        <v>580</v>
      </c>
    </row>
    <row r="27" spans="1:8" ht="28.8" x14ac:dyDescent="0.3">
      <c r="A27" s="73" t="s">
        <v>655</v>
      </c>
      <c r="B27" s="69">
        <v>26</v>
      </c>
      <c r="C27" s="77" t="s">
        <v>56</v>
      </c>
      <c r="D27" s="77" t="s">
        <v>57</v>
      </c>
      <c r="E27" s="69" t="s">
        <v>7</v>
      </c>
    </row>
    <row r="28" spans="1:8" x14ac:dyDescent="0.3">
      <c r="A28" s="72" t="s">
        <v>654</v>
      </c>
      <c r="B28" s="69">
        <v>27</v>
      </c>
      <c r="C28" s="14" t="s">
        <v>58</v>
      </c>
      <c r="D28" s="83" t="s">
        <v>6</v>
      </c>
      <c r="E28" s="69" t="s">
        <v>7</v>
      </c>
    </row>
    <row r="29" spans="1:8" ht="28.8" x14ac:dyDescent="0.3">
      <c r="A29" s="73" t="s">
        <v>656</v>
      </c>
      <c r="B29" s="69">
        <v>28</v>
      </c>
      <c r="C29" s="77" t="s">
        <v>59</v>
      </c>
      <c r="D29" s="77" t="s">
        <v>61</v>
      </c>
      <c r="E29" s="69" t="s">
        <v>60</v>
      </c>
    </row>
    <row r="30" spans="1:8" x14ac:dyDescent="0.3">
      <c r="A30" s="72" t="s">
        <v>654</v>
      </c>
      <c r="B30" s="69">
        <v>29</v>
      </c>
      <c r="C30" s="77" t="s">
        <v>62</v>
      </c>
      <c r="D30" s="77" t="s">
        <v>63</v>
      </c>
      <c r="E30" s="69" t="s">
        <v>7</v>
      </c>
    </row>
    <row r="31" spans="1:8" ht="28.8" x14ac:dyDescent="0.3">
      <c r="A31" s="74" t="s">
        <v>657</v>
      </c>
      <c r="B31" s="69">
        <v>30</v>
      </c>
      <c r="C31" s="77" t="s">
        <v>64</v>
      </c>
      <c r="D31" s="77" t="s">
        <v>65</v>
      </c>
      <c r="E31" s="69" t="s">
        <v>66</v>
      </c>
    </row>
    <row r="32" spans="1:8" ht="28.8" x14ac:dyDescent="0.3">
      <c r="A32" s="74" t="s">
        <v>657</v>
      </c>
      <c r="B32" s="69">
        <v>31</v>
      </c>
      <c r="C32" s="77" t="s">
        <v>67</v>
      </c>
      <c r="D32" s="77" t="s">
        <v>68</v>
      </c>
      <c r="E32" s="69" t="s">
        <v>66</v>
      </c>
    </row>
    <row r="33" spans="1:8" ht="28.8" x14ac:dyDescent="0.3">
      <c r="A33" s="74" t="s">
        <v>657</v>
      </c>
      <c r="B33" s="69">
        <v>32</v>
      </c>
      <c r="C33" s="77" t="s">
        <v>69</v>
      </c>
      <c r="D33" s="77" t="s">
        <v>70</v>
      </c>
      <c r="E33" s="69" t="s">
        <v>66</v>
      </c>
    </row>
    <row r="34" spans="1:8" ht="43.2" x14ac:dyDescent="0.3">
      <c r="A34" s="74" t="s">
        <v>658</v>
      </c>
      <c r="B34" s="69">
        <v>33</v>
      </c>
      <c r="C34" s="77" t="s">
        <v>71</v>
      </c>
      <c r="D34" s="77" t="s">
        <v>72</v>
      </c>
      <c r="E34" s="69" t="s">
        <v>66</v>
      </c>
    </row>
    <row r="35" spans="1:8" ht="43.2" x14ac:dyDescent="0.3">
      <c r="A35" s="74" t="s">
        <v>659</v>
      </c>
      <c r="B35" s="69">
        <v>34</v>
      </c>
      <c r="C35" s="77" t="s">
        <v>73</v>
      </c>
      <c r="D35" s="77" t="s">
        <v>74</v>
      </c>
      <c r="E35" s="69" t="s">
        <v>66</v>
      </c>
    </row>
    <row r="36" spans="1:8" s="57" customFormat="1" ht="43.2" x14ac:dyDescent="0.3">
      <c r="A36" s="74" t="s">
        <v>659</v>
      </c>
      <c r="B36" s="86">
        <v>35</v>
      </c>
      <c r="C36" s="78" t="s">
        <v>75</v>
      </c>
      <c r="D36" s="78" t="s">
        <v>76</v>
      </c>
      <c r="E36" s="86" t="s">
        <v>66</v>
      </c>
      <c r="F36" s="79" t="s">
        <v>570</v>
      </c>
      <c r="G36" s="58" t="s">
        <v>574</v>
      </c>
      <c r="H36" s="78"/>
    </row>
    <row r="37" spans="1:8" s="57" customFormat="1" ht="43.2" x14ac:dyDescent="0.3">
      <c r="A37" s="74" t="s">
        <v>659</v>
      </c>
      <c r="B37" s="86">
        <v>36</v>
      </c>
      <c r="C37" s="78" t="s">
        <v>77</v>
      </c>
      <c r="D37" s="78" t="s">
        <v>78</v>
      </c>
      <c r="E37" s="86" t="s">
        <v>66</v>
      </c>
      <c r="F37" s="79" t="s">
        <v>571</v>
      </c>
      <c r="G37" s="58" t="s">
        <v>574</v>
      </c>
      <c r="H37" s="78"/>
    </row>
    <row r="38" spans="1:8" ht="28.8" x14ac:dyDescent="0.3">
      <c r="A38" s="74" t="s">
        <v>660</v>
      </c>
      <c r="B38" s="69">
        <v>37</v>
      </c>
      <c r="C38" s="83" t="s">
        <v>387</v>
      </c>
      <c r="D38" s="83" t="s">
        <v>388</v>
      </c>
      <c r="E38" s="88" t="s">
        <v>66</v>
      </c>
    </row>
    <row r="39" spans="1:8" ht="28.8" x14ac:dyDescent="0.3">
      <c r="A39" s="74" t="s">
        <v>660</v>
      </c>
      <c r="B39" s="69">
        <v>38</v>
      </c>
      <c r="C39" s="83" t="s">
        <v>389</v>
      </c>
      <c r="D39" s="83" t="s">
        <v>390</v>
      </c>
      <c r="E39" s="88" t="s">
        <v>66</v>
      </c>
    </row>
    <row r="40" spans="1:8" ht="28.8" x14ac:dyDescent="0.3">
      <c r="A40" s="74" t="s">
        <v>660</v>
      </c>
      <c r="B40" s="69">
        <v>39</v>
      </c>
      <c r="C40" s="83" t="s">
        <v>391</v>
      </c>
      <c r="D40" s="83" t="s">
        <v>392</v>
      </c>
      <c r="E40" s="88" t="s">
        <v>66</v>
      </c>
    </row>
    <row r="41" spans="1:8" ht="28.8" x14ac:dyDescent="0.3">
      <c r="A41" s="74" t="s">
        <v>660</v>
      </c>
      <c r="B41" s="69">
        <v>40</v>
      </c>
      <c r="C41" s="83" t="s">
        <v>393</v>
      </c>
      <c r="D41" s="83" t="s">
        <v>394</v>
      </c>
      <c r="E41" s="88" t="s">
        <v>66</v>
      </c>
    </row>
    <row r="42" spans="1:8" ht="28.8" x14ac:dyDescent="0.3">
      <c r="A42" s="74" t="s">
        <v>660</v>
      </c>
      <c r="B42" s="69">
        <v>41</v>
      </c>
      <c r="C42" s="83" t="s">
        <v>395</v>
      </c>
      <c r="D42" s="83" t="s">
        <v>396</v>
      </c>
      <c r="E42" s="88" t="s">
        <v>66</v>
      </c>
    </row>
    <row r="43" spans="1:8" ht="28.8" x14ac:dyDescent="0.3">
      <c r="A43" s="74" t="s">
        <v>660</v>
      </c>
      <c r="B43" s="69">
        <v>42</v>
      </c>
      <c r="C43" s="83" t="s">
        <v>397</v>
      </c>
      <c r="D43" s="83" t="s">
        <v>398</v>
      </c>
      <c r="E43" s="88" t="s">
        <v>66</v>
      </c>
    </row>
    <row r="44" spans="1:8" ht="28.8" x14ac:dyDescent="0.3">
      <c r="A44" s="74" t="s">
        <v>660</v>
      </c>
      <c r="B44" s="69">
        <v>43</v>
      </c>
      <c r="C44" s="83" t="s">
        <v>399</v>
      </c>
      <c r="D44" s="83" t="s">
        <v>400</v>
      </c>
      <c r="E44" s="88" t="s">
        <v>66</v>
      </c>
    </row>
    <row r="45" spans="1:8" ht="43.2" x14ac:dyDescent="0.3">
      <c r="A45" s="74" t="s">
        <v>659</v>
      </c>
      <c r="B45" s="69">
        <v>44</v>
      </c>
      <c r="C45" s="83" t="s">
        <v>401</v>
      </c>
      <c r="D45" s="83" t="s">
        <v>402</v>
      </c>
      <c r="E45" s="88" t="s">
        <v>66</v>
      </c>
    </row>
    <row r="46" spans="1:8" ht="28.8" x14ac:dyDescent="0.3">
      <c r="A46" s="74" t="s">
        <v>660</v>
      </c>
      <c r="B46" s="69">
        <v>45</v>
      </c>
      <c r="C46" s="83" t="s">
        <v>403</v>
      </c>
      <c r="D46" s="83" t="s">
        <v>404</v>
      </c>
      <c r="E46" s="88" t="s">
        <v>66</v>
      </c>
    </row>
    <row r="47" spans="1:8" ht="28.8" x14ac:dyDescent="0.3">
      <c r="A47" s="74" t="s">
        <v>660</v>
      </c>
      <c r="B47" s="69">
        <v>46</v>
      </c>
      <c r="C47" s="83" t="s">
        <v>405</v>
      </c>
      <c r="D47" s="83" t="s">
        <v>406</v>
      </c>
      <c r="E47" s="88" t="s">
        <v>66</v>
      </c>
    </row>
    <row r="48" spans="1:8" ht="43.2" x14ac:dyDescent="0.3">
      <c r="A48" s="74" t="s">
        <v>661</v>
      </c>
      <c r="B48" s="69">
        <v>47</v>
      </c>
      <c r="C48" s="77" t="s">
        <v>79</v>
      </c>
      <c r="D48" s="77" t="s">
        <v>81</v>
      </c>
      <c r="E48" s="69" t="s">
        <v>80</v>
      </c>
    </row>
    <row r="49" spans="1:8" ht="43.2" x14ac:dyDescent="0.3">
      <c r="A49" s="74" t="s">
        <v>661</v>
      </c>
      <c r="B49" s="69">
        <v>48</v>
      </c>
      <c r="C49" s="77" t="s">
        <v>82</v>
      </c>
      <c r="D49" s="77" t="s">
        <v>83</v>
      </c>
      <c r="E49" s="69" t="s">
        <v>80</v>
      </c>
    </row>
    <row r="50" spans="1:8" ht="43.2" x14ac:dyDescent="0.3">
      <c r="A50" s="74" t="s">
        <v>661</v>
      </c>
      <c r="B50" s="69">
        <v>49</v>
      </c>
      <c r="C50" s="77" t="s">
        <v>84</v>
      </c>
      <c r="D50" s="77" t="s">
        <v>85</v>
      </c>
      <c r="E50" s="69" t="s">
        <v>80</v>
      </c>
    </row>
    <row r="51" spans="1:8" s="57" customFormat="1" ht="43.2" x14ac:dyDescent="0.3">
      <c r="A51" s="74" t="s">
        <v>661</v>
      </c>
      <c r="B51" s="86">
        <v>50</v>
      </c>
      <c r="C51" s="78" t="s">
        <v>86</v>
      </c>
      <c r="D51" s="78" t="s">
        <v>87</v>
      </c>
      <c r="E51" s="86" t="s">
        <v>80</v>
      </c>
      <c r="F51" s="80" t="s">
        <v>572</v>
      </c>
      <c r="G51" s="59" t="s">
        <v>645</v>
      </c>
      <c r="H51" s="84" t="s">
        <v>646</v>
      </c>
    </row>
    <row r="52" spans="1:8" ht="28.8" x14ac:dyDescent="0.3">
      <c r="A52" s="74" t="s">
        <v>662</v>
      </c>
      <c r="B52" s="69">
        <v>51</v>
      </c>
      <c r="C52" s="77" t="s">
        <v>88</v>
      </c>
      <c r="D52" s="77" t="s">
        <v>90</v>
      </c>
      <c r="E52" s="69" t="s">
        <v>89</v>
      </c>
    </row>
    <row r="53" spans="1:8" ht="28.8" x14ac:dyDescent="0.3">
      <c r="A53" s="74" t="s">
        <v>662</v>
      </c>
      <c r="B53" s="69">
        <v>52</v>
      </c>
      <c r="C53" s="77" t="s">
        <v>91</v>
      </c>
      <c r="D53" s="77" t="s">
        <v>92</v>
      </c>
      <c r="E53" s="69" t="s">
        <v>89</v>
      </c>
    </row>
    <row r="54" spans="1:8" ht="28.8" x14ac:dyDescent="0.3">
      <c r="A54" s="74" t="s">
        <v>662</v>
      </c>
      <c r="B54" s="69">
        <v>53</v>
      </c>
      <c r="C54" s="77" t="s">
        <v>93</v>
      </c>
      <c r="D54" s="77" t="s">
        <v>94</v>
      </c>
      <c r="E54" s="69" t="s">
        <v>89</v>
      </c>
    </row>
    <row r="55" spans="1:8" ht="28.8" x14ac:dyDescent="0.3">
      <c r="A55" s="74" t="s">
        <v>662</v>
      </c>
      <c r="B55" s="69">
        <v>54</v>
      </c>
      <c r="C55" s="77" t="s">
        <v>95</v>
      </c>
      <c r="D55" s="77" t="s">
        <v>96</v>
      </c>
      <c r="E55" s="69" t="s">
        <v>89</v>
      </c>
    </row>
  </sheetData>
  <autoFilter ref="B1:E55" xr:uid="{00000000-0009-0000-0000-000000000000}"/>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sheetPr>
  <dimension ref="A1:C13"/>
  <sheetViews>
    <sheetView zoomScale="130" zoomScaleNormal="130" zoomScalePageLayoutView="130" workbookViewId="0">
      <selection activeCell="B21" sqref="B21"/>
    </sheetView>
  </sheetViews>
  <sheetFormatPr baseColWidth="10" defaultColWidth="8.77734375" defaultRowHeight="14.4" x14ac:dyDescent="0.3"/>
  <cols>
    <col min="1" max="1" width="30.44140625" style="3" bestFit="1" customWidth="1"/>
    <col min="2" max="2" width="40.44140625" style="3" customWidth="1"/>
    <col min="3" max="3" width="22.44140625" style="3" customWidth="1"/>
    <col min="4" max="16384" width="8.77734375" style="3"/>
  </cols>
  <sheetData>
    <row r="1" spans="1:3" ht="15.6" x14ac:dyDescent="0.3">
      <c r="A1" s="89" t="s">
        <v>4</v>
      </c>
      <c r="B1" s="89"/>
      <c r="C1" s="89"/>
    </row>
    <row r="2" spans="1:3" x14ac:dyDescent="0.3">
      <c r="A2" s="38" t="s">
        <v>97</v>
      </c>
      <c r="B2" s="38" t="s">
        <v>98</v>
      </c>
      <c r="C2" s="38" t="s">
        <v>191</v>
      </c>
    </row>
    <row r="3" spans="1:3" x14ac:dyDescent="0.3">
      <c r="A3" s="3" t="s">
        <v>100</v>
      </c>
      <c r="B3" s="3" t="s">
        <v>101</v>
      </c>
      <c r="C3" s="3">
        <v>4</v>
      </c>
    </row>
    <row r="4" spans="1:3" x14ac:dyDescent="0.3">
      <c r="A4" s="3" t="s">
        <v>102</v>
      </c>
      <c r="B4" s="3" t="s">
        <v>103</v>
      </c>
      <c r="C4" s="3">
        <v>1</v>
      </c>
    </row>
    <row r="5" spans="1:3" x14ac:dyDescent="0.3">
      <c r="A5" s="39" t="s">
        <v>486</v>
      </c>
      <c r="B5" s="39" t="s">
        <v>105</v>
      </c>
      <c r="C5" s="39">
        <v>1</v>
      </c>
    </row>
    <row r="6" spans="1:3" x14ac:dyDescent="0.3">
      <c r="A6" s="39" t="s">
        <v>486</v>
      </c>
      <c r="B6" s="39" t="s">
        <v>106</v>
      </c>
      <c r="C6" s="39">
        <v>5</v>
      </c>
    </row>
    <row r="7" spans="1:3" x14ac:dyDescent="0.3">
      <c r="A7" s="39" t="s">
        <v>486</v>
      </c>
      <c r="B7" s="39" t="s">
        <v>107</v>
      </c>
      <c r="C7" s="39">
        <v>26</v>
      </c>
    </row>
    <row r="8" spans="1:3" x14ac:dyDescent="0.3">
      <c r="A8" s="39" t="s">
        <v>104</v>
      </c>
      <c r="B8" s="39" t="s">
        <v>108</v>
      </c>
      <c r="C8" s="39">
        <v>33</v>
      </c>
    </row>
    <row r="9" spans="1:3" x14ac:dyDescent="0.3">
      <c r="A9" s="39" t="s">
        <v>104</v>
      </c>
      <c r="B9" s="39" t="s">
        <v>109</v>
      </c>
      <c r="C9" s="39">
        <v>6</v>
      </c>
    </row>
    <row r="10" spans="1:3" x14ac:dyDescent="0.3">
      <c r="A10" s="3" t="s">
        <v>110</v>
      </c>
      <c r="B10" s="3" t="s">
        <v>111</v>
      </c>
      <c r="C10" s="36">
        <v>3920</v>
      </c>
    </row>
    <row r="11" spans="1:3" x14ac:dyDescent="0.3">
      <c r="A11" s="3" t="s">
        <v>112</v>
      </c>
      <c r="B11" s="3" t="s">
        <v>109</v>
      </c>
      <c r="C11" s="3">
        <v>70</v>
      </c>
    </row>
    <row r="12" spans="1:3" ht="7.05" customHeight="1" x14ac:dyDescent="0.3">
      <c r="A12" s="34"/>
      <c r="B12" s="34"/>
      <c r="C12" s="34"/>
    </row>
    <row r="13" spans="1:3" x14ac:dyDescent="0.3">
      <c r="A13" s="90" t="s">
        <v>113</v>
      </c>
      <c r="B13" s="90"/>
      <c r="C13" s="90"/>
    </row>
  </sheetData>
  <mergeCells count="2">
    <mergeCell ref="A1:C1"/>
    <mergeCell ref="A13:C13"/>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4"/>
  <sheetViews>
    <sheetView zoomScale="115" zoomScaleNormal="115" workbookViewId="0">
      <selection activeCell="A14" sqref="A14:B14"/>
    </sheetView>
  </sheetViews>
  <sheetFormatPr baseColWidth="10" defaultColWidth="8.77734375" defaultRowHeight="14.4" x14ac:dyDescent="0.3"/>
  <cols>
    <col min="1" max="1" width="51.33203125" customWidth="1"/>
    <col min="2" max="2" width="22.77734375" customWidth="1"/>
  </cols>
  <sheetData>
    <row r="1" spans="1:2" ht="15.6" x14ac:dyDescent="0.3">
      <c r="A1" s="92" t="s">
        <v>9</v>
      </c>
      <c r="B1" s="92"/>
    </row>
    <row r="2" spans="1:2" x14ac:dyDescent="0.3">
      <c r="A2" s="7" t="s">
        <v>130</v>
      </c>
      <c r="B2" s="7" t="s">
        <v>131</v>
      </c>
    </row>
    <row r="3" spans="1:2" x14ac:dyDescent="0.3">
      <c r="A3" t="s">
        <v>552</v>
      </c>
      <c r="B3" s="16">
        <v>251</v>
      </c>
    </row>
    <row r="4" spans="1:2" x14ac:dyDescent="0.3">
      <c r="A4" t="s">
        <v>553</v>
      </c>
      <c r="B4" s="16">
        <v>74</v>
      </c>
    </row>
    <row r="5" spans="1:2" x14ac:dyDescent="0.3">
      <c r="A5" t="s">
        <v>554</v>
      </c>
      <c r="B5" s="17">
        <v>3703</v>
      </c>
    </row>
    <row r="6" spans="1:2" x14ac:dyDescent="0.3">
      <c r="A6" t="s">
        <v>555</v>
      </c>
      <c r="B6" s="17">
        <v>23496</v>
      </c>
    </row>
    <row r="7" spans="1:2" x14ac:dyDescent="0.3">
      <c r="A7" t="s">
        <v>556</v>
      </c>
      <c r="B7" s="16">
        <v>175</v>
      </c>
    </row>
    <row r="8" spans="1:2" x14ac:dyDescent="0.3">
      <c r="A8" t="s">
        <v>557</v>
      </c>
      <c r="B8" s="17">
        <v>8289</v>
      </c>
    </row>
    <row r="9" spans="1:2" x14ac:dyDescent="0.3">
      <c r="A9" t="s">
        <v>558</v>
      </c>
      <c r="B9" s="16">
        <v>53</v>
      </c>
    </row>
    <row r="10" spans="1:2" x14ac:dyDescent="0.3">
      <c r="A10" t="s">
        <v>559</v>
      </c>
      <c r="B10" s="16">
        <v>97</v>
      </c>
    </row>
    <row r="11" spans="1:2" x14ac:dyDescent="0.3">
      <c r="A11" t="s">
        <v>132</v>
      </c>
      <c r="B11" s="17">
        <v>1621</v>
      </c>
    </row>
    <row r="12" spans="1:2" x14ac:dyDescent="0.3">
      <c r="A12" s="93" t="s">
        <v>183</v>
      </c>
      <c r="B12" s="18">
        <v>37759</v>
      </c>
    </row>
    <row r="13" spans="1:2" ht="62.55" customHeight="1" x14ac:dyDescent="0.3">
      <c r="A13" s="95" t="s">
        <v>435</v>
      </c>
      <c r="B13" s="94"/>
    </row>
    <row r="14" spans="1:2" ht="28.5" customHeight="1" x14ac:dyDescent="0.3">
      <c r="A14" s="94" t="s">
        <v>113</v>
      </c>
      <c r="B14" s="94"/>
    </row>
  </sheetData>
  <mergeCells count="4">
    <mergeCell ref="A1:B1"/>
    <mergeCell ref="A12"/>
    <mergeCell ref="A14:B14"/>
    <mergeCell ref="A13:B13"/>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7"/>
  <sheetViews>
    <sheetView zoomScale="115" zoomScaleNormal="115" workbookViewId="0">
      <selection activeCell="A17" sqref="A17:B17"/>
    </sheetView>
  </sheetViews>
  <sheetFormatPr baseColWidth="10" defaultColWidth="8.77734375" defaultRowHeight="14.4" x14ac:dyDescent="0.3"/>
  <cols>
    <col min="1" max="1" width="46.109375" customWidth="1"/>
    <col min="2" max="2" width="29" customWidth="1"/>
  </cols>
  <sheetData>
    <row r="1" spans="1:2" ht="15.6" x14ac:dyDescent="0.3">
      <c r="A1" s="96" t="s">
        <v>11</v>
      </c>
      <c r="B1" s="96"/>
    </row>
    <row r="2" spans="1:2" x14ac:dyDescent="0.3">
      <c r="A2" s="7" t="s">
        <v>114</v>
      </c>
      <c r="B2" s="7" t="s">
        <v>133</v>
      </c>
    </row>
    <row r="3" spans="1:2" x14ac:dyDescent="0.3">
      <c r="A3" t="s">
        <v>117</v>
      </c>
      <c r="B3" s="5">
        <v>5141</v>
      </c>
    </row>
    <row r="4" spans="1:2" x14ac:dyDescent="0.3">
      <c r="A4" t="s">
        <v>118</v>
      </c>
      <c r="B4" s="5">
        <v>4966</v>
      </c>
    </row>
    <row r="5" spans="1:2" x14ac:dyDescent="0.3">
      <c r="A5" t="s">
        <v>119</v>
      </c>
      <c r="B5" s="5">
        <v>5983</v>
      </c>
    </row>
    <row r="6" spans="1:2" x14ac:dyDescent="0.3">
      <c r="A6" t="s">
        <v>120</v>
      </c>
      <c r="B6" s="5">
        <v>4246</v>
      </c>
    </row>
    <row r="7" spans="1:2" x14ac:dyDescent="0.3">
      <c r="A7" t="s">
        <v>121</v>
      </c>
      <c r="B7" s="5">
        <v>4694</v>
      </c>
    </row>
    <row r="8" spans="1:2" x14ac:dyDescent="0.3">
      <c r="A8" t="s">
        <v>122</v>
      </c>
      <c r="B8" s="5">
        <v>5539</v>
      </c>
    </row>
    <row r="9" spans="1:2" x14ac:dyDescent="0.3">
      <c r="A9" t="s">
        <v>123</v>
      </c>
      <c r="B9" s="5">
        <v>5837</v>
      </c>
    </row>
    <row r="10" spans="1:2" x14ac:dyDescent="0.3">
      <c r="A10" t="s">
        <v>124</v>
      </c>
      <c r="B10" s="5">
        <v>6836</v>
      </c>
    </row>
    <row r="11" spans="1:2" x14ac:dyDescent="0.3">
      <c r="A11" t="s">
        <v>125</v>
      </c>
      <c r="B11" s="5">
        <v>6365</v>
      </c>
    </row>
    <row r="12" spans="1:2" x14ac:dyDescent="0.3">
      <c r="A12" t="s">
        <v>126</v>
      </c>
      <c r="B12" s="5">
        <v>5956</v>
      </c>
    </row>
    <row r="13" spans="1:2" x14ac:dyDescent="0.3">
      <c r="A13" t="s">
        <v>127</v>
      </c>
      <c r="B13" s="5">
        <v>6137</v>
      </c>
    </row>
    <row r="14" spans="1:2" x14ac:dyDescent="0.3">
      <c r="A14" t="s">
        <v>128</v>
      </c>
      <c r="B14" s="5">
        <v>7499</v>
      </c>
    </row>
    <row r="15" spans="1:2" x14ac:dyDescent="0.3">
      <c r="A15" s="93" t="s">
        <v>183</v>
      </c>
      <c r="B15" s="8">
        <v>69199</v>
      </c>
    </row>
    <row r="16" spans="1:2" ht="29.55" customHeight="1" x14ac:dyDescent="0.3">
      <c r="A16" s="95" t="s">
        <v>436</v>
      </c>
      <c r="B16" s="94"/>
    </row>
    <row r="17" spans="1:2" ht="33" customHeight="1" x14ac:dyDescent="0.3">
      <c r="A17" s="94" t="s">
        <v>113</v>
      </c>
      <c r="B17" s="94"/>
    </row>
  </sheetData>
  <mergeCells count="4">
    <mergeCell ref="A1:B1"/>
    <mergeCell ref="A15"/>
    <mergeCell ref="A17:B17"/>
    <mergeCell ref="A16:B16"/>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2"/>
  <sheetViews>
    <sheetView zoomScale="130" zoomScaleNormal="130" workbookViewId="0">
      <selection activeCell="B6" sqref="B6"/>
    </sheetView>
  </sheetViews>
  <sheetFormatPr baseColWidth="10" defaultColWidth="8.77734375" defaultRowHeight="14.4" x14ac:dyDescent="0.3"/>
  <cols>
    <col min="1" max="1" width="60.109375" customWidth="1"/>
    <col min="2" max="2" width="12.44140625" customWidth="1"/>
    <col min="3" max="3" width="7" bestFit="1" customWidth="1"/>
  </cols>
  <sheetData>
    <row r="1" spans="1:3" ht="15.6" x14ac:dyDescent="0.3">
      <c r="A1" s="97" t="s">
        <v>13</v>
      </c>
      <c r="B1" s="97"/>
      <c r="C1" s="97"/>
    </row>
    <row r="2" spans="1:3" x14ac:dyDescent="0.3">
      <c r="A2" s="7" t="s">
        <v>134</v>
      </c>
      <c r="B2" s="7" t="s">
        <v>135</v>
      </c>
    </row>
    <row r="3" spans="1:3" x14ac:dyDescent="0.3">
      <c r="A3" t="s">
        <v>136</v>
      </c>
      <c r="B3">
        <v>97</v>
      </c>
    </row>
    <row r="4" spans="1:3" x14ac:dyDescent="0.3">
      <c r="A4" t="s">
        <v>137</v>
      </c>
      <c r="B4">
        <v>134</v>
      </c>
    </row>
    <row r="5" spans="1:3" x14ac:dyDescent="0.3">
      <c r="A5" t="s">
        <v>138</v>
      </c>
      <c r="B5">
        <v>282</v>
      </c>
    </row>
    <row r="6" spans="1:3" x14ac:dyDescent="0.3">
      <c r="A6" t="s">
        <v>139</v>
      </c>
      <c r="B6">
        <v>538</v>
      </c>
    </row>
    <row r="7" spans="1:3" x14ac:dyDescent="0.3">
      <c r="A7" t="s">
        <v>140</v>
      </c>
      <c r="B7">
        <v>163</v>
      </c>
    </row>
    <row r="8" spans="1:3" x14ac:dyDescent="0.3">
      <c r="A8" t="s">
        <v>141</v>
      </c>
      <c r="B8">
        <v>203</v>
      </c>
    </row>
    <row r="9" spans="1:3" x14ac:dyDescent="0.3">
      <c r="A9" t="s">
        <v>142</v>
      </c>
      <c r="B9" s="5">
        <v>2765</v>
      </c>
    </row>
    <row r="10" spans="1:3" ht="7.05" customHeight="1" x14ac:dyDescent="0.3">
      <c r="A10" s="6"/>
      <c r="B10" s="6"/>
    </row>
    <row r="11" spans="1:3" ht="28.95" customHeight="1" x14ac:dyDescent="0.3">
      <c r="A11" s="98" t="s">
        <v>437</v>
      </c>
      <c r="B11" s="98"/>
    </row>
    <row r="12" spans="1:3" ht="28.95" customHeight="1" x14ac:dyDescent="0.3">
      <c r="A12" s="99" t="s">
        <v>113</v>
      </c>
      <c r="B12" s="99"/>
    </row>
  </sheetData>
  <mergeCells count="3">
    <mergeCell ref="A1:C1"/>
    <mergeCell ref="A11:B11"/>
    <mergeCell ref="A12:B12"/>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7"/>
  <sheetViews>
    <sheetView zoomScale="115" zoomScaleNormal="115" workbookViewId="0">
      <selection activeCell="D18" sqref="D18"/>
    </sheetView>
  </sheetViews>
  <sheetFormatPr baseColWidth="10" defaultColWidth="8.77734375" defaultRowHeight="14.4" x14ac:dyDescent="0.3"/>
  <cols>
    <col min="1" max="1" width="18.109375" customWidth="1"/>
    <col min="2" max="2" width="26" customWidth="1"/>
    <col min="3" max="3" width="19" customWidth="1"/>
    <col min="4" max="4" width="7" bestFit="1" customWidth="1"/>
  </cols>
  <sheetData>
    <row r="1" spans="1:4" ht="15.6" x14ac:dyDescent="0.3">
      <c r="A1" s="96" t="s">
        <v>386</v>
      </c>
      <c r="B1" s="96"/>
      <c r="C1" s="96"/>
      <c r="D1" s="96"/>
    </row>
    <row r="2" spans="1:4" x14ac:dyDescent="0.3">
      <c r="A2" s="7" t="s">
        <v>143</v>
      </c>
      <c r="B2" s="7" t="s">
        <v>144</v>
      </c>
      <c r="C2" s="7" t="s">
        <v>145</v>
      </c>
    </row>
    <row r="3" spans="1:4" x14ac:dyDescent="0.3">
      <c r="A3" s="14" t="s">
        <v>439</v>
      </c>
      <c r="B3">
        <v>7</v>
      </c>
      <c r="C3">
        <v>142</v>
      </c>
    </row>
    <row r="4" spans="1:4" x14ac:dyDescent="0.3">
      <c r="A4" s="14" t="s">
        <v>440</v>
      </c>
      <c r="B4">
        <v>2</v>
      </c>
      <c r="C4">
        <v>54</v>
      </c>
    </row>
    <row r="5" spans="1:4" x14ac:dyDescent="0.3">
      <c r="A5" s="14" t="s">
        <v>441</v>
      </c>
      <c r="B5">
        <v>37</v>
      </c>
      <c r="C5">
        <v>823</v>
      </c>
    </row>
    <row r="6" spans="1:4" x14ac:dyDescent="0.3">
      <c r="A6" s="14" t="s">
        <v>442</v>
      </c>
      <c r="B6">
        <v>2</v>
      </c>
      <c r="C6">
        <v>45</v>
      </c>
    </row>
    <row r="7" spans="1:4" x14ac:dyDescent="0.3">
      <c r="A7" s="14" t="s">
        <v>443</v>
      </c>
      <c r="B7">
        <v>23</v>
      </c>
      <c r="C7">
        <v>478</v>
      </c>
    </row>
    <row r="8" spans="1:4" x14ac:dyDescent="0.3">
      <c r="A8" s="14" t="s">
        <v>444</v>
      </c>
      <c r="B8">
        <v>1</v>
      </c>
      <c r="C8">
        <v>29</v>
      </c>
    </row>
    <row r="9" spans="1:4" x14ac:dyDescent="0.3">
      <c r="A9" s="14" t="s">
        <v>445</v>
      </c>
      <c r="B9">
        <v>5</v>
      </c>
      <c r="C9">
        <v>110</v>
      </c>
    </row>
    <row r="10" spans="1:4" x14ac:dyDescent="0.3">
      <c r="A10" s="14" t="s">
        <v>446</v>
      </c>
      <c r="B10">
        <v>2</v>
      </c>
      <c r="C10">
        <v>20</v>
      </c>
    </row>
    <row r="11" spans="1:4" x14ac:dyDescent="0.3">
      <c r="A11" s="14" t="s">
        <v>447</v>
      </c>
      <c r="B11">
        <v>6</v>
      </c>
      <c r="C11">
        <v>213</v>
      </c>
    </row>
    <row r="12" spans="1:4" x14ac:dyDescent="0.3">
      <c r="A12" s="14" t="s">
        <v>448</v>
      </c>
      <c r="B12">
        <v>5</v>
      </c>
      <c r="C12">
        <v>81</v>
      </c>
    </row>
    <row r="13" spans="1:4" x14ac:dyDescent="0.3">
      <c r="A13" s="14" t="s">
        <v>449</v>
      </c>
      <c r="B13">
        <v>4</v>
      </c>
      <c r="C13">
        <v>71</v>
      </c>
    </row>
    <row r="14" spans="1:4" x14ac:dyDescent="0.3">
      <c r="A14" s="14" t="s">
        <v>450</v>
      </c>
      <c r="B14">
        <v>3</v>
      </c>
      <c r="C14">
        <v>73</v>
      </c>
    </row>
    <row r="15" spans="1:4" x14ac:dyDescent="0.3">
      <c r="A15" s="13" t="s">
        <v>451</v>
      </c>
      <c r="B15" s="6">
        <f>SUM(B3:B14)</f>
        <v>97</v>
      </c>
      <c r="C15" s="6">
        <f>SUM(C3:C14)</f>
        <v>2139</v>
      </c>
    </row>
    <row r="16" spans="1:4" ht="64.95" customHeight="1" x14ac:dyDescent="0.3">
      <c r="A16" s="100" t="s">
        <v>438</v>
      </c>
      <c r="B16" s="100"/>
      <c r="C16" s="100"/>
    </row>
    <row r="17" spans="1:3" ht="30.45" customHeight="1" x14ac:dyDescent="0.3">
      <c r="A17" s="99" t="s">
        <v>113</v>
      </c>
      <c r="B17" s="99"/>
      <c r="C17" s="99"/>
    </row>
  </sheetData>
  <mergeCells count="3">
    <mergeCell ref="A1:D1"/>
    <mergeCell ref="A16:C16"/>
    <mergeCell ref="A17:C17"/>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2"/>
  <sheetViews>
    <sheetView zoomScale="115" zoomScaleNormal="115" workbookViewId="0">
      <selection activeCell="A11" sqref="A11:B11"/>
    </sheetView>
  </sheetViews>
  <sheetFormatPr baseColWidth="10" defaultColWidth="8.77734375" defaultRowHeight="14.4" x14ac:dyDescent="0.3"/>
  <cols>
    <col min="1" max="1" width="49.109375" customWidth="1"/>
    <col min="2" max="2" width="42.44140625" customWidth="1"/>
  </cols>
  <sheetData>
    <row r="1" spans="1:2" ht="15.6" x14ac:dyDescent="0.3">
      <c r="A1" s="96" t="s">
        <v>17</v>
      </c>
      <c r="B1" s="96"/>
    </row>
    <row r="2" spans="1:2" x14ac:dyDescent="0.3">
      <c r="A2" s="7" t="s">
        <v>143</v>
      </c>
      <c r="B2" s="7" t="s">
        <v>146</v>
      </c>
    </row>
    <row r="3" spans="1:2" x14ac:dyDescent="0.3">
      <c r="A3" s="14" t="s">
        <v>441</v>
      </c>
      <c r="B3" s="19">
        <v>1354</v>
      </c>
    </row>
    <row r="4" spans="1:2" x14ac:dyDescent="0.3">
      <c r="A4" s="14" t="s">
        <v>443</v>
      </c>
      <c r="B4">
        <v>3</v>
      </c>
    </row>
    <row r="5" spans="1:2" x14ac:dyDescent="0.3">
      <c r="A5" s="14" t="s">
        <v>444</v>
      </c>
      <c r="B5">
        <v>216</v>
      </c>
    </row>
    <row r="6" spans="1:2" x14ac:dyDescent="0.3">
      <c r="A6" s="14" t="s">
        <v>445</v>
      </c>
      <c r="B6">
        <v>9</v>
      </c>
    </row>
    <row r="7" spans="1:2" x14ac:dyDescent="0.3">
      <c r="A7" s="14" t="s">
        <v>446</v>
      </c>
      <c r="B7">
        <v>73</v>
      </c>
    </row>
    <row r="8" spans="1:2" x14ac:dyDescent="0.3">
      <c r="A8" s="14" t="s">
        <v>449</v>
      </c>
      <c r="B8">
        <v>5</v>
      </c>
    </row>
    <row r="9" spans="1:2" x14ac:dyDescent="0.3">
      <c r="A9" s="14" t="s">
        <v>450</v>
      </c>
      <c r="B9">
        <v>5</v>
      </c>
    </row>
    <row r="10" spans="1:2" x14ac:dyDescent="0.3">
      <c r="A10" s="101" t="s">
        <v>451</v>
      </c>
      <c r="B10" s="15">
        <v>1665</v>
      </c>
    </row>
    <row r="11" spans="1:2" ht="45.45" customHeight="1" x14ac:dyDescent="0.3">
      <c r="A11" s="95" t="s">
        <v>452</v>
      </c>
      <c r="B11" s="94"/>
    </row>
    <row r="12" spans="1:2" x14ac:dyDescent="0.3">
      <c r="A12" s="94" t="s">
        <v>113</v>
      </c>
      <c r="B12" s="94"/>
    </row>
  </sheetData>
  <mergeCells count="4">
    <mergeCell ref="A1:B1"/>
    <mergeCell ref="A10"/>
    <mergeCell ref="A12:B12"/>
    <mergeCell ref="A11:B11"/>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1"/>
  <sheetViews>
    <sheetView zoomScale="115" zoomScaleNormal="115" workbookViewId="0">
      <selection activeCell="E17" sqref="E17"/>
    </sheetView>
  </sheetViews>
  <sheetFormatPr baseColWidth="10" defaultColWidth="8.77734375" defaultRowHeight="14.4" x14ac:dyDescent="0.3"/>
  <cols>
    <col min="1" max="1" width="62.44140625" customWidth="1"/>
    <col min="2" max="2" width="32.77734375" customWidth="1"/>
  </cols>
  <sheetData>
    <row r="1" spans="1:2" ht="21" customHeight="1" x14ac:dyDescent="0.3">
      <c r="A1" s="96" t="s">
        <v>19</v>
      </c>
      <c r="B1" s="96"/>
    </row>
    <row r="2" spans="1:2" x14ac:dyDescent="0.3">
      <c r="A2" s="7" t="s">
        <v>147</v>
      </c>
      <c r="B2" s="7" t="s">
        <v>133</v>
      </c>
    </row>
    <row r="3" spans="1:2" x14ac:dyDescent="0.3">
      <c r="A3" t="s">
        <v>148</v>
      </c>
      <c r="B3" s="19">
        <v>9911</v>
      </c>
    </row>
    <row r="4" spans="1:2" x14ac:dyDescent="0.3">
      <c r="A4" t="s">
        <v>149</v>
      </c>
      <c r="B4" s="19">
        <v>5287</v>
      </c>
    </row>
    <row r="5" spans="1:2" x14ac:dyDescent="0.3">
      <c r="A5" t="s">
        <v>152</v>
      </c>
      <c r="B5" s="19">
        <v>679</v>
      </c>
    </row>
    <row r="6" spans="1:2" x14ac:dyDescent="0.3">
      <c r="A6" t="s">
        <v>150</v>
      </c>
      <c r="B6" s="19">
        <v>4331</v>
      </c>
    </row>
    <row r="7" spans="1:2" x14ac:dyDescent="0.3">
      <c r="A7" t="s">
        <v>151</v>
      </c>
      <c r="B7" s="19">
        <v>52</v>
      </c>
    </row>
    <row r="8" spans="1:2" x14ac:dyDescent="0.3">
      <c r="A8" t="s">
        <v>153</v>
      </c>
      <c r="B8" s="19">
        <v>137</v>
      </c>
    </row>
    <row r="9" spans="1:2" x14ac:dyDescent="0.3">
      <c r="A9" s="106"/>
      <c r="B9" s="106"/>
    </row>
    <row r="10" spans="1:2" ht="49.05" customHeight="1" x14ac:dyDescent="0.3">
      <c r="A10" s="104" t="s">
        <v>453</v>
      </c>
      <c r="B10" s="105"/>
    </row>
    <row r="11" spans="1:2" x14ac:dyDescent="0.3">
      <c r="A11" s="102" t="s">
        <v>113</v>
      </c>
      <c r="B11" s="103"/>
    </row>
  </sheetData>
  <mergeCells count="4">
    <mergeCell ref="A1:B1"/>
    <mergeCell ref="A11:B11"/>
    <mergeCell ref="A10:B10"/>
    <mergeCell ref="A9:B9"/>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30"/>
  <sheetViews>
    <sheetView workbookViewId="0">
      <selection activeCell="A30" sqref="A30:B30"/>
    </sheetView>
  </sheetViews>
  <sheetFormatPr baseColWidth="10" defaultColWidth="8.77734375" defaultRowHeight="14.4" x14ac:dyDescent="0.3"/>
  <cols>
    <col min="1" max="1" width="74.44140625" bestFit="1" customWidth="1"/>
    <col min="2" max="2" width="20.33203125" bestFit="1" customWidth="1"/>
  </cols>
  <sheetData>
    <row r="1" spans="1:2" ht="15.6" x14ac:dyDescent="0.3">
      <c r="A1" s="96" t="s">
        <v>21</v>
      </c>
      <c r="B1" s="96"/>
    </row>
    <row r="2" spans="1:2" x14ac:dyDescent="0.3">
      <c r="A2" s="6" t="s">
        <v>154</v>
      </c>
      <c r="B2" s="13" t="s">
        <v>455</v>
      </c>
    </row>
    <row r="3" spans="1:2" x14ac:dyDescent="0.3">
      <c r="A3" s="20" t="s">
        <v>155</v>
      </c>
    </row>
    <row r="4" spans="1:2" x14ac:dyDescent="0.3">
      <c r="A4" s="21" t="s">
        <v>167</v>
      </c>
      <c r="B4" s="17">
        <v>4927</v>
      </c>
    </row>
    <row r="5" spans="1:2" x14ac:dyDescent="0.3">
      <c r="A5" s="21" t="s">
        <v>168</v>
      </c>
      <c r="B5" s="16">
        <v>109</v>
      </c>
    </row>
    <row r="6" spans="1:2" x14ac:dyDescent="0.3">
      <c r="A6" s="21" t="s">
        <v>169</v>
      </c>
      <c r="B6" s="16">
        <v>207</v>
      </c>
    </row>
    <row r="7" spans="1:2" x14ac:dyDescent="0.3">
      <c r="A7" s="21" t="s">
        <v>156</v>
      </c>
      <c r="B7" s="16">
        <v>18</v>
      </c>
    </row>
    <row r="8" spans="1:2" x14ac:dyDescent="0.3">
      <c r="A8" s="21" t="s">
        <v>157</v>
      </c>
      <c r="B8" s="16">
        <v>214</v>
      </c>
    </row>
    <row r="9" spans="1:2" x14ac:dyDescent="0.3">
      <c r="A9" s="21" t="s">
        <v>170</v>
      </c>
      <c r="B9" s="16">
        <v>61</v>
      </c>
    </row>
    <row r="10" spans="1:2" x14ac:dyDescent="0.3">
      <c r="A10" s="21" t="s">
        <v>171</v>
      </c>
      <c r="B10" s="16">
        <v>27</v>
      </c>
    </row>
    <row r="11" spans="1:2" x14ac:dyDescent="0.3">
      <c r="A11" s="21" t="s">
        <v>158</v>
      </c>
      <c r="B11" s="16">
        <v>26</v>
      </c>
    </row>
    <row r="12" spans="1:2" x14ac:dyDescent="0.3">
      <c r="A12" s="21" t="s">
        <v>172</v>
      </c>
      <c r="B12" s="16">
        <v>148</v>
      </c>
    </row>
    <row r="13" spans="1:2" x14ac:dyDescent="0.3">
      <c r="A13" s="20" t="s">
        <v>160</v>
      </c>
      <c r="B13" s="16"/>
    </row>
    <row r="14" spans="1:2" x14ac:dyDescent="0.3">
      <c r="A14" s="21" t="s">
        <v>159</v>
      </c>
      <c r="B14" s="16">
        <v>31</v>
      </c>
    </row>
    <row r="15" spans="1:2" x14ac:dyDescent="0.3">
      <c r="A15" s="21" t="s">
        <v>173</v>
      </c>
      <c r="B15" s="16">
        <v>185</v>
      </c>
    </row>
    <row r="16" spans="1:2" x14ac:dyDescent="0.3">
      <c r="A16" s="21" t="s">
        <v>174</v>
      </c>
      <c r="B16" s="17">
        <v>1363</v>
      </c>
    </row>
    <row r="17" spans="1:2" x14ac:dyDescent="0.3">
      <c r="A17" s="21" t="s">
        <v>175</v>
      </c>
      <c r="B17" s="16">
        <v>194</v>
      </c>
    </row>
    <row r="18" spans="1:2" x14ac:dyDescent="0.3">
      <c r="A18" s="21" t="s">
        <v>176</v>
      </c>
      <c r="B18" s="16">
        <v>617</v>
      </c>
    </row>
    <row r="19" spans="1:2" x14ac:dyDescent="0.3">
      <c r="A19" s="21" t="s">
        <v>161</v>
      </c>
      <c r="B19" s="16">
        <v>12</v>
      </c>
    </row>
    <row r="20" spans="1:2" x14ac:dyDescent="0.3">
      <c r="A20" s="21" t="s">
        <v>177</v>
      </c>
      <c r="B20" s="16">
        <v>62</v>
      </c>
    </row>
    <row r="21" spans="1:2" x14ac:dyDescent="0.3">
      <c r="A21" s="21" t="s">
        <v>162</v>
      </c>
      <c r="B21" s="16">
        <v>23</v>
      </c>
    </row>
    <row r="22" spans="1:2" x14ac:dyDescent="0.3">
      <c r="A22" s="21" t="s">
        <v>163</v>
      </c>
      <c r="B22" s="16">
        <v>16</v>
      </c>
    </row>
    <row r="23" spans="1:2" x14ac:dyDescent="0.3">
      <c r="A23" s="21" t="s">
        <v>164</v>
      </c>
      <c r="B23" s="16">
        <v>57</v>
      </c>
    </row>
    <row r="24" spans="1:2" x14ac:dyDescent="0.3">
      <c r="A24" s="21" t="s">
        <v>178</v>
      </c>
      <c r="B24" s="16">
        <v>284</v>
      </c>
    </row>
    <row r="25" spans="1:2" x14ac:dyDescent="0.3">
      <c r="A25" s="21" t="s">
        <v>179</v>
      </c>
      <c r="B25" s="16">
        <v>238</v>
      </c>
    </row>
    <row r="26" spans="1:2" x14ac:dyDescent="0.3">
      <c r="A26" s="21" t="s">
        <v>165</v>
      </c>
      <c r="B26" s="16">
        <v>76</v>
      </c>
    </row>
    <row r="27" spans="1:2" x14ac:dyDescent="0.3">
      <c r="A27" s="21" t="s">
        <v>166</v>
      </c>
      <c r="B27" s="16">
        <v>168</v>
      </c>
    </row>
    <row r="28" spans="1:2" x14ac:dyDescent="0.3">
      <c r="A28" s="6"/>
      <c r="B28" s="6"/>
    </row>
    <row r="29" spans="1:2" ht="33" customHeight="1" x14ac:dyDescent="0.3">
      <c r="A29" s="95" t="s">
        <v>454</v>
      </c>
      <c r="B29" s="94"/>
    </row>
    <row r="30" spans="1:2" x14ac:dyDescent="0.3">
      <c r="A30" s="103" t="s">
        <v>113</v>
      </c>
      <c r="B30" s="103"/>
    </row>
  </sheetData>
  <mergeCells count="3">
    <mergeCell ref="A1:B1"/>
    <mergeCell ref="A30:B30"/>
    <mergeCell ref="A29:B29"/>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18"/>
  <sheetViews>
    <sheetView workbookViewId="0">
      <selection activeCell="F13" sqref="F13"/>
    </sheetView>
  </sheetViews>
  <sheetFormatPr baseColWidth="10" defaultColWidth="8.77734375" defaultRowHeight="14.4" x14ac:dyDescent="0.3"/>
  <cols>
    <col min="1" max="1" width="21" customWidth="1"/>
    <col min="2" max="4" width="23" customWidth="1"/>
  </cols>
  <sheetData>
    <row r="1" spans="1:4" ht="15.6" x14ac:dyDescent="0.3">
      <c r="A1" s="107" t="s">
        <v>23</v>
      </c>
      <c r="B1" s="107"/>
      <c r="C1" s="107"/>
      <c r="D1" s="107"/>
    </row>
    <row r="2" spans="1:4" x14ac:dyDescent="0.3">
      <c r="A2" s="23" t="s">
        <v>143</v>
      </c>
      <c r="B2" s="23" t="s">
        <v>180</v>
      </c>
      <c r="C2" s="23" t="s">
        <v>181</v>
      </c>
      <c r="D2" s="23" t="s">
        <v>182</v>
      </c>
    </row>
    <row r="3" spans="1:4" x14ac:dyDescent="0.3">
      <c r="A3" s="14" t="s">
        <v>439</v>
      </c>
      <c r="B3" s="22">
        <v>1</v>
      </c>
      <c r="C3" s="22">
        <v>13</v>
      </c>
      <c r="D3" s="22">
        <v>14</v>
      </c>
    </row>
    <row r="4" spans="1:4" x14ac:dyDescent="0.3">
      <c r="A4" s="14" t="s">
        <v>440</v>
      </c>
      <c r="B4" s="22">
        <v>3</v>
      </c>
      <c r="C4" s="22">
        <v>27</v>
      </c>
      <c r="D4" s="22">
        <v>30</v>
      </c>
    </row>
    <row r="5" spans="1:4" x14ac:dyDescent="0.3">
      <c r="A5" s="14" t="s">
        <v>441</v>
      </c>
      <c r="B5" s="22">
        <v>139</v>
      </c>
      <c r="C5" s="17">
        <v>1210</v>
      </c>
      <c r="D5" s="17">
        <v>1349</v>
      </c>
    </row>
    <row r="6" spans="1:4" x14ac:dyDescent="0.3">
      <c r="A6" s="14" t="s">
        <v>456</v>
      </c>
      <c r="B6" s="22">
        <v>0</v>
      </c>
      <c r="C6" s="22">
        <v>35</v>
      </c>
      <c r="D6" s="22">
        <v>35</v>
      </c>
    </row>
    <row r="7" spans="1:4" x14ac:dyDescent="0.3">
      <c r="A7" s="14" t="s">
        <v>442</v>
      </c>
      <c r="B7" s="22">
        <v>75</v>
      </c>
      <c r="C7" s="22">
        <v>653</v>
      </c>
      <c r="D7" s="22">
        <v>728</v>
      </c>
    </row>
    <row r="8" spans="1:4" x14ac:dyDescent="0.3">
      <c r="A8" s="14" t="s">
        <v>443</v>
      </c>
      <c r="B8" s="22">
        <v>9</v>
      </c>
      <c r="C8" s="22">
        <v>115</v>
      </c>
      <c r="D8" s="22">
        <v>124</v>
      </c>
    </row>
    <row r="9" spans="1:4" x14ac:dyDescent="0.3">
      <c r="A9" s="14" t="s">
        <v>444</v>
      </c>
      <c r="B9" s="22">
        <v>2</v>
      </c>
      <c r="C9" s="22">
        <v>18</v>
      </c>
      <c r="D9" s="22">
        <v>20</v>
      </c>
    </row>
    <row r="10" spans="1:4" x14ac:dyDescent="0.3">
      <c r="A10" s="14" t="s">
        <v>445</v>
      </c>
      <c r="B10" s="22">
        <v>6</v>
      </c>
      <c r="C10" s="22">
        <v>99</v>
      </c>
      <c r="D10" s="22">
        <v>105</v>
      </c>
    </row>
    <row r="11" spans="1:4" x14ac:dyDescent="0.3">
      <c r="A11" s="14" t="s">
        <v>446</v>
      </c>
      <c r="B11" s="22">
        <v>0</v>
      </c>
      <c r="C11" s="22">
        <v>18</v>
      </c>
      <c r="D11" s="22">
        <v>18</v>
      </c>
    </row>
    <row r="12" spans="1:4" x14ac:dyDescent="0.3">
      <c r="A12" s="14" t="s">
        <v>447</v>
      </c>
      <c r="B12" s="22">
        <v>0</v>
      </c>
      <c r="C12" s="22">
        <v>17</v>
      </c>
      <c r="D12" s="22">
        <v>17</v>
      </c>
    </row>
    <row r="13" spans="1:4" x14ac:dyDescent="0.3">
      <c r="A13" s="14" t="s">
        <v>448</v>
      </c>
      <c r="B13" s="22">
        <v>2</v>
      </c>
      <c r="C13" s="22">
        <v>24</v>
      </c>
      <c r="D13" s="22">
        <v>26</v>
      </c>
    </row>
    <row r="14" spans="1:4" x14ac:dyDescent="0.3">
      <c r="A14" s="14" t="s">
        <v>449</v>
      </c>
      <c r="B14" s="22">
        <v>4</v>
      </c>
      <c r="C14" s="22">
        <v>32</v>
      </c>
      <c r="D14" s="22">
        <v>36</v>
      </c>
    </row>
    <row r="15" spans="1:4" x14ac:dyDescent="0.3">
      <c r="A15" s="14" t="s">
        <v>450</v>
      </c>
      <c r="B15" s="22">
        <v>1</v>
      </c>
      <c r="C15" s="22">
        <v>4</v>
      </c>
      <c r="D15" s="22">
        <v>5</v>
      </c>
    </row>
    <row r="16" spans="1:4" x14ac:dyDescent="0.3">
      <c r="A16" s="13" t="s">
        <v>451</v>
      </c>
      <c r="B16" s="6">
        <v>242</v>
      </c>
      <c r="C16" s="8">
        <v>2265</v>
      </c>
      <c r="D16" s="8">
        <v>2507</v>
      </c>
    </row>
    <row r="17" spans="1:4" ht="18.45" customHeight="1" x14ac:dyDescent="0.3">
      <c r="A17" s="103" t="s">
        <v>113</v>
      </c>
      <c r="B17" s="103"/>
      <c r="C17" s="103"/>
      <c r="D17" s="103"/>
    </row>
    <row r="18" spans="1:4" ht="51.45" customHeight="1" x14ac:dyDescent="0.3">
      <c r="A18" s="95" t="s">
        <v>457</v>
      </c>
      <c r="B18" s="94"/>
      <c r="C18" s="94"/>
      <c r="D18" s="94"/>
    </row>
  </sheetData>
  <mergeCells count="3">
    <mergeCell ref="A18:D18"/>
    <mergeCell ref="A1:D1"/>
    <mergeCell ref="A17:D17"/>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17"/>
  <sheetViews>
    <sheetView workbookViewId="0">
      <selection sqref="A1:D1"/>
    </sheetView>
  </sheetViews>
  <sheetFormatPr baseColWidth="10" defaultColWidth="8.77734375" defaultRowHeight="14.4" x14ac:dyDescent="0.3"/>
  <cols>
    <col min="1" max="1" width="37.44140625" customWidth="1"/>
    <col min="2" max="2" width="17.109375" customWidth="1"/>
    <col min="3" max="3" width="14" customWidth="1"/>
    <col min="4" max="4" width="14.44140625" customWidth="1"/>
  </cols>
  <sheetData>
    <row r="1" spans="1:4" ht="15.6" x14ac:dyDescent="0.3">
      <c r="A1" s="96" t="s">
        <v>25</v>
      </c>
      <c r="B1" s="96"/>
      <c r="C1" s="96"/>
      <c r="D1" s="96"/>
    </row>
    <row r="2" spans="1:4" x14ac:dyDescent="0.3">
      <c r="A2" s="7" t="s">
        <v>143</v>
      </c>
      <c r="B2" s="7" t="s">
        <v>180</v>
      </c>
      <c r="C2" s="7" t="s">
        <v>181</v>
      </c>
      <c r="D2" s="7" t="s">
        <v>182</v>
      </c>
    </row>
    <row r="3" spans="1:4" x14ac:dyDescent="0.3">
      <c r="A3" s="14" t="s">
        <v>439</v>
      </c>
      <c r="B3" s="22">
        <v>2</v>
      </c>
      <c r="C3" s="22">
        <v>93</v>
      </c>
      <c r="D3" s="22">
        <v>95</v>
      </c>
    </row>
    <row r="4" spans="1:4" x14ac:dyDescent="0.3">
      <c r="A4" s="14" t="s">
        <v>440</v>
      </c>
      <c r="B4" s="22">
        <v>6</v>
      </c>
      <c r="C4" s="22">
        <v>275</v>
      </c>
      <c r="D4" s="22">
        <v>281</v>
      </c>
    </row>
    <row r="5" spans="1:4" x14ac:dyDescent="0.3">
      <c r="A5" s="14" t="s">
        <v>441</v>
      </c>
      <c r="B5" s="22">
        <v>265</v>
      </c>
      <c r="C5" s="17">
        <v>5902</v>
      </c>
      <c r="D5" s="17">
        <v>6167</v>
      </c>
    </row>
    <row r="6" spans="1:4" x14ac:dyDescent="0.3">
      <c r="A6" s="14" t="s">
        <v>456</v>
      </c>
      <c r="B6" s="22">
        <v>13</v>
      </c>
      <c r="C6" s="22">
        <v>284</v>
      </c>
      <c r="D6" s="22">
        <v>297</v>
      </c>
    </row>
    <row r="7" spans="1:4" x14ac:dyDescent="0.3">
      <c r="A7" s="14" t="s">
        <v>442</v>
      </c>
      <c r="B7" s="22">
        <v>105</v>
      </c>
      <c r="C7" s="17">
        <v>1699</v>
      </c>
      <c r="D7" s="17">
        <v>1804</v>
      </c>
    </row>
    <row r="8" spans="1:4" x14ac:dyDescent="0.3">
      <c r="A8" s="14" t="s">
        <v>443</v>
      </c>
      <c r="B8" s="22">
        <v>10</v>
      </c>
      <c r="C8" s="22">
        <v>529</v>
      </c>
      <c r="D8" s="22">
        <v>539</v>
      </c>
    </row>
    <row r="9" spans="1:4" x14ac:dyDescent="0.3">
      <c r="A9" s="14" t="s">
        <v>444</v>
      </c>
      <c r="B9" s="22">
        <v>38</v>
      </c>
      <c r="C9" s="22">
        <v>407</v>
      </c>
      <c r="D9" s="22">
        <v>445</v>
      </c>
    </row>
    <row r="10" spans="1:4" x14ac:dyDescent="0.3">
      <c r="A10" s="14" t="s">
        <v>445</v>
      </c>
      <c r="B10" s="22">
        <v>28</v>
      </c>
      <c r="C10" s="22">
        <v>783</v>
      </c>
      <c r="D10" s="22">
        <v>811</v>
      </c>
    </row>
    <row r="11" spans="1:4" x14ac:dyDescent="0.3">
      <c r="A11" s="14" t="s">
        <v>446</v>
      </c>
      <c r="B11" s="22">
        <v>3</v>
      </c>
      <c r="C11" s="22">
        <v>72</v>
      </c>
      <c r="D11" s="22">
        <v>75</v>
      </c>
    </row>
    <row r="12" spans="1:4" x14ac:dyDescent="0.3">
      <c r="A12" s="14" t="s">
        <v>447</v>
      </c>
      <c r="B12" s="22">
        <v>5</v>
      </c>
      <c r="C12" s="22">
        <v>252</v>
      </c>
      <c r="D12" s="22">
        <v>257</v>
      </c>
    </row>
    <row r="13" spans="1:4" x14ac:dyDescent="0.3">
      <c r="A13" s="14" t="s">
        <v>448</v>
      </c>
      <c r="B13" s="22">
        <v>1</v>
      </c>
      <c r="C13" s="22">
        <v>49</v>
      </c>
      <c r="D13" s="22">
        <v>50</v>
      </c>
    </row>
    <row r="14" spans="1:4" x14ac:dyDescent="0.3">
      <c r="A14" s="14" t="s">
        <v>449</v>
      </c>
      <c r="B14" s="22">
        <v>14</v>
      </c>
      <c r="C14" s="22">
        <v>192</v>
      </c>
      <c r="D14" s="22">
        <v>206</v>
      </c>
    </row>
    <row r="15" spans="1:4" x14ac:dyDescent="0.3">
      <c r="A15" s="14" t="s">
        <v>450</v>
      </c>
      <c r="B15" s="22">
        <v>1</v>
      </c>
      <c r="C15" s="22">
        <v>112</v>
      </c>
      <c r="D15" s="22">
        <v>113</v>
      </c>
    </row>
    <row r="16" spans="1:4" x14ac:dyDescent="0.3">
      <c r="A16" s="13" t="s">
        <v>451</v>
      </c>
      <c r="B16" s="24">
        <f>SUM(B3:B15)</f>
        <v>491</v>
      </c>
      <c r="C16" s="24">
        <f>SUM(C3:C15)</f>
        <v>10649</v>
      </c>
      <c r="D16" s="24">
        <f>SUM(D3:D15)</f>
        <v>11140</v>
      </c>
    </row>
    <row r="17" spans="1:4" ht="35.549999999999997" customHeight="1" x14ac:dyDescent="0.3">
      <c r="A17" s="94" t="s">
        <v>113</v>
      </c>
      <c r="B17" s="94"/>
      <c r="C17" s="94"/>
      <c r="D17" s="94"/>
    </row>
  </sheetData>
  <mergeCells count="2">
    <mergeCell ref="A1:D1"/>
    <mergeCell ref="A17:D17"/>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sheetPr>
  <dimension ref="A1:H17"/>
  <sheetViews>
    <sheetView zoomScale="115" zoomScaleNormal="115" workbookViewId="0">
      <selection activeCell="G2" sqref="G2"/>
    </sheetView>
  </sheetViews>
  <sheetFormatPr baseColWidth="10" defaultColWidth="8.77734375" defaultRowHeight="14.4" x14ac:dyDescent="0.3"/>
  <cols>
    <col min="1" max="1" width="11.33203125" bestFit="1" customWidth="1"/>
    <col min="2" max="2" width="19.109375" customWidth="1"/>
    <col min="3" max="3" width="18.77734375" bestFit="1" customWidth="1"/>
    <col min="4" max="4" width="21.44140625" bestFit="1" customWidth="1"/>
    <col min="5" max="5" width="15.44140625" bestFit="1" customWidth="1"/>
    <col min="6" max="6" width="18.44140625" bestFit="1" customWidth="1"/>
    <col min="7" max="7" width="19" customWidth="1"/>
    <col min="8" max="8" width="11.77734375" customWidth="1"/>
  </cols>
  <sheetData>
    <row r="1" spans="1:8" ht="15.6" x14ac:dyDescent="0.3">
      <c r="A1" s="96" t="s">
        <v>27</v>
      </c>
      <c r="B1" s="96"/>
      <c r="C1" s="96"/>
      <c r="D1" s="96"/>
      <c r="E1" s="96"/>
      <c r="F1" s="96"/>
      <c r="G1" s="96"/>
      <c r="H1" s="96"/>
    </row>
    <row r="2" spans="1:8" ht="100.8" x14ac:dyDescent="0.3">
      <c r="A2" s="6" t="s">
        <v>184</v>
      </c>
      <c r="B2" s="25" t="s">
        <v>185</v>
      </c>
      <c r="C2" s="25" t="s">
        <v>186</v>
      </c>
      <c r="D2" s="25" t="s">
        <v>187</v>
      </c>
      <c r="E2" s="25" t="s">
        <v>188</v>
      </c>
      <c r="F2" s="25" t="s">
        <v>189</v>
      </c>
      <c r="G2" s="25" t="s">
        <v>190</v>
      </c>
      <c r="H2" s="6" t="s">
        <v>182</v>
      </c>
    </row>
    <row r="3" spans="1:8" x14ac:dyDescent="0.3">
      <c r="A3" s="14" t="s">
        <v>439</v>
      </c>
      <c r="B3">
        <v>5</v>
      </c>
      <c r="C3">
        <v>86</v>
      </c>
      <c r="D3">
        <v>1</v>
      </c>
      <c r="E3">
        <v>0</v>
      </c>
      <c r="F3">
        <v>0</v>
      </c>
      <c r="G3">
        <v>3</v>
      </c>
      <c r="H3">
        <v>95</v>
      </c>
    </row>
    <row r="4" spans="1:8" x14ac:dyDescent="0.3">
      <c r="A4" s="14" t="s">
        <v>440</v>
      </c>
      <c r="B4">
        <v>27</v>
      </c>
      <c r="C4">
        <v>253</v>
      </c>
      <c r="D4">
        <v>0</v>
      </c>
      <c r="E4">
        <v>0</v>
      </c>
      <c r="F4">
        <v>0</v>
      </c>
      <c r="G4">
        <v>1</v>
      </c>
      <c r="H4">
        <v>281</v>
      </c>
    </row>
    <row r="5" spans="1:8" x14ac:dyDescent="0.3">
      <c r="A5" s="14" t="s">
        <v>441</v>
      </c>
      <c r="B5" s="5">
        <v>3143</v>
      </c>
      <c r="C5" s="5">
        <v>2425</v>
      </c>
      <c r="D5">
        <v>227</v>
      </c>
      <c r="E5">
        <v>253</v>
      </c>
      <c r="F5">
        <v>113</v>
      </c>
      <c r="G5">
        <v>6</v>
      </c>
      <c r="H5" s="5">
        <v>6167</v>
      </c>
    </row>
    <row r="6" spans="1:8" x14ac:dyDescent="0.3">
      <c r="A6" s="14" t="s">
        <v>456</v>
      </c>
      <c r="B6">
        <v>127</v>
      </c>
      <c r="C6">
        <v>165</v>
      </c>
      <c r="D6">
        <v>0</v>
      </c>
      <c r="E6">
        <v>4</v>
      </c>
      <c r="F6">
        <v>1</v>
      </c>
      <c r="G6">
        <v>0</v>
      </c>
      <c r="H6">
        <v>297</v>
      </c>
    </row>
    <row r="7" spans="1:8" x14ac:dyDescent="0.3">
      <c r="A7" s="14" t="s">
        <v>442</v>
      </c>
      <c r="B7">
        <v>830</v>
      </c>
      <c r="C7">
        <v>830</v>
      </c>
      <c r="D7">
        <v>8</v>
      </c>
      <c r="E7">
        <v>12</v>
      </c>
      <c r="F7">
        <v>47</v>
      </c>
      <c r="G7">
        <v>77</v>
      </c>
      <c r="H7" s="5">
        <v>1804</v>
      </c>
    </row>
    <row r="8" spans="1:8" x14ac:dyDescent="0.3">
      <c r="A8" s="14" t="s">
        <v>443</v>
      </c>
      <c r="B8">
        <v>89</v>
      </c>
      <c r="C8">
        <v>313</v>
      </c>
      <c r="D8">
        <v>0</v>
      </c>
      <c r="E8">
        <v>68</v>
      </c>
      <c r="F8">
        <v>0</v>
      </c>
      <c r="G8">
        <v>69</v>
      </c>
      <c r="H8">
        <v>539</v>
      </c>
    </row>
    <row r="9" spans="1:8" x14ac:dyDescent="0.3">
      <c r="A9" s="14" t="s">
        <v>444</v>
      </c>
      <c r="B9">
        <v>56</v>
      </c>
      <c r="C9">
        <v>158</v>
      </c>
      <c r="D9">
        <v>5</v>
      </c>
      <c r="E9">
        <v>0</v>
      </c>
      <c r="F9">
        <v>1</v>
      </c>
      <c r="G9">
        <v>225</v>
      </c>
      <c r="H9">
        <v>445</v>
      </c>
    </row>
    <row r="10" spans="1:8" x14ac:dyDescent="0.3">
      <c r="A10" s="14" t="s">
        <v>445</v>
      </c>
      <c r="B10">
        <v>54</v>
      </c>
      <c r="C10">
        <v>598</v>
      </c>
      <c r="D10">
        <v>0</v>
      </c>
      <c r="E10">
        <v>0</v>
      </c>
      <c r="F10">
        <v>0</v>
      </c>
      <c r="G10">
        <v>159</v>
      </c>
      <c r="H10">
        <v>811</v>
      </c>
    </row>
    <row r="11" spans="1:8" x14ac:dyDescent="0.3">
      <c r="A11" s="14" t="s">
        <v>446</v>
      </c>
      <c r="B11">
        <v>6</v>
      </c>
      <c r="C11">
        <v>0</v>
      </c>
      <c r="D11">
        <v>1</v>
      </c>
      <c r="E11">
        <v>67</v>
      </c>
      <c r="F11">
        <v>1</v>
      </c>
      <c r="G11">
        <v>0</v>
      </c>
      <c r="H11">
        <v>75</v>
      </c>
    </row>
    <row r="12" spans="1:8" x14ac:dyDescent="0.3">
      <c r="A12" s="14" t="s">
        <v>447</v>
      </c>
      <c r="B12">
        <v>43</v>
      </c>
      <c r="C12">
        <v>205</v>
      </c>
      <c r="D12">
        <v>0</v>
      </c>
      <c r="E12">
        <v>0</v>
      </c>
      <c r="F12">
        <v>0</v>
      </c>
      <c r="G12">
        <v>9</v>
      </c>
      <c r="H12">
        <v>257</v>
      </c>
    </row>
    <row r="13" spans="1:8" x14ac:dyDescent="0.3">
      <c r="A13" s="14" t="s">
        <v>448</v>
      </c>
      <c r="B13">
        <v>11</v>
      </c>
      <c r="C13">
        <v>38</v>
      </c>
      <c r="D13">
        <v>0</v>
      </c>
      <c r="E13">
        <v>0</v>
      </c>
      <c r="F13">
        <v>0</v>
      </c>
      <c r="G13">
        <v>1</v>
      </c>
      <c r="H13">
        <v>50</v>
      </c>
    </row>
    <row r="14" spans="1:8" x14ac:dyDescent="0.3">
      <c r="A14" s="14" t="s">
        <v>449</v>
      </c>
      <c r="B14">
        <v>53</v>
      </c>
      <c r="C14">
        <v>112</v>
      </c>
      <c r="D14">
        <v>3</v>
      </c>
      <c r="E14">
        <v>26</v>
      </c>
      <c r="F14">
        <v>1</v>
      </c>
      <c r="G14">
        <v>11</v>
      </c>
      <c r="H14">
        <v>206</v>
      </c>
    </row>
    <row r="15" spans="1:8" x14ac:dyDescent="0.3">
      <c r="A15" s="14" t="s">
        <v>450</v>
      </c>
      <c r="B15">
        <v>7</v>
      </c>
      <c r="C15">
        <v>93</v>
      </c>
      <c r="D15">
        <v>0</v>
      </c>
      <c r="E15">
        <v>10</v>
      </c>
      <c r="F15">
        <v>0</v>
      </c>
      <c r="G15">
        <v>3</v>
      </c>
      <c r="H15">
        <v>113</v>
      </c>
    </row>
    <row r="16" spans="1:8" x14ac:dyDescent="0.3">
      <c r="A16" s="26" t="s">
        <v>451</v>
      </c>
      <c r="B16" s="27">
        <f>SUM(B3:B15)</f>
        <v>4451</v>
      </c>
      <c r="C16" s="27">
        <f t="shared" ref="C16:G16" si="0">SUM(C3:C15)</f>
        <v>5276</v>
      </c>
      <c r="D16" s="27">
        <f t="shared" si="0"/>
        <v>245</v>
      </c>
      <c r="E16" s="27">
        <f t="shared" si="0"/>
        <v>440</v>
      </c>
      <c r="F16" s="27">
        <f t="shared" si="0"/>
        <v>164</v>
      </c>
      <c r="G16" s="27">
        <f t="shared" si="0"/>
        <v>564</v>
      </c>
      <c r="H16" s="27">
        <f t="shared" ref="H16" si="1">SUM(H3:H15)</f>
        <v>11140</v>
      </c>
    </row>
    <row r="17" spans="1:8" x14ac:dyDescent="0.3">
      <c r="A17" s="103" t="s">
        <v>113</v>
      </c>
      <c r="B17" s="103"/>
      <c r="C17" s="103"/>
      <c r="D17" s="103"/>
      <c r="E17" s="103"/>
      <c r="F17" s="103"/>
      <c r="G17" s="103"/>
      <c r="H17" s="103"/>
    </row>
  </sheetData>
  <mergeCells count="2">
    <mergeCell ref="A1:H1"/>
    <mergeCell ref="A17:H17"/>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31"/>
  <sheetViews>
    <sheetView workbookViewId="0">
      <selection activeCell="A28" sqref="A28:B28"/>
    </sheetView>
  </sheetViews>
  <sheetFormatPr baseColWidth="10" defaultColWidth="8.77734375" defaultRowHeight="14.4" x14ac:dyDescent="0.3"/>
  <cols>
    <col min="1" max="1" width="77.77734375" customWidth="1"/>
    <col min="2" max="2" width="35.44140625" customWidth="1"/>
  </cols>
  <sheetData>
    <row r="1" spans="1:2" ht="15.6" x14ac:dyDescent="0.3">
      <c r="A1" s="96" t="s">
        <v>29</v>
      </c>
      <c r="B1" s="96"/>
    </row>
    <row r="2" spans="1:2" x14ac:dyDescent="0.3">
      <c r="A2" s="28" t="s">
        <v>458</v>
      </c>
      <c r="B2" s="7" t="s">
        <v>191</v>
      </c>
    </row>
    <row r="3" spans="1:2" x14ac:dyDescent="0.3">
      <c r="A3" s="1" t="s">
        <v>196</v>
      </c>
      <c r="B3" s="10"/>
    </row>
    <row r="4" spans="1:2" x14ac:dyDescent="0.3">
      <c r="A4" s="21" t="s">
        <v>197</v>
      </c>
      <c r="B4">
        <v>68</v>
      </c>
    </row>
    <row r="5" spans="1:2" x14ac:dyDescent="0.3">
      <c r="A5" s="21" t="s">
        <v>192</v>
      </c>
      <c r="B5">
        <v>581</v>
      </c>
    </row>
    <row r="6" spans="1:2" x14ac:dyDescent="0.3">
      <c r="A6" s="21" t="s">
        <v>193</v>
      </c>
      <c r="B6" s="5">
        <v>14368</v>
      </c>
    </row>
    <row r="7" spans="1:2" x14ac:dyDescent="0.3">
      <c r="A7" s="1" t="s">
        <v>198</v>
      </c>
      <c r="B7" s="5"/>
    </row>
    <row r="8" spans="1:2" x14ac:dyDescent="0.3">
      <c r="A8" s="21" t="s">
        <v>199</v>
      </c>
      <c r="B8">
        <v>239</v>
      </c>
    </row>
    <row r="9" spans="1:2" x14ac:dyDescent="0.3">
      <c r="A9" s="21" t="s">
        <v>200</v>
      </c>
      <c r="B9">
        <v>345</v>
      </c>
    </row>
    <row r="10" spans="1:2" x14ac:dyDescent="0.3">
      <c r="A10" s="21" t="s">
        <v>193</v>
      </c>
      <c r="B10" s="5">
        <v>5490</v>
      </c>
    </row>
    <row r="11" spans="1:2" x14ac:dyDescent="0.3">
      <c r="A11" s="21" t="s">
        <v>201</v>
      </c>
      <c r="B11" s="5">
        <v>1293</v>
      </c>
    </row>
    <row r="12" spans="1:2" x14ac:dyDescent="0.3">
      <c r="A12" s="1" t="s">
        <v>202</v>
      </c>
      <c r="B12" s="5"/>
    </row>
    <row r="13" spans="1:2" x14ac:dyDescent="0.3">
      <c r="A13" s="21" t="s">
        <v>200</v>
      </c>
      <c r="B13" s="5">
        <v>2736</v>
      </c>
    </row>
    <row r="14" spans="1:2" x14ac:dyDescent="0.3">
      <c r="A14" s="21" t="s">
        <v>203</v>
      </c>
      <c r="B14" s="5">
        <v>6157</v>
      </c>
    </row>
    <row r="15" spans="1:2" x14ac:dyDescent="0.3">
      <c r="A15" s="1" t="s">
        <v>204</v>
      </c>
      <c r="B15" s="5"/>
    </row>
    <row r="16" spans="1:2" x14ac:dyDescent="0.3">
      <c r="A16" s="21" t="s">
        <v>194</v>
      </c>
      <c r="B16" s="5">
        <v>3753</v>
      </c>
    </row>
    <row r="17" spans="1:2" x14ac:dyDescent="0.3">
      <c r="A17" s="21" t="s">
        <v>195</v>
      </c>
      <c r="B17" s="5">
        <v>1694787</v>
      </c>
    </row>
    <row r="18" spans="1:2" x14ac:dyDescent="0.3">
      <c r="A18" s="21" t="s">
        <v>205</v>
      </c>
      <c r="B18">
        <v>17</v>
      </c>
    </row>
    <row r="19" spans="1:2" x14ac:dyDescent="0.3">
      <c r="A19" s="1" t="s">
        <v>206</v>
      </c>
    </row>
    <row r="20" spans="1:2" x14ac:dyDescent="0.3">
      <c r="A20" s="29" t="s">
        <v>459</v>
      </c>
      <c r="B20">
        <v>512</v>
      </c>
    </row>
    <row r="21" spans="1:2" x14ac:dyDescent="0.3">
      <c r="A21" s="29" t="s">
        <v>460</v>
      </c>
      <c r="B21">
        <v>40</v>
      </c>
    </row>
    <row r="22" spans="1:2" x14ac:dyDescent="0.3">
      <c r="A22" s="29" t="s">
        <v>461</v>
      </c>
      <c r="B22">
        <v>3</v>
      </c>
    </row>
    <row r="23" spans="1:2" x14ac:dyDescent="0.3">
      <c r="A23" s="29" t="s">
        <v>462</v>
      </c>
      <c r="B23">
        <v>36</v>
      </c>
    </row>
    <row r="24" spans="1:2" x14ac:dyDescent="0.3">
      <c r="A24" s="29" t="s">
        <v>463</v>
      </c>
      <c r="B24" s="5">
        <v>13670</v>
      </c>
    </row>
    <row r="25" spans="1:2" x14ac:dyDescent="0.3">
      <c r="A25" s="29" t="s">
        <v>464</v>
      </c>
      <c r="B25">
        <v>97</v>
      </c>
    </row>
    <row r="26" spans="1:2" ht="10.050000000000001" customHeight="1" x14ac:dyDescent="0.3">
      <c r="A26" s="6"/>
      <c r="B26" s="6"/>
    </row>
    <row r="27" spans="1:2" ht="37.049999999999997" customHeight="1" x14ac:dyDescent="0.3">
      <c r="A27" s="95" t="s">
        <v>468</v>
      </c>
      <c r="B27" s="94"/>
    </row>
    <row r="28" spans="1:2" ht="31.5" customHeight="1" x14ac:dyDescent="0.3">
      <c r="A28" s="100" t="s">
        <v>465</v>
      </c>
      <c r="B28" s="99"/>
    </row>
    <row r="29" spans="1:2" ht="33.450000000000003" customHeight="1" x14ac:dyDescent="0.3">
      <c r="A29" s="100" t="s">
        <v>466</v>
      </c>
      <c r="B29" s="99"/>
    </row>
    <row r="30" spans="1:2" ht="72" customHeight="1" x14ac:dyDescent="0.3">
      <c r="A30" s="100" t="s">
        <v>467</v>
      </c>
      <c r="B30" s="99"/>
    </row>
    <row r="31" spans="1:2" x14ac:dyDescent="0.3">
      <c r="A31" s="103" t="s">
        <v>113</v>
      </c>
      <c r="B31" s="103"/>
    </row>
  </sheetData>
  <mergeCells count="6">
    <mergeCell ref="A1:B1"/>
    <mergeCell ref="A31:B31"/>
    <mergeCell ref="A27:B27"/>
    <mergeCell ref="A28:B28"/>
    <mergeCell ref="A29:B29"/>
    <mergeCell ref="A30:B30"/>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17"/>
  <sheetViews>
    <sheetView zoomScale="110" workbookViewId="0">
      <selection activeCell="G16" sqref="G16"/>
    </sheetView>
  </sheetViews>
  <sheetFormatPr baseColWidth="10" defaultColWidth="8.77734375" defaultRowHeight="14.4" x14ac:dyDescent="0.3"/>
  <cols>
    <col min="1" max="1" width="19.109375" customWidth="1"/>
    <col min="2" max="2" width="21" customWidth="1"/>
    <col min="3" max="3" width="13.44140625" customWidth="1"/>
    <col min="4" max="4" width="16" customWidth="1"/>
  </cols>
  <sheetData>
    <row r="1" spans="1:4" ht="38.549999999999997" customHeight="1" x14ac:dyDescent="0.3">
      <c r="A1" s="108" t="s">
        <v>31</v>
      </c>
      <c r="B1" s="108"/>
      <c r="C1" s="108"/>
      <c r="D1" s="108"/>
    </row>
    <row r="2" spans="1:4" x14ac:dyDescent="0.3">
      <c r="A2" s="7" t="s">
        <v>114</v>
      </c>
      <c r="B2" s="7" t="s">
        <v>207</v>
      </c>
      <c r="C2" s="7" t="s">
        <v>208</v>
      </c>
      <c r="D2" s="7" t="s">
        <v>209</v>
      </c>
    </row>
    <row r="3" spans="1:4" x14ac:dyDescent="0.3">
      <c r="A3" t="s">
        <v>117</v>
      </c>
      <c r="B3">
        <v>721</v>
      </c>
      <c r="C3">
        <v>120</v>
      </c>
      <c r="D3">
        <v>601</v>
      </c>
    </row>
    <row r="4" spans="1:4" x14ac:dyDescent="0.3">
      <c r="A4" t="s">
        <v>118</v>
      </c>
      <c r="B4">
        <v>683</v>
      </c>
      <c r="C4">
        <v>128</v>
      </c>
      <c r="D4">
        <v>555</v>
      </c>
    </row>
    <row r="5" spans="1:4" x14ac:dyDescent="0.3">
      <c r="A5" t="s">
        <v>119</v>
      </c>
      <c r="B5">
        <v>672</v>
      </c>
      <c r="C5">
        <v>133</v>
      </c>
      <c r="D5">
        <v>539</v>
      </c>
    </row>
    <row r="6" spans="1:4" x14ac:dyDescent="0.3">
      <c r="A6" t="s">
        <v>120</v>
      </c>
      <c r="B6">
        <v>629</v>
      </c>
      <c r="C6">
        <v>141</v>
      </c>
      <c r="D6">
        <v>488</v>
      </c>
    </row>
    <row r="7" spans="1:4" x14ac:dyDescent="0.3">
      <c r="A7" t="s">
        <v>121</v>
      </c>
      <c r="B7">
        <v>537</v>
      </c>
      <c r="C7">
        <v>87</v>
      </c>
      <c r="D7">
        <v>450</v>
      </c>
    </row>
    <row r="8" spans="1:4" x14ac:dyDescent="0.3">
      <c r="A8" t="s">
        <v>122</v>
      </c>
      <c r="B8" s="5">
        <v>1049</v>
      </c>
      <c r="C8">
        <v>145</v>
      </c>
      <c r="D8">
        <v>904</v>
      </c>
    </row>
    <row r="9" spans="1:4" x14ac:dyDescent="0.3">
      <c r="A9" t="s">
        <v>123</v>
      </c>
      <c r="B9" s="5">
        <v>1152</v>
      </c>
      <c r="C9">
        <v>219</v>
      </c>
      <c r="D9">
        <v>933</v>
      </c>
    </row>
    <row r="10" spans="1:4" x14ac:dyDescent="0.3">
      <c r="A10" t="s">
        <v>124</v>
      </c>
      <c r="B10" s="5">
        <v>1014</v>
      </c>
      <c r="C10">
        <v>265</v>
      </c>
      <c r="D10">
        <v>749</v>
      </c>
    </row>
    <row r="11" spans="1:4" x14ac:dyDescent="0.3">
      <c r="A11" t="s">
        <v>125</v>
      </c>
      <c r="B11">
        <v>809</v>
      </c>
      <c r="C11">
        <v>228</v>
      </c>
      <c r="D11">
        <v>581</v>
      </c>
    </row>
    <row r="12" spans="1:4" x14ac:dyDescent="0.3">
      <c r="A12" t="s">
        <v>126</v>
      </c>
      <c r="B12">
        <v>842</v>
      </c>
      <c r="C12">
        <v>277</v>
      </c>
      <c r="D12">
        <v>565</v>
      </c>
    </row>
    <row r="13" spans="1:4" x14ac:dyDescent="0.3">
      <c r="A13" t="s">
        <v>127</v>
      </c>
      <c r="B13">
        <v>824</v>
      </c>
      <c r="C13">
        <v>236</v>
      </c>
      <c r="D13">
        <v>588</v>
      </c>
    </row>
    <row r="14" spans="1:4" x14ac:dyDescent="0.3">
      <c r="A14" t="s">
        <v>128</v>
      </c>
      <c r="B14">
        <v>773</v>
      </c>
      <c r="C14">
        <v>262</v>
      </c>
      <c r="D14">
        <v>511</v>
      </c>
    </row>
    <row r="15" spans="1:4" ht="7.05" customHeight="1" x14ac:dyDescent="0.3">
      <c r="A15" s="6"/>
      <c r="B15" s="6"/>
      <c r="C15" s="6"/>
      <c r="D15" s="6"/>
    </row>
    <row r="16" spans="1:4" ht="54.45" customHeight="1" x14ac:dyDescent="0.3">
      <c r="A16" s="95" t="s">
        <v>469</v>
      </c>
      <c r="B16" s="94"/>
      <c r="C16" s="94"/>
      <c r="D16" s="94"/>
    </row>
    <row r="17" spans="1:4" ht="30" customHeight="1" x14ac:dyDescent="0.3">
      <c r="A17" s="95" t="s">
        <v>113</v>
      </c>
      <c r="B17" s="94"/>
      <c r="C17" s="94"/>
      <c r="D17" s="94"/>
    </row>
  </sheetData>
  <mergeCells count="3">
    <mergeCell ref="A1:D1"/>
    <mergeCell ref="A17:D17"/>
    <mergeCell ref="A16:D16"/>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18"/>
  <sheetViews>
    <sheetView workbookViewId="0">
      <selection activeCell="A3" sqref="A3:A15"/>
    </sheetView>
  </sheetViews>
  <sheetFormatPr baseColWidth="10" defaultColWidth="8.77734375" defaultRowHeight="14.4" x14ac:dyDescent="0.3"/>
  <cols>
    <col min="1" max="1" width="14" customWidth="1"/>
    <col min="2" max="4" width="18.6640625" customWidth="1"/>
    <col min="5" max="5" width="7" bestFit="1" customWidth="1"/>
  </cols>
  <sheetData>
    <row r="1" spans="1:5" ht="40.049999999999997" customHeight="1" x14ac:dyDescent="0.3">
      <c r="A1" s="108" t="s">
        <v>33</v>
      </c>
      <c r="B1" s="108"/>
      <c r="C1" s="108"/>
      <c r="D1" s="108"/>
      <c r="E1" s="108"/>
    </row>
    <row r="2" spans="1:5" x14ac:dyDescent="0.3">
      <c r="A2" s="7" t="s">
        <v>114</v>
      </c>
      <c r="B2" s="7" t="s">
        <v>207</v>
      </c>
      <c r="C2" s="7" t="s">
        <v>210</v>
      </c>
      <c r="D2" s="7" t="s">
        <v>209</v>
      </c>
    </row>
    <row r="3" spans="1:5" x14ac:dyDescent="0.3">
      <c r="A3" t="s">
        <v>117</v>
      </c>
      <c r="B3" s="5">
        <v>36125</v>
      </c>
      <c r="C3" s="5">
        <v>11724</v>
      </c>
      <c r="D3" s="5">
        <v>24401</v>
      </c>
    </row>
    <row r="4" spans="1:5" x14ac:dyDescent="0.3">
      <c r="A4" t="s">
        <v>118</v>
      </c>
      <c r="B4" s="5">
        <v>34434</v>
      </c>
      <c r="C4" s="5">
        <v>11080</v>
      </c>
      <c r="D4" s="5">
        <v>23354</v>
      </c>
    </row>
    <row r="5" spans="1:5" x14ac:dyDescent="0.3">
      <c r="A5" t="s">
        <v>119</v>
      </c>
      <c r="B5" s="5">
        <v>39831</v>
      </c>
      <c r="C5" s="5">
        <v>13204</v>
      </c>
      <c r="D5" s="5">
        <v>26627</v>
      </c>
    </row>
    <row r="6" spans="1:5" x14ac:dyDescent="0.3">
      <c r="A6" t="s">
        <v>120</v>
      </c>
      <c r="B6" s="5">
        <v>39380</v>
      </c>
      <c r="C6" s="5">
        <v>12889</v>
      </c>
      <c r="D6" s="5">
        <v>26491</v>
      </c>
    </row>
    <row r="7" spans="1:5" x14ac:dyDescent="0.3">
      <c r="A7" t="s">
        <v>121</v>
      </c>
      <c r="B7" s="5">
        <v>43086</v>
      </c>
      <c r="C7" s="5">
        <v>13377</v>
      </c>
      <c r="D7" s="5">
        <v>29709</v>
      </c>
    </row>
    <row r="8" spans="1:5" x14ac:dyDescent="0.3">
      <c r="A8" t="s">
        <v>122</v>
      </c>
      <c r="B8" s="5">
        <v>42395</v>
      </c>
      <c r="C8" s="5">
        <v>12089</v>
      </c>
      <c r="D8" s="5">
        <v>30306</v>
      </c>
    </row>
    <row r="9" spans="1:5" x14ac:dyDescent="0.3">
      <c r="A9" t="s">
        <v>123</v>
      </c>
      <c r="B9" s="5">
        <v>43389</v>
      </c>
      <c r="C9" s="5">
        <v>12229</v>
      </c>
      <c r="D9" s="5">
        <v>31160</v>
      </c>
    </row>
    <row r="10" spans="1:5" x14ac:dyDescent="0.3">
      <c r="A10" t="s">
        <v>124</v>
      </c>
      <c r="B10" s="5">
        <v>42757</v>
      </c>
      <c r="C10" s="5">
        <v>12382</v>
      </c>
      <c r="D10" s="5">
        <v>30375</v>
      </c>
    </row>
    <row r="11" spans="1:5" x14ac:dyDescent="0.3">
      <c r="A11" t="s">
        <v>125</v>
      </c>
      <c r="B11" s="5">
        <v>40119</v>
      </c>
      <c r="C11" s="5">
        <v>11916</v>
      </c>
      <c r="D11" s="5">
        <v>28203</v>
      </c>
    </row>
    <row r="12" spans="1:5" x14ac:dyDescent="0.3">
      <c r="A12" t="s">
        <v>126</v>
      </c>
      <c r="B12" s="5">
        <v>41876</v>
      </c>
      <c r="C12" s="5">
        <v>12464</v>
      </c>
      <c r="D12" s="5">
        <v>29412</v>
      </c>
    </row>
    <row r="13" spans="1:5" x14ac:dyDescent="0.3">
      <c r="A13" t="s">
        <v>127</v>
      </c>
      <c r="B13" s="5">
        <v>39346</v>
      </c>
      <c r="C13" s="5">
        <v>12096</v>
      </c>
      <c r="D13" s="5">
        <v>27250</v>
      </c>
    </row>
    <row r="14" spans="1:5" x14ac:dyDescent="0.3">
      <c r="A14" t="s">
        <v>128</v>
      </c>
      <c r="B14" s="5">
        <v>42651</v>
      </c>
      <c r="C14" s="5">
        <v>13931</v>
      </c>
      <c r="D14" s="5">
        <v>28720</v>
      </c>
    </row>
    <row r="15" spans="1:5" x14ac:dyDescent="0.3">
      <c r="A15" s="6"/>
      <c r="B15" s="6"/>
      <c r="C15" s="6"/>
      <c r="D15" s="6"/>
    </row>
    <row r="16" spans="1:5" ht="33.450000000000003" customHeight="1" x14ac:dyDescent="0.3">
      <c r="A16" s="98" t="s">
        <v>471</v>
      </c>
      <c r="B16" s="98"/>
      <c r="C16" s="98"/>
      <c r="D16" s="98"/>
    </row>
    <row r="17" spans="1:4" ht="31.95" customHeight="1" x14ac:dyDescent="0.3">
      <c r="A17" s="100" t="s">
        <v>470</v>
      </c>
      <c r="B17" s="100"/>
      <c r="C17" s="100"/>
      <c r="D17" s="100"/>
    </row>
    <row r="18" spans="1:4" ht="29.55" customHeight="1" x14ac:dyDescent="0.3">
      <c r="A18" s="99" t="s">
        <v>113</v>
      </c>
      <c r="B18" s="99"/>
      <c r="C18" s="99"/>
      <c r="D18" s="99"/>
    </row>
  </sheetData>
  <mergeCells count="4">
    <mergeCell ref="A1:E1"/>
    <mergeCell ref="A16:D16"/>
    <mergeCell ref="A18:D18"/>
    <mergeCell ref="A17:D17"/>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18"/>
  <sheetViews>
    <sheetView workbookViewId="0">
      <selection activeCell="A17" sqref="A17:H17"/>
    </sheetView>
  </sheetViews>
  <sheetFormatPr baseColWidth="10" defaultColWidth="8.77734375" defaultRowHeight="14.4" x14ac:dyDescent="0.3"/>
  <cols>
    <col min="1" max="1" width="12.77734375" bestFit="1" customWidth="1"/>
    <col min="2" max="2" width="14.77734375" bestFit="1" customWidth="1"/>
    <col min="3" max="3" width="14.6640625" customWidth="1"/>
    <col min="4" max="4" width="14.44140625" customWidth="1"/>
    <col min="5" max="5" width="1.109375" customWidth="1"/>
    <col min="6" max="6" width="14.77734375" bestFit="1" customWidth="1"/>
    <col min="7" max="8" width="14.77734375" customWidth="1"/>
  </cols>
  <sheetData>
    <row r="1" spans="1:8" ht="15.6" x14ac:dyDescent="0.3">
      <c r="A1" s="96" t="s">
        <v>35</v>
      </c>
      <c r="B1" s="96"/>
      <c r="C1" s="96"/>
      <c r="D1" s="96"/>
      <c r="E1" s="96"/>
      <c r="F1" s="96"/>
      <c r="G1" s="96"/>
      <c r="H1" s="96"/>
    </row>
    <row r="2" spans="1:8" ht="15.6" x14ac:dyDescent="0.3">
      <c r="A2" s="54"/>
      <c r="B2" s="109" t="s">
        <v>560</v>
      </c>
      <c r="C2" s="109"/>
      <c r="D2" s="109"/>
      <c r="E2" s="110"/>
      <c r="F2" s="109" t="s">
        <v>561</v>
      </c>
      <c r="G2" s="109"/>
      <c r="H2" s="109"/>
    </row>
    <row r="3" spans="1:8" s="11" customFormat="1" ht="28.8" x14ac:dyDescent="0.3">
      <c r="A3" s="30" t="s">
        <v>114</v>
      </c>
      <c r="B3" s="49" t="s">
        <v>477</v>
      </c>
      <c r="C3" s="49" t="s">
        <v>476</v>
      </c>
      <c r="D3" s="49" t="s">
        <v>478</v>
      </c>
      <c r="E3" s="111"/>
      <c r="F3" s="49" t="s">
        <v>477</v>
      </c>
      <c r="G3" s="49" t="s">
        <v>476</v>
      </c>
      <c r="H3" s="49" t="s">
        <v>478</v>
      </c>
    </row>
    <row r="4" spans="1:8" x14ac:dyDescent="0.3">
      <c r="A4" t="s">
        <v>117</v>
      </c>
      <c r="B4">
        <v>30</v>
      </c>
      <c r="C4">
        <v>28</v>
      </c>
      <c r="D4">
        <v>32</v>
      </c>
      <c r="F4">
        <v>546</v>
      </c>
      <c r="G4">
        <v>200</v>
      </c>
      <c r="H4" s="5">
        <v>1113</v>
      </c>
    </row>
    <row r="5" spans="1:8" x14ac:dyDescent="0.3">
      <c r="A5" t="s">
        <v>118</v>
      </c>
      <c r="B5">
        <v>31</v>
      </c>
      <c r="C5">
        <v>28</v>
      </c>
      <c r="D5">
        <v>32</v>
      </c>
      <c r="F5">
        <v>513</v>
      </c>
      <c r="G5">
        <v>222</v>
      </c>
      <c r="H5">
        <v>898</v>
      </c>
    </row>
    <row r="6" spans="1:8" x14ac:dyDescent="0.3">
      <c r="A6" t="s">
        <v>119</v>
      </c>
      <c r="B6">
        <v>33</v>
      </c>
      <c r="C6">
        <v>29</v>
      </c>
      <c r="D6">
        <v>37</v>
      </c>
      <c r="F6">
        <v>539</v>
      </c>
      <c r="G6">
        <v>248</v>
      </c>
      <c r="H6" s="5">
        <v>1124</v>
      </c>
    </row>
    <row r="7" spans="1:8" x14ac:dyDescent="0.3">
      <c r="A7" t="s">
        <v>120</v>
      </c>
      <c r="B7">
        <v>33</v>
      </c>
      <c r="C7">
        <v>27</v>
      </c>
      <c r="D7">
        <v>36</v>
      </c>
      <c r="F7">
        <v>460</v>
      </c>
      <c r="G7">
        <v>140</v>
      </c>
      <c r="H7">
        <v>739</v>
      </c>
    </row>
    <row r="8" spans="1:8" x14ac:dyDescent="0.3">
      <c r="A8" t="s">
        <v>121</v>
      </c>
      <c r="B8">
        <v>32</v>
      </c>
      <c r="C8">
        <v>26</v>
      </c>
      <c r="D8">
        <v>35</v>
      </c>
      <c r="F8">
        <v>388</v>
      </c>
      <c r="G8">
        <v>152</v>
      </c>
      <c r="H8">
        <v>660</v>
      </c>
    </row>
    <row r="9" spans="1:8" x14ac:dyDescent="0.3">
      <c r="A9" t="s">
        <v>122</v>
      </c>
      <c r="B9">
        <v>31</v>
      </c>
      <c r="C9">
        <v>24</v>
      </c>
      <c r="D9">
        <v>36</v>
      </c>
      <c r="F9">
        <v>399</v>
      </c>
      <c r="G9">
        <v>81</v>
      </c>
      <c r="H9">
        <v>860</v>
      </c>
    </row>
    <row r="10" spans="1:8" x14ac:dyDescent="0.3">
      <c r="A10" t="s">
        <v>123</v>
      </c>
      <c r="B10">
        <v>34</v>
      </c>
      <c r="C10">
        <v>24</v>
      </c>
      <c r="D10">
        <v>41</v>
      </c>
      <c r="F10">
        <v>538</v>
      </c>
      <c r="G10">
        <v>158</v>
      </c>
      <c r="H10">
        <v>952</v>
      </c>
    </row>
    <row r="11" spans="1:8" x14ac:dyDescent="0.3">
      <c r="A11" t="s">
        <v>124</v>
      </c>
      <c r="B11">
        <v>35</v>
      </c>
      <c r="C11">
        <v>23</v>
      </c>
      <c r="D11">
        <v>40</v>
      </c>
      <c r="F11">
        <v>492</v>
      </c>
      <c r="G11">
        <v>181</v>
      </c>
      <c r="H11">
        <v>892</v>
      </c>
    </row>
    <row r="12" spans="1:8" x14ac:dyDescent="0.3">
      <c r="A12" t="s">
        <v>125</v>
      </c>
      <c r="B12">
        <v>36</v>
      </c>
      <c r="C12">
        <v>25</v>
      </c>
      <c r="D12">
        <v>42</v>
      </c>
      <c r="F12">
        <v>426</v>
      </c>
      <c r="G12">
        <v>141</v>
      </c>
      <c r="H12">
        <v>773</v>
      </c>
    </row>
    <row r="13" spans="1:8" x14ac:dyDescent="0.3">
      <c r="A13" t="s">
        <v>126</v>
      </c>
      <c r="B13">
        <v>29</v>
      </c>
      <c r="C13">
        <v>18</v>
      </c>
      <c r="D13">
        <v>36</v>
      </c>
      <c r="F13">
        <v>420</v>
      </c>
      <c r="G13">
        <v>131</v>
      </c>
      <c r="H13">
        <v>788</v>
      </c>
    </row>
    <row r="14" spans="1:8" x14ac:dyDescent="0.3">
      <c r="A14" t="s">
        <v>127</v>
      </c>
      <c r="B14">
        <v>29</v>
      </c>
      <c r="C14">
        <v>20</v>
      </c>
      <c r="D14">
        <v>34</v>
      </c>
      <c r="F14">
        <v>383</v>
      </c>
      <c r="G14">
        <v>163</v>
      </c>
      <c r="H14">
        <v>739</v>
      </c>
    </row>
    <row r="15" spans="1:8" x14ac:dyDescent="0.3">
      <c r="A15" t="s">
        <v>128</v>
      </c>
      <c r="B15">
        <v>27</v>
      </c>
      <c r="C15">
        <v>18</v>
      </c>
      <c r="D15">
        <v>34</v>
      </c>
      <c r="F15">
        <v>521</v>
      </c>
      <c r="G15">
        <v>153</v>
      </c>
      <c r="H15">
        <v>869</v>
      </c>
    </row>
    <row r="16" spans="1:8" x14ac:dyDescent="0.3">
      <c r="A16" s="6" t="s">
        <v>182</v>
      </c>
      <c r="B16" s="27">
        <f>SUM(B4:B15)</f>
        <v>380</v>
      </c>
      <c r="C16" s="27">
        <f t="shared" ref="C16:H16" si="0">SUM(C4:C15)</f>
        <v>290</v>
      </c>
      <c r="D16" s="27">
        <f t="shared" si="0"/>
        <v>435</v>
      </c>
      <c r="E16" s="27"/>
      <c r="F16" s="27">
        <f t="shared" si="0"/>
        <v>5625</v>
      </c>
      <c r="G16" s="27">
        <f t="shared" si="0"/>
        <v>1970</v>
      </c>
      <c r="H16" s="27">
        <f t="shared" si="0"/>
        <v>10407</v>
      </c>
    </row>
    <row r="17" spans="1:8" ht="34.049999999999997" customHeight="1" x14ac:dyDescent="0.3">
      <c r="A17" s="95" t="s">
        <v>472</v>
      </c>
      <c r="B17" s="94"/>
      <c r="C17" s="94"/>
      <c r="D17" s="94"/>
      <c r="E17" s="94"/>
      <c r="F17" s="94"/>
      <c r="G17" s="94"/>
      <c r="H17" s="94"/>
    </row>
    <row r="18" spans="1:8" x14ac:dyDescent="0.3">
      <c r="A18" s="103" t="s">
        <v>113</v>
      </c>
      <c r="B18" s="103"/>
      <c r="C18" s="103"/>
      <c r="D18" s="103"/>
      <c r="E18" s="103"/>
      <c r="F18" s="103"/>
      <c r="G18" s="103"/>
      <c r="H18" s="103"/>
    </row>
  </sheetData>
  <mergeCells count="6">
    <mergeCell ref="A18:H18"/>
    <mergeCell ref="A17:H17"/>
    <mergeCell ref="A1:H1"/>
    <mergeCell ref="B2:D2"/>
    <mergeCell ref="F2:H2"/>
    <mergeCell ref="E2:E3"/>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21"/>
  <sheetViews>
    <sheetView topLeftCell="B1" workbookViewId="0">
      <selection activeCell="A14" sqref="A14"/>
    </sheetView>
  </sheetViews>
  <sheetFormatPr baseColWidth="10" defaultColWidth="8.77734375" defaultRowHeight="14.4" x14ac:dyDescent="0.3"/>
  <cols>
    <col min="1" max="1" width="14" bestFit="1" customWidth="1"/>
    <col min="2" max="2" width="17.44140625" bestFit="1" customWidth="1"/>
    <col min="3" max="3" width="7.44140625" bestFit="1" customWidth="1"/>
    <col min="4" max="4" width="14.77734375" bestFit="1" customWidth="1"/>
    <col min="5" max="5" width="13.44140625" bestFit="1" customWidth="1"/>
  </cols>
  <sheetData>
    <row r="1" spans="1:5" ht="15.6" x14ac:dyDescent="0.3">
      <c r="A1" s="96" t="s">
        <v>37</v>
      </c>
      <c r="B1" s="96"/>
      <c r="C1" s="96"/>
      <c r="D1" s="96"/>
      <c r="E1" s="96"/>
    </row>
    <row r="2" spans="1:5" ht="15.6" x14ac:dyDescent="0.3">
      <c r="A2" s="113" t="s">
        <v>143</v>
      </c>
      <c r="B2" s="112" t="s">
        <v>474</v>
      </c>
      <c r="C2" s="112"/>
      <c r="D2" s="112"/>
      <c r="E2" s="112"/>
    </row>
    <row r="3" spans="1:5" ht="43.2" x14ac:dyDescent="0.3">
      <c r="A3" s="114"/>
      <c r="B3" s="31" t="s">
        <v>475</v>
      </c>
      <c r="C3" s="31" t="s">
        <v>476</v>
      </c>
      <c r="D3" s="31" t="s">
        <v>477</v>
      </c>
      <c r="E3" s="31" t="s">
        <v>478</v>
      </c>
    </row>
    <row r="4" spans="1:5" x14ac:dyDescent="0.3">
      <c r="A4" s="14" t="s">
        <v>439</v>
      </c>
      <c r="B4">
        <v>2</v>
      </c>
      <c r="C4">
        <v>458</v>
      </c>
      <c r="D4">
        <v>811</v>
      </c>
      <c r="E4">
        <v>698</v>
      </c>
    </row>
    <row r="5" spans="1:5" x14ac:dyDescent="0.3">
      <c r="A5" s="14" t="s">
        <v>440</v>
      </c>
      <c r="B5">
        <v>3</v>
      </c>
      <c r="C5" s="5">
        <v>1926</v>
      </c>
      <c r="D5">
        <v>929</v>
      </c>
      <c r="E5" s="5">
        <v>2319</v>
      </c>
    </row>
    <row r="6" spans="1:5" x14ac:dyDescent="0.3">
      <c r="A6" s="14" t="s">
        <v>441</v>
      </c>
      <c r="B6">
        <v>40</v>
      </c>
      <c r="C6" s="5">
        <v>21251</v>
      </c>
      <c r="D6" s="5">
        <v>9307</v>
      </c>
      <c r="E6" s="5">
        <v>14043</v>
      </c>
    </row>
    <row r="7" spans="1:5" x14ac:dyDescent="0.3">
      <c r="A7" s="14" t="s">
        <v>456</v>
      </c>
      <c r="B7">
        <v>3</v>
      </c>
      <c r="C7">
        <v>993</v>
      </c>
      <c r="D7" s="5">
        <v>1328</v>
      </c>
      <c r="E7" s="5">
        <v>1651</v>
      </c>
    </row>
    <row r="8" spans="1:5" x14ac:dyDescent="0.3">
      <c r="A8" s="14" t="s">
        <v>442</v>
      </c>
      <c r="B8">
        <v>212</v>
      </c>
      <c r="C8" s="5">
        <v>12768</v>
      </c>
      <c r="D8" s="5">
        <v>19824</v>
      </c>
      <c r="E8" s="5">
        <v>14618</v>
      </c>
    </row>
    <row r="9" spans="1:5" x14ac:dyDescent="0.3">
      <c r="A9" s="14" t="s">
        <v>443</v>
      </c>
      <c r="B9">
        <v>14</v>
      </c>
      <c r="C9" s="5">
        <v>3222</v>
      </c>
      <c r="D9" s="5">
        <v>2676</v>
      </c>
      <c r="E9" s="5">
        <v>4838</v>
      </c>
    </row>
    <row r="10" spans="1:5" x14ac:dyDescent="0.3">
      <c r="A10" s="14" t="s">
        <v>444</v>
      </c>
      <c r="B10">
        <v>1</v>
      </c>
      <c r="C10">
        <v>479</v>
      </c>
      <c r="D10">
        <v>432</v>
      </c>
      <c r="E10" s="5">
        <v>1077</v>
      </c>
    </row>
    <row r="11" spans="1:5" x14ac:dyDescent="0.3">
      <c r="A11" s="14" t="s">
        <v>445</v>
      </c>
      <c r="B11">
        <v>6</v>
      </c>
      <c r="C11" s="5">
        <v>2124</v>
      </c>
      <c r="D11" s="5">
        <v>2604</v>
      </c>
      <c r="E11" s="5">
        <v>3422</v>
      </c>
    </row>
    <row r="12" spans="1:5" x14ac:dyDescent="0.3">
      <c r="A12" s="14" t="s">
        <v>446</v>
      </c>
      <c r="B12">
        <v>8</v>
      </c>
      <c r="C12" s="5">
        <v>1228</v>
      </c>
      <c r="D12">
        <v>950</v>
      </c>
      <c r="E12" s="5">
        <v>1511</v>
      </c>
    </row>
    <row r="13" spans="1:5" x14ac:dyDescent="0.3">
      <c r="A13" s="14" t="s">
        <v>447</v>
      </c>
      <c r="B13">
        <v>5</v>
      </c>
      <c r="C13" s="5">
        <v>1322</v>
      </c>
      <c r="D13" s="5">
        <v>1580</v>
      </c>
      <c r="E13" s="5">
        <v>1362</v>
      </c>
    </row>
    <row r="14" spans="1:5" x14ac:dyDescent="0.3">
      <c r="A14" s="14" t="s">
        <v>448</v>
      </c>
      <c r="B14">
        <v>0</v>
      </c>
      <c r="C14">
        <v>215</v>
      </c>
      <c r="D14">
        <v>219</v>
      </c>
      <c r="E14">
        <v>439</v>
      </c>
    </row>
    <row r="15" spans="1:5" x14ac:dyDescent="0.3">
      <c r="A15" s="14" t="s">
        <v>449</v>
      </c>
      <c r="B15">
        <v>1</v>
      </c>
      <c r="C15">
        <v>483</v>
      </c>
      <c r="D15">
        <v>259</v>
      </c>
      <c r="E15">
        <v>870</v>
      </c>
    </row>
    <row r="16" spans="1:5" x14ac:dyDescent="0.3">
      <c r="A16" s="14" t="s">
        <v>450</v>
      </c>
      <c r="B16">
        <v>0</v>
      </c>
      <c r="C16">
        <v>645</v>
      </c>
      <c r="D16">
        <v>518</v>
      </c>
      <c r="E16">
        <v>951</v>
      </c>
    </row>
    <row r="17" spans="1:5" x14ac:dyDescent="0.3">
      <c r="A17" s="6" t="s">
        <v>451</v>
      </c>
      <c r="B17" s="27">
        <f>SUM(B4:B16)</f>
        <v>295</v>
      </c>
      <c r="C17" s="27">
        <f>SUM(C4:C16)</f>
        <v>47114</v>
      </c>
      <c r="D17" s="27">
        <f>SUM(D4:D16)</f>
        <v>41437</v>
      </c>
      <c r="E17" s="27">
        <f>SUM(E4:E16)</f>
        <v>47799</v>
      </c>
    </row>
    <row r="18" spans="1:5" ht="42" customHeight="1" x14ac:dyDescent="0.3">
      <c r="A18" s="95" t="s">
        <v>473</v>
      </c>
      <c r="B18" s="94"/>
      <c r="C18" s="94"/>
      <c r="D18" s="94"/>
      <c r="E18" s="94"/>
    </row>
    <row r="19" spans="1:5" ht="35.549999999999997" customHeight="1" x14ac:dyDescent="0.3">
      <c r="A19" s="94" t="s">
        <v>113</v>
      </c>
      <c r="B19" s="94"/>
      <c r="C19" s="94"/>
      <c r="D19" s="94"/>
      <c r="E19" s="94"/>
    </row>
    <row r="20" spans="1:5" x14ac:dyDescent="0.3">
      <c r="A20" s="103"/>
      <c r="B20" s="103"/>
      <c r="C20" s="103"/>
      <c r="D20" s="103"/>
      <c r="E20" s="5"/>
    </row>
    <row r="21" spans="1:5" x14ac:dyDescent="0.3">
      <c r="A21" s="103"/>
      <c r="B21" s="103"/>
      <c r="C21" s="103"/>
      <c r="D21" s="103"/>
      <c r="E21" s="5"/>
    </row>
  </sheetData>
  <mergeCells count="7">
    <mergeCell ref="A19:E19"/>
    <mergeCell ref="A18:E18"/>
    <mergeCell ref="A1:E1"/>
    <mergeCell ref="A20:D20"/>
    <mergeCell ref="A21:D21"/>
    <mergeCell ref="B2:E2"/>
    <mergeCell ref="A2:A3"/>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17"/>
  <sheetViews>
    <sheetView zoomScale="115" zoomScaleNormal="115" workbookViewId="0">
      <selection activeCell="A3" sqref="A3:A14"/>
    </sheetView>
  </sheetViews>
  <sheetFormatPr baseColWidth="10" defaultColWidth="8.77734375" defaultRowHeight="14.4" x14ac:dyDescent="0.3"/>
  <cols>
    <col min="1" max="1" width="43.77734375" customWidth="1"/>
    <col min="2" max="2" width="38.77734375" customWidth="1"/>
  </cols>
  <sheetData>
    <row r="1" spans="1:2" ht="15.6" x14ac:dyDescent="0.3">
      <c r="A1" s="96" t="s">
        <v>39</v>
      </c>
      <c r="B1" s="96"/>
    </row>
    <row r="2" spans="1:2" x14ac:dyDescent="0.3">
      <c r="A2" s="7" t="s">
        <v>114</v>
      </c>
      <c r="B2" s="7" t="s">
        <v>211</v>
      </c>
    </row>
    <row r="3" spans="1:2" x14ac:dyDescent="0.3">
      <c r="A3" t="s">
        <v>117</v>
      </c>
      <c r="B3" s="5">
        <v>1608</v>
      </c>
    </row>
    <row r="4" spans="1:2" x14ac:dyDescent="0.3">
      <c r="A4" t="s">
        <v>118</v>
      </c>
      <c r="B4" s="5">
        <v>1212</v>
      </c>
    </row>
    <row r="5" spans="1:2" x14ac:dyDescent="0.3">
      <c r="A5" t="s">
        <v>119</v>
      </c>
      <c r="B5" s="5">
        <v>1412</v>
      </c>
    </row>
    <row r="6" spans="1:2" x14ac:dyDescent="0.3">
      <c r="A6" t="s">
        <v>120</v>
      </c>
      <c r="B6" s="5">
        <v>1361</v>
      </c>
    </row>
    <row r="7" spans="1:2" x14ac:dyDescent="0.3">
      <c r="A7" t="s">
        <v>121</v>
      </c>
      <c r="B7" s="5">
        <v>1539</v>
      </c>
    </row>
    <row r="8" spans="1:2" x14ac:dyDescent="0.3">
      <c r="A8" t="s">
        <v>122</v>
      </c>
      <c r="B8" s="5">
        <v>1345</v>
      </c>
    </row>
    <row r="9" spans="1:2" x14ac:dyDescent="0.3">
      <c r="A9" t="s">
        <v>123</v>
      </c>
      <c r="B9" s="5">
        <v>1294</v>
      </c>
    </row>
    <row r="10" spans="1:2" x14ac:dyDescent="0.3">
      <c r="A10" t="s">
        <v>124</v>
      </c>
      <c r="B10" s="5">
        <v>1200</v>
      </c>
    </row>
    <row r="11" spans="1:2" x14ac:dyDescent="0.3">
      <c r="A11" t="s">
        <v>125</v>
      </c>
      <c r="B11">
        <v>909</v>
      </c>
    </row>
    <row r="12" spans="1:2" x14ac:dyDescent="0.3">
      <c r="A12" t="s">
        <v>126</v>
      </c>
      <c r="B12" s="5">
        <v>1012</v>
      </c>
    </row>
    <row r="13" spans="1:2" x14ac:dyDescent="0.3">
      <c r="A13" t="s">
        <v>127</v>
      </c>
      <c r="B13" s="5">
        <v>1171</v>
      </c>
    </row>
    <row r="14" spans="1:2" x14ac:dyDescent="0.3">
      <c r="A14" t="s">
        <v>128</v>
      </c>
      <c r="B14" s="5">
        <v>1488</v>
      </c>
    </row>
    <row r="15" spans="1:2" x14ac:dyDescent="0.3">
      <c r="A15" s="93" t="s">
        <v>183</v>
      </c>
      <c r="B15" s="8">
        <v>15551</v>
      </c>
    </row>
    <row r="16" spans="1:2" ht="58.95" customHeight="1" x14ac:dyDescent="0.3">
      <c r="A16" s="95" t="s">
        <v>479</v>
      </c>
      <c r="B16" s="103"/>
    </row>
    <row r="17" spans="1:2" x14ac:dyDescent="0.3">
      <c r="A17" s="102" t="s">
        <v>113</v>
      </c>
      <c r="B17" s="103"/>
    </row>
  </sheetData>
  <mergeCells count="4">
    <mergeCell ref="A1:B1"/>
    <mergeCell ref="A15"/>
    <mergeCell ref="A17:B17"/>
    <mergeCell ref="A16:B16"/>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20"/>
  <sheetViews>
    <sheetView workbookViewId="0">
      <selection activeCell="A17" sqref="A17:E17"/>
    </sheetView>
  </sheetViews>
  <sheetFormatPr baseColWidth="10" defaultColWidth="8.77734375" defaultRowHeight="14.4" x14ac:dyDescent="0.3"/>
  <cols>
    <col min="1" max="1" width="10.44140625" bestFit="1" customWidth="1"/>
    <col min="2" max="2" width="19.44140625" customWidth="1"/>
    <col min="3" max="3" width="15" customWidth="1"/>
    <col min="4" max="4" width="20" customWidth="1"/>
    <col min="5" max="5" width="29.77734375" customWidth="1"/>
  </cols>
  <sheetData>
    <row r="1" spans="1:5" ht="43.5" customHeight="1" x14ac:dyDescent="0.3">
      <c r="A1" s="108" t="s">
        <v>41</v>
      </c>
      <c r="B1" s="108"/>
      <c r="C1" s="108"/>
      <c r="D1" s="108"/>
      <c r="E1" s="108"/>
    </row>
    <row r="2" spans="1:5" x14ac:dyDescent="0.3">
      <c r="A2" s="116" t="s">
        <v>114</v>
      </c>
      <c r="B2" s="115" t="s">
        <v>483</v>
      </c>
      <c r="C2" s="115"/>
      <c r="D2" s="117" t="s">
        <v>212</v>
      </c>
      <c r="E2" s="117" t="s">
        <v>213</v>
      </c>
    </row>
    <row r="3" spans="1:5" x14ac:dyDescent="0.3">
      <c r="A3" s="116"/>
      <c r="B3" s="31" t="s">
        <v>485</v>
      </c>
      <c r="C3" s="31" t="s">
        <v>484</v>
      </c>
      <c r="D3" s="118"/>
      <c r="E3" s="118"/>
    </row>
    <row r="4" spans="1:5" x14ac:dyDescent="0.3">
      <c r="A4" t="s">
        <v>117</v>
      </c>
      <c r="B4">
        <v>164</v>
      </c>
      <c r="C4">
        <v>3</v>
      </c>
      <c r="D4">
        <v>20</v>
      </c>
      <c r="E4">
        <v>34</v>
      </c>
    </row>
    <row r="5" spans="1:5" x14ac:dyDescent="0.3">
      <c r="A5" t="s">
        <v>118</v>
      </c>
      <c r="B5">
        <v>162</v>
      </c>
      <c r="C5">
        <v>5</v>
      </c>
      <c r="D5">
        <v>17</v>
      </c>
      <c r="E5">
        <v>24</v>
      </c>
    </row>
    <row r="6" spans="1:5" x14ac:dyDescent="0.3">
      <c r="A6" t="s">
        <v>119</v>
      </c>
      <c r="B6">
        <v>191</v>
      </c>
      <c r="C6">
        <v>18</v>
      </c>
      <c r="D6">
        <v>27</v>
      </c>
      <c r="E6">
        <v>33</v>
      </c>
    </row>
    <row r="7" spans="1:5" x14ac:dyDescent="0.3">
      <c r="A7" t="s">
        <v>120</v>
      </c>
      <c r="B7">
        <v>183</v>
      </c>
      <c r="C7">
        <v>7</v>
      </c>
      <c r="D7">
        <v>17</v>
      </c>
      <c r="E7">
        <v>32</v>
      </c>
    </row>
    <row r="8" spans="1:5" x14ac:dyDescent="0.3">
      <c r="A8" t="s">
        <v>121</v>
      </c>
      <c r="B8">
        <v>200</v>
      </c>
      <c r="C8">
        <v>10</v>
      </c>
      <c r="D8">
        <v>26</v>
      </c>
      <c r="E8">
        <v>26</v>
      </c>
    </row>
    <row r="9" spans="1:5" x14ac:dyDescent="0.3">
      <c r="A9" t="s">
        <v>122</v>
      </c>
      <c r="B9">
        <v>164</v>
      </c>
      <c r="C9">
        <v>8</v>
      </c>
      <c r="D9">
        <v>30</v>
      </c>
      <c r="E9">
        <v>40</v>
      </c>
    </row>
    <row r="10" spans="1:5" x14ac:dyDescent="0.3">
      <c r="A10" t="s">
        <v>123</v>
      </c>
      <c r="B10">
        <v>190</v>
      </c>
      <c r="C10">
        <v>13</v>
      </c>
      <c r="D10">
        <v>35</v>
      </c>
      <c r="E10">
        <v>39</v>
      </c>
    </row>
    <row r="11" spans="1:5" x14ac:dyDescent="0.3">
      <c r="A11" t="s">
        <v>124</v>
      </c>
      <c r="B11">
        <v>157</v>
      </c>
      <c r="C11">
        <v>3</v>
      </c>
      <c r="D11">
        <v>12</v>
      </c>
      <c r="E11">
        <v>20</v>
      </c>
    </row>
    <row r="12" spans="1:5" x14ac:dyDescent="0.3">
      <c r="A12" t="s">
        <v>125</v>
      </c>
      <c r="B12">
        <v>144</v>
      </c>
      <c r="C12">
        <v>9</v>
      </c>
      <c r="D12">
        <v>31</v>
      </c>
      <c r="E12">
        <v>38</v>
      </c>
    </row>
    <row r="13" spans="1:5" x14ac:dyDescent="0.3">
      <c r="A13" t="s">
        <v>126</v>
      </c>
      <c r="B13">
        <v>147</v>
      </c>
      <c r="C13">
        <v>6</v>
      </c>
      <c r="D13">
        <v>18</v>
      </c>
      <c r="E13">
        <v>33</v>
      </c>
    </row>
    <row r="14" spans="1:5" x14ac:dyDescent="0.3">
      <c r="A14" t="s">
        <v>127</v>
      </c>
      <c r="B14">
        <v>124</v>
      </c>
      <c r="C14">
        <v>29</v>
      </c>
      <c r="D14">
        <v>24</v>
      </c>
      <c r="E14">
        <v>43</v>
      </c>
    </row>
    <row r="15" spans="1:5" x14ac:dyDescent="0.3">
      <c r="A15" t="s">
        <v>128</v>
      </c>
      <c r="B15">
        <v>166</v>
      </c>
      <c r="C15">
        <v>11</v>
      </c>
      <c r="D15">
        <v>22</v>
      </c>
      <c r="E15">
        <v>35</v>
      </c>
    </row>
    <row r="16" spans="1:5" x14ac:dyDescent="0.3">
      <c r="A16" s="6"/>
      <c r="B16" s="6"/>
      <c r="C16" s="6"/>
      <c r="D16" s="6"/>
      <c r="E16" s="6"/>
    </row>
    <row r="17" spans="1:5" ht="40.049999999999997" customHeight="1" x14ac:dyDescent="0.3">
      <c r="A17" s="95" t="s">
        <v>482</v>
      </c>
      <c r="B17" s="103"/>
      <c r="C17" s="103"/>
      <c r="D17" s="103"/>
      <c r="E17" s="103"/>
    </row>
    <row r="18" spans="1:5" ht="43.05" customHeight="1" x14ac:dyDescent="0.3">
      <c r="A18" s="95" t="s">
        <v>481</v>
      </c>
      <c r="B18" s="103"/>
      <c r="C18" s="103"/>
      <c r="D18" s="103"/>
      <c r="E18" s="103"/>
    </row>
    <row r="19" spans="1:5" ht="43.05" customHeight="1" x14ac:dyDescent="0.3">
      <c r="A19" s="100" t="s">
        <v>480</v>
      </c>
      <c r="B19" s="99"/>
      <c r="C19" s="99"/>
      <c r="D19" s="99"/>
      <c r="E19" s="99"/>
    </row>
    <row r="20" spans="1:5" x14ac:dyDescent="0.3">
      <c r="A20" s="103" t="s">
        <v>113</v>
      </c>
      <c r="B20" s="103"/>
      <c r="C20" s="103"/>
      <c r="D20" s="103"/>
      <c r="E20" s="103"/>
    </row>
  </sheetData>
  <mergeCells count="9">
    <mergeCell ref="A1:E1"/>
    <mergeCell ref="A20:E20"/>
    <mergeCell ref="A17:E17"/>
    <mergeCell ref="A18:E18"/>
    <mergeCell ref="A19:E19"/>
    <mergeCell ref="B2:C2"/>
    <mergeCell ref="A2:A3"/>
    <mergeCell ref="D2:D3"/>
    <mergeCell ref="E2:E3"/>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22"/>
  <sheetViews>
    <sheetView workbookViewId="0">
      <selection activeCell="A4" sqref="A4:A15"/>
    </sheetView>
  </sheetViews>
  <sheetFormatPr baseColWidth="10" defaultColWidth="8.77734375" defaultRowHeight="14.4" x14ac:dyDescent="0.3"/>
  <cols>
    <col min="1" max="1" width="13.44140625" customWidth="1"/>
    <col min="2" max="5" width="21.44140625" customWidth="1"/>
  </cols>
  <sheetData>
    <row r="1" spans="1:5" ht="15.6" x14ac:dyDescent="0.3">
      <c r="A1" s="96" t="s">
        <v>43</v>
      </c>
      <c r="B1" s="96"/>
      <c r="C1" s="96"/>
      <c r="D1" s="96"/>
      <c r="E1" s="96"/>
    </row>
    <row r="2" spans="1:5" ht="15.6" x14ac:dyDescent="0.3">
      <c r="A2" s="116" t="s">
        <v>114</v>
      </c>
      <c r="B2" s="112" t="s">
        <v>488</v>
      </c>
      <c r="C2" s="112"/>
      <c r="D2" s="112"/>
      <c r="E2" s="112"/>
    </row>
    <row r="3" spans="1:5" x14ac:dyDescent="0.3">
      <c r="A3" s="116"/>
      <c r="B3" s="32" t="s">
        <v>489</v>
      </c>
      <c r="C3" s="32" t="s">
        <v>490</v>
      </c>
      <c r="D3" s="32" t="s">
        <v>491</v>
      </c>
      <c r="E3" s="32" t="s">
        <v>492</v>
      </c>
    </row>
    <row r="4" spans="1:5" x14ac:dyDescent="0.3">
      <c r="A4" t="s">
        <v>117</v>
      </c>
      <c r="B4">
        <v>0</v>
      </c>
      <c r="C4">
        <v>8</v>
      </c>
      <c r="D4">
        <v>36</v>
      </c>
      <c r="E4">
        <v>1</v>
      </c>
    </row>
    <row r="5" spans="1:5" x14ac:dyDescent="0.3">
      <c r="A5" t="s">
        <v>118</v>
      </c>
      <c r="B5">
        <v>0</v>
      </c>
      <c r="C5">
        <v>8</v>
      </c>
      <c r="D5">
        <v>9</v>
      </c>
      <c r="E5">
        <v>2</v>
      </c>
    </row>
    <row r="6" spans="1:5" x14ac:dyDescent="0.3">
      <c r="A6" t="s">
        <v>119</v>
      </c>
      <c r="B6">
        <v>0</v>
      </c>
      <c r="C6">
        <v>7</v>
      </c>
      <c r="D6">
        <v>17</v>
      </c>
      <c r="E6">
        <v>0</v>
      </c>
    </row>
    <row r="7" spans="1:5" x14ac:dyDescent="0.3">
      <c r="A7" t="s">
        <v>120</v>
      </c>
      <c r="B7">
        <v>0</v>
      </c>
      <c r="C7">
        <v>6</v>
      </c>
      <c r="D7">
        <v>11</v>
      </c>
      <c r="E7">
        <v>2</v>
      </c>
    </row>
    <row r="8" spans="1:5" x14ac:dyDescent="0.3">
      <c r="A8" t="s">
        <v>121</v>
      </c>
      <c r="B8">
        <v>0</v>
      </c>
      <c r="C8">
        <v>7</v>
      </c>
      <c r="D8">
        <v>8</v>
      </c>
      <c r="E8">
        <v>0</v>
      </c>
    </row>
    <row r="9" spans="1:5" x14ac:dyDescent="0.3">
      <c r="A9" t="s">
        <v>122</v>
      </c>
      <c r="B9">
        <v>0</v>
      </c>
      <c r="C9">
        <v>10</v>
      </c>
      <c r="D9">
        <v>7</v>
      </c>
      <c r="E9">
        <v>2</v>
      </c>
    </row>
    <row r="10" spans="1:5" x14ac:dyDescent="0.3">
      <c r="A10" t="s">
        <v>123</v>
      </c>
      <c r="B10">
        <v>0</v>
      </c>
      <c r="C10">
        <v>5</v>
      </c>
      <c r="D10">
        <v>26</v>
      </c>
      <c r="E10">
        <v>2</v>
      </c>
    </row>
    <row r="11" spans="1:5" x14ac:dyDescent="0.3">
      <c r="A11" t="s">
        <v>124</v>
      </c>
      <c r="B11">
        <v>0</v>
      </c>
      <c r="C11">
        <v>4</v>
      </c>
      <c r="D11">
        <v>5</v>
      </c>
      <c r="E11">
        <v>0</v>
      </c>
    </row>
    <row r="12" spans="1:5" x14ac:dyDescent="0.3">
      <c r="A12" t="s">
        <v>125</v>
      </c>
      <c r="B12">
        <v>0</v>
      </c>
      <c r="C12">
        <v>9</v>
      </c>
      <c r="D12">
        <v>8</v>
      </c>
      <c r="E12">
        <v>0</v>
      </c>
    </row>
    <row r="13" spans="1:5" x14ac:dyDescent="0.3">
      <c r="A13" t="s">
        <v>126</v>
      </c>
      <c r="B13">
        <v>0</v>
      </c>
      <c r="C13">
        <v>7</v>
      </c>
      <c r="D13">
        <v>9</v>
      </c>
      <c r="E13">
        <v>1</v>
      </c>
    </row>
    <row r="14" spans="1:5" x14ac:dyDescent="0.3">
      <c r="A14" t="s">
        <v>127</v>
      </c>
      <c r="B14">
        <v>0</v>
      </c>
      <c r="C14">
        <v>8</v>
      </c>
      <c r="D14">
        <v>8</v>
      </c>
      <c r="E14">
        <v>1</v>
      </c>
    </row>
    <row r="15" spans="1:5" x14ac:dyDescent="0.3">
      <c r="A15" t="s">
        <v>128</v>
      </c>
      <c r="B15">
        <v>0</v>
      </c>
      <c r="C15">
        <v>12</v>
      </c>
      <c r="D15">
        <v>6</v>
      </c>
      <c r="E15">
        <v>1</v>
      </c>
    </row>
    <row r="16" spans="1:5" x14ac:dyDescent="0.3">
      <c r="A16" s="6" t="s">
        <v>183</v>
      </c>
      <c r="B16" s="6">
        <f>SUM(B4:B15)</f>
        <v>0</v>
      </c>
      <c r="C16" s="6">
        <f t="shared" ref="C16:E16" si="0">SUM(C4:C15)</f>
        <v>91</v>
      </c>
      <c r="D16" s="6">
        <f t="shared" si="0"/>
        <v>150</v>
      </c>
      <c r="E16" s="6">
        <f t="shared" si="0"/>
        <v>12</v>
      </c>
    </row>
    <row r="17" spans="1:5" ht="45.45" customHeight="1" x14ac:dyDescent="0.3">
      <c r="A17" s="119" t="s">
        <v>487</v>
      </c>
      <c r="B17" s="119"/>
      <c r="C17" s="119"/>
      <c r="D17" s="119"/>
      <c r="E17" s="119"/>
    </row>
    <row r="18" spans="1:5" x14ac:dyDescent="0.3">
      <c r="A18" s="103" t="s">
        <v>113</v>
      </c>
      <c r="B18" s="103"/>
      <c r="C18" s="103"/>
      <c r="D18" s="103"/>
      <c r="E18" s="103"/>
    </row>
    <row r="22" spans="1:5" x14ac:dyDescent="0.3">
      <c r="C22" s="2" t="s">
        <v>493</v>
      </c>
    </row>
  </sheetData>
  <mergeCells count="5">
    <mergeCell ref="A18:E18"/>
    <mergeCell ref="A1:E1"/>
    <mergeCell ref="B2:E2"/>
    <mergeCell ref="A2:A3"/>
    <mergeCell ref="A17:E17"/>
  </mergeCell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D35"/>
  <sheetViews>
    <sheetView topLeftCell="A25" workbookViewId="0">
      <selection activeCell="A13" sqref="A13"/>
    </sheetView>
  </sheetViews>
  <sheetFormatPr baseColWidth="10" defaultColWidth="8.77734375" defaultRowHeight="14.4" x14ac:dyDescent="0.3"/>
  <cols>
    <col min="1" max="1" width="77.44140625" customWidth="1"/>
    <col min="2" max="2" width="11.6640625" customWidth="1"/>
    <col min="3" max="3" width="10.6640625" customWidth="1"/>
    <col min="4" max="4" width="6.109375" bestFit="1" customWidth="1"/>
  </cols>
  <sheetData>
    <row r="1" spans="1:4" ht="31.95" customHeight="1" x14ac:dyDescent="0.3">
      <c r="A1" s="121" t="s">
        <v>45</v>
      </c>
      <c r="B1" s="121"/>
      <c r="C1" s="121"/>
      <c r="D1" s="121"/>
    </row>
    <row r="2" spans="1:4" ht="15.6" x14ac:dyDescent="0.3">
      <c r="A2" s="113" t="s">
        <v>214</v>
      </c>
      <c r="B2" s="112" t="s">
        <v>494</v>
      </c>
      <c r="C2" s="112"/>
      <c r="D2" s="112"/>
    </row>
    <row r="3" spans="1:4" x14ac:dyDescent="0.3">
      <c r="A3" s="120"/>
      <c r="B3" s="42" t="s">
        <v>180</v>
      </c>
      <c r="C3" s="42" t="s">
        <v>181</v>
      </c>
      <c r="D3" s="42" t="s">
        <v>182</v>
      </c>
    </row>
    <row r="4" spans="1:4" x14ac:dyDescent="0.3">
      <c r="A4" s="1" t="s">
        <v>215</v>
      </c>
      <c r="B4" s="41"/>
      <c r="C4" s="41"/>
      <c r="D4" s="41"/>
    </row>
    <row r="5" spans="1:4" x14ac:dyDescent="0.3">
      <c r="A5" s="21" t="s">
        <v>219</v>
      </c>
      <c r="B5">
        <v>9</v>
      </c>
      <c r="C5">
        <v>26</v>
      </c>
      <c r="D5">
        <v>35</v>
      </c>
    </row>
    <row r="6" spans="1:4" x14ac:dyDescent="0.3">
      <c r="A6" s="21" t="s">
        <v>220</v>
      </c>
      <c r="B6">
        <v>55</v>
      </c>
      <c r="C6">
        <v>314</v>
      </c>
      <c r="D6">
        <v>369</v>
      </c>
    </row>
    <row r="7" spans="1:4" x14ac:dyDescent="0.3">
      <c r="A7" s="21" t="s">
        <v>221</v>
      </c>
      <c r="B7">
        <v>26</v>
      </c>
      <c r="C7">
        <v>34</v>
      </c>
      <c r="D7">
        <v>60</v>
      </c>
    </row>
    <row r="8" spans="1:4" x14ac:dyDescent="0.3">
      <c r="A8" s="21" t="s">
        <v>222</v>
      </c>
      <c r="B8">
        <v>4</v>
      </c>
      <c r="C8">
        <v>30</v>
      </c>
      <c r="D8">
        <v>34</v>
      </c>
    </row>
    <row r="9" spans="1:4" x14ac:dyDescent="0.3">
      <c r="A9" s="21" t="s">
        <v>223</v>
      </c>
      <c r="B9">
        <v>0</v>
      </c>
      <c r="C9">
        <v>24</v>
      </c>
      <c r="D9">
        <v>24</v>
      </c>
    </row>
    <row r="10" spans="1:4" x14ac:dyDescent="0.3">
      <c r="A10" s="21" t="s">
        <v>224</v>
      </c>
      <c r="B10">
        <v>14</v>
      </c>
      <c r="C10">
        <v>21</v>
      </c>
      <c r="D10">
        <v>35</v>
      </c>
    </row>
    <row r="11" spans="1:4" x14ac:dyDescent="0.3">
      <c r="A11" s="21" t="s">
        <v>217</v>
      </c>
      <c r="B11">
        <v>0</v>
      </c>
      <c r="C11">
        <v>25</v>
      </c>
      <c r="D11">
        <v>25</v>
      </c>
    </row>
    <row r="12" spans="1:4" x14ac:dyDescent="0.3">
      <c r="A12" s="21" t="s">
        <v>225</v>
      </c>
      <c r="B12">
        <v>22</v>
      </c>
      <c r="C12">
        <v>38</v>
      </c>
      <c r="D12">
        <v>60</v>
      </c>
    </row>
    <row r="13" spans="1:4" x14ac:dyDescent="0.3">
      <c r="A13" s="21" t="s">
        <v>226</v>
      </c>
      <c r="B13">
        <v>17</v>
      </c>
      <c r="C13">
        <v>53</v>
      </c>
      <c r="D13">
        <v>70</v>
      </c>
    </row>
    <row r="14" spans="1:4" x14ac:dyDescent="0.3">
      <c r="A14" s="21" t="s">
        <v>227</v>
      </c>
      <c r="B14">
        <v>4</v>
      </c>
      <c r="C14">
        <v>30</v>
      </c>
      <c r="D14">
        <v>34</v>
      </c>
    </row>
    <row r="15" spans="1:4" x14ac:dyDescent="0.3">
      <c r="A15" s="21" t="s">
        <v>216</v>
      </c>
      <c r="B15">
        <v>14</v>
      </c>
      <c r="C15">
        <v>21</v>
      </c>
      <c r="D15">
        <v>35</v>
      </c>
    </row>
    <row r="16" spans="1:4" x14ac:dyDescent="0.3">
      <c r="A16" s="21" t="s">
        <v>228</v>
      </c>
      <c r="B16">
        <v>16</v>
      </c>
      <c r="C16">
        <v>36</v>
      </c>
      <c r="D16">
        <v>52</v>
      </c>
    </row>
    <row r="17" spans="1:4" x14ac:dyDescent="0.3">
      <c r="A17" s="21" t="s">
        <v>229</v>
      </c>
      <c r="B17">
        <v>9</v>
      </c>
      <c r="C17">
        <v>51</v>
      </c>
      <c r="D17">
        <v>60</v>
      </c>
    </row>
    <row r="18" spans="1:4" x14ac:dyDescent="0.3">
      <c r="A18" s="21" t="s">
        <v>230</v>
      </c>
      <c r="B18">
        <v>33</v>
      </c>
      <c r="C18">
        <v>86</v>
      </c>
      <c r="D18">
        <v>119</v>
      </c>
    </row>
    <row r="19" spans="1:4" x14ac:dyDescent="0.3">
      <c r="A19" s="21" t="s">
        <v>231</v>
      </c>
      <c r="B19">
        <v>53</v>
      </c>
      <c r="C19">
        <v>22</v>
      </c>
      <c r="D19">
        <v>75</v>
      </c>
    </row>
    <row r="20" spans="1:4" x14ac:dyDescent="0.3">
      <c r="A20" s="21" t="s">
        <v>232</v>
      </c>
      <c r="B20">
        <v>2</v>
      </c>
      <c r="C20">
        <v>8</v>
      </c>
      <c r="D20">
        <v>10</v>
      </c>
    </row>
    <row r="21" spans="1:4" x14ac:dyDescent="0.3">
      <c r="A21" s="21" t="s">
        <v>233</v>
      </c>
      <c r="B21">
        <v>2</v>
      </c>
      <c r="C21">
        <v>8</v>
      </c>
      <c r="D21">
        <v>10</v>
      </c>
    </row>
    <row r="22" spans="1:4" x14ac:dyDescent="0.3">
      <c r="A22" s="1" t="s">
        <v>218</v>
      </c>
    </row>
    <row r="23" spans="1:4" x14ac:dyDescent="0.3">
      <c r="A23" s="21" t="s">
        <v>219</v>
      </c>
      <c r="B23">
        <v>2</v>
      </c>
      <c r="C23">
        <v>58</v>
      </c>
      <c r="D23">
        <v>60</v>
      </c>
    </row>
    <row r="24" spans="1:4" x14ac:dyDescent="0.3">
      <c r="A24" s="21" t="s">
        <v>220</v>
      </c>
      <c r="B24">
        <v>35</v>
      </c>
      <c r="C24">
        <v>150</v>
      </c>
      <c r="D24">
        <v>185</v>
      </c>
    </row>
    <row r="25" spans="1:4" x14ac:dyDescent="0.3">
      <c r="A25" s="21" t="s">
        <v>221</v>
      </c>
      <c r="B25">
        <v>0</v>
      </c>
      <c r="C25">
        <v>60</v>
      </c>
      <c r="D25">
        <v>60</v>
      </c>
    </row>
    <row r="26" spans="1:4" x14ac:dyDescent="0.3">
      <c r="A26" s="21" t="s">
        <v>222</v>
      </c>
      <c r="B26">
        <v>0</v>
      </c>
      <c r="C26">
        <v>30</v>
      </c>
      <c r="D26">
        <v>30</v>
      </c>
    </row>
    <row r="27" spans="1:4" x14ac:dyDescent="0.3">
      <c r="A27" s="21" t="s">
        <v>224</v>
      </c>
      <c r="B27">
        <v>20</v>
      </c>
      <c r="C27">
        <v>80</v>
      </c>
      <c r="D27">
        <v>100</v>
      </c>
    </row>
    <row r="28" spans="1:4" x14ac:dyDescent="0.3">
      <c r="A28" s="21" t="s">
        <v>225</v>
      </c>
      <c r="B28">
        <v>0</v>
      </c>
      <c r="C28">
        <v>60</v>
      </c>
      <c r="D28">
        <v>60</v>
      </c>
    </row>
    <row r="29" spans="1:4" x14ac:dyDescent="0.3">
      <c r="A29" s="21" t="s">
        <v>226</v>
      </c>
      <c r="B29">
        <v>13</v>
      </c>
      <c r="C29">
        <v>47</v>
      </c>
      <c r="D29">
        <v>60</v>
      </c>
    </row>
    <row r="30" spans="1:4" x14ac:dyDescent="0.3">
      <c r="A30" s="21" t="s">
        <v>227</v>
      </c>
      <c r="B30">
        <v>9</v>
      </c>
      <c r="C30">
        <v>21</v>
      </c>
      <c r="D30">
        <v>30</v>
      </c>
    </row>
    <row r="31" spans="1:4" x14ac:dyDescent="0.3">
      <c r="A31" s="21" t="s">
        <v>216</v>
      </c>
      <c r="B31">
        <v>0</v>
      </c>
      <c r="C31">
        <v>30</v>
      </c>
      <c r="D31">
        <v>30</v>
      </c>
    </row>
    <row r="32" spans="1:4" x14ac:dyDescent="0.3">
      <c r="A32" s="21" t="s">
        <v>229</v>
      </c>
      <c r="B32">
        <v>0</v>
      </c>
      <c r="C32">
        <v>30</v>
      </c>
      <c r="D32">
        <v>30</v>
      </c>
    </row>
    <row r="33" spans="1:4" x14ac:dyDescent="0.3">
      <c r="A33" s="6"/>
      <c r="B33" s="6"/>
      <c r="C33" s="6"/>
      <c r="D33" s="6"/>
    </row>
    <row r="34" spans="1:4" ht="28.5" customHeight="1" x14ac:dyDescent="0.3">
      <c r="A34" s="95" t="s">
        <v>495</v>
      </c>
      <c r="B34" s="94"/>
      <c r="C34" s="94"/>
      <c r="D34" s="94"/>
    </row>
    <row r="35" spans="1:4" x14ac:dyDescent="0.3">
      <c r="A35" s="103" t="s">
        <v>113</v>
      </c>
      <c r="B35" s="103"/>
      <c r="C35" s="103"/>
      <c r="D35" s="103"/>
    </row>
  </sheetData>
  <mergeCells count="5">
    <mergeCell ref="A35:D35"/>
    <mergeCell ref="A34:D34"/>
    <mergeCell ref="A2:A3"/>
    <mergeCell ref="B2:D2"/>
    <mergeCell ref="A1:D1"/>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B7"/>
  <sheetViews>
    <sheetView zoomScale="145" zoomScaleNormal="145" workbookViewId="0">
      <selection activeCell="A7" sqref="A7:B7"/>
    </sheetView>
  </sheetViews>
  <sheetFormatPr baseColWidth="10" defaultColWidth="8.77734375" defaultRowHeight="14.4" x14ac:dyDescent="0.3"/>
  <cols>
    <col min="1" max="1" width="68.44140625" bestFit="1" customWidth="1"/>
    <col min="2" max="2" width="11.44140625" bestFit="1" customWidth="1"/>
  </cols>
  <sheetData>
    <row r="1" spans="1:2" ht="30.45" customHeight="1" x14ac:dyDescent="0.3">
      <c r="A1" s="108" t="s">
        <v>47</v>
      </c>
      <c r="B1" s="108"/>
    </row>
    <row r="2" spans="1:2" x14ac:dyDescent="0.3">
      <c r="A2" s="7" t="s">
        <v>234</v>
      </c>
      <c r="B2" s="7" t="s">
        <v>235</v>
      </c>
    </row>
    <row r="3" spans="1:2" x14ac:dyDescent="0.3">
      <c r="A3" t="s">
        <v>236</v>
      </c>
      <c r="B3" s="5">
        <v>13563</v>
      </c>
    </row>
    <row r="4" spans="1:2" x14ac:dyDescent="0.3">
      <c r="A4" t="s">
        <v>237</v>
      </c>
      <c r="B4" s="5">
        <v>9483</v>
      </c>
    </row>
    <row r="5" spans="1:2" x14ac:dyDescent="0.3">
      <c r="A5" t="s">
        <v>238</v>
      </c>
      <c r="B5" s="5">
        <v>19182</v>
      </c>
    </row>
    <row r="6" spans="1:2" x14ac:dyDescent="0.3">
      <c r="A6" s="93" t="s">
        <v>183</v>
      </c>
      <c r="B6" s="8">
        <v>42228</v>
      </c>
    </row>
    <row r="7" spans="1:2" x14ac:dyDescent="0.3">
      <c r="A7" s="103" t="s">
        <v>129</v>
      </c>
      <c r="B7" s="103"/>
    </row>
  </sheetData>
  <mergeCells count="3">
    <mergeCell ref="A1:B1"/>
    <mergeCell ref="A6"/>
    <mergeCell ref="A7:B7"/>
  </mergeCell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B9"/>
  <sheetViews>
    <sheetView zoomScale="115" zoomScaleNormal="115" workbookViewId="0">
      <selection activeCell="A13" sqref="A13"/>
    </sheetView>
  </sheetViews>
  <sheetFormatPr baseColWidth="10" defaultColWidth="8.77734375" defaultRowHeight="14.4" x14ac:dyDescent="0.3"/>
  <cols>
    <col min="1" max="1" width="107.44140625" bestFit="1" customWidth="1"/>
    <col min="2" max="2" width="11.44140625" bestFit="1" customWidth="1"/>
  </cols>
  <sheetData>
    <row r="1" spans="1:2" ht="34.950000000000003" customHeight="1" x14ac:dyDescent="0.3">
      <c r="A1" s="108" t="s">
        <v>49</v>
      </c>
      <c r="B1" s="108"/>
    </row>
    <row r="2" spans="1:2" x14ac:dyDescent="0.3">
      <c r="A2" s="7" t="s">
        <v>234</v>
      </c>
      <c r="B2" s="7" t="s">
        <v>235</v>
      </c>
    </row>
    <row r="3" spans="1:2" x14ac:dyDescent="0.3">
      <c r="A3" t="s">
        <v>239</v>
      </c>
      <c r="B3" s="5">
        <v>14709</v>
      </c>
    </row>
    <row r="4" spans="1:2" x14ac:dyDescent="0.3">
      <c r="A4" t="s">
        <v>240</v>
      </c>
      <c r="B4" s="5">
        <v>10736</v>
      </c>
    </row>
    <row r="5" spans="1:2" x14ac:dyDescent="0.3">
      <c r="A5" t="s">
        <v>241</v>
      </c>
      <c r="B5">
        <v>93</v>
      </c>
    </row>
    <row r="6" spans="1:2" x14ac:dyDescent="0.3">
      <c r="A6" s="2" t="s">
        <v>242</v>
      </c>
      <c r="B6">
        <v>31</v>
      </c>
    </row>
    <row r="7" spans="1:2" x14ac:dyDescent="0.3">
      <c r="A7" t="s">
        <v>243</v>
      </c>
      <c r="B7" s="5">
        <v>1758</v>
      </c>
    </row>
    <row r="8" spans="1:2" x14ac:dyDescent="0.3">
      <c r="A8" s="93" t="s">
        <v>182</v>
      </c>
      <c r="B8" s="8">
        <v>27327</v>
      </c>
    </row>
    <row r="9" spans="1:2" x14ac:dyDescent="0.3">
      <c r="A9" s="103" t="s">
        <v>129</v>
      </c>
      <c r="B9" s="103"/>
    </row>
  </sheetData>
  <mergeCells count="3">
    <mergeCell ref="A1:B1"/>
    <mergeCell ref="A8"/>
    <mergeCell ref="A9:B9"/>
  </mergeCell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9"/>
  </sheetPr>
  <dimension ref="A1:B10"/>
  <sheetViews>
    <sheetView zoomScale="145" zoomScaleNormal="145" workbookViewId="0">
      <selection sqref="A1:B1"/>
    </sheetView>
  </sheetViews>
  <sheetFormatPr baseColWidth="10" defaultColWidth="8.77734375" defaultRowHeight="14.4" x14ac:dyDescent="0.3"/>
  <cols>
    <col min="1" max="1" width="44.77734375" customWidth="1"/>
    <col min="2" max="2" width="31.109375" customWidth="1"/>
  </cols>
  <sheetData>
    <row r="1" spans="1:2" ht="15.6" x14ac:dyDescent="0.3">
      <c r="A1" s="96" t="s">
        <v>648</v>
      </c>
      <c r="B1" s="96"/>
    </row>
    <row r="2" spans="1:2" x14ac:dyDescent="0.3">
      <c r="A2" s="7" t="s">
        <v>234</v>
      </c>
      <c r="B2" s="7" t="s">
        <v>235</v>
      </c>
    </row>
    <row r="3" spans="1:2" x14ac:dyDescent="0.3">
      <c r="A3" t="s">
        <v>244</v>
      </c>
      <c r="B3" s="5">
        <v>1540</v>
      </c>
    </row>
    <row r="4" spans="1:2" x14ac:dyDescent="0.3">
      <c r="A4" t="s">
        <v>245</v>
      </c>
      <c r="B4" s="5">
        <v>2907</v>
      </c>
    </row>
    <row r="5" spans="1:2" x14ac:dyDescent="0.3">
      <c r="A5" t="s">
        <v>246</v>
      </c>
      <c r="B5">
        <v>12</v>
      </c>
    </row>
    <row r="6" spans="1:2" x14ac:dyDescent="0.3">
      <c r="A6" s="93" t="s">
        <v>183</v>
      </c>
      <c r="B6" s="8">
        <v>4459</v>
      </c>
    </row>
    <row r="7" spans="1:2" x14ac:dyDescent="0.3">
      <c r="A7" s="103" t="s">
        <v>129</v>
      </c>
      <c r="B7" s="103"/>
    </row>
    <row r="10" spans="1:2" ht="58.5" customHeight="1" x14ac:dyDescent="0.3">
      <c r="A10" s="122" t="s">
        <v>562</v>
      </c>
      <c r="B10" s="123"/>
    </row>
  </sheetData>
  <mergeCells count="4">
    <mergeCell ref="A1:B1"/>
    <mergeCell ref="A6"/>
    <mergeCell ref="A7:B7"/>
    <mergeCell ref="A10:B10"/>
  </mergeCells>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D31"/>
  <sheetViews>
    <sheetView workbookViewId="0">
      <selection activeCell="A22" sqref="A22"/>
    </sheetView>
  </sheetViews>
  <sheetFormatPr baseColWidth="10" defaultColWidth="8.77734375" defaultRowHeight="14.4" x14ac:dyDescent="0.3"/>
  <cols>
    <col min="1" max="1" width="73.6640625" customWidth="1"/>
    <col min="2" max="2" width="11.44140625" bestFit="1" customWidth="1"/>
  </cols>
  <sheetData>
    <row r="1" spans="1:2" ht="34.5" customHeight="1" x14ac:dyDescent="0.3">
      <c r="A1" s="108" t="s">
        <v>53</v>
      </c>
      <c r="B1" s="108"/>
    </row>
    <row r="2" spans="1:2" x14ac:dyDescent="0.3">
      <c r="A2" s="7" t="s">
        <v>234</v>
      </c>
      <c r="B2" s="7" t="s">
        <v>235</v>
      </c>
    </row>
    <row r="3" spans="1:2" x14ac:dyDescent="0.3">
      <c r="A3" s="43" t="s">
        <v>247</v>
      </c>
      <c r="B3" s="1">
        <v>113</v>
      </c>
    </row>
    <row r="4" spans="1:2" ht="28.8" x14ac:dyDescent="0.3">
      <c r="A4" s="43" t="s">
        <v>248</v>
      </c>
      <c r="B4" s="44">
        <v>1278</v>
      </c>
    </row>
    <row r="5" spans="1:2" x14ac:dyDescent="0.3">
      <c r="A5" s="43" t="s">
        <v>249</v>
      </c>
      <c r="B5" s="44">
        <v>1329</v>
      </c>
    </row>
    <row r="6" spans="1:2" ht="28.8" x14ac:dyDescent="0.3">
      <c r="A6" s="12" t="s">
        <v>256</v>
      </c>
      <c r="B6" s="16">
        <v>996</v>
      </c>
    </row>
    <row r="7" spans="1:2" x14ac:dyDescent="0.3">
      <c r="A7" s="12" t="s">
        <v>257</v>
      </c>
      <c r="B7" s="16">
        <v>4</v>
      </c>
    </row>
    <row r="8" spans="1:2" x14ac:dyDescent="0.3">
      <c r="A8" s="12" t="s">
        <v>258</v>
      </c>
      <c r="B8" s="16">
        <v>68</v>
      </c>
    </row>
    <row r="9" spans="1:2" x14ac:dyDescent="0.3">
      <c r="A9" s="12" t="s">
        <v>259</v>
      </c>
      <c r="B9" s="16">
        <v>8</v>
      </c>
    </row>
    <row r="10" spans="1:2" x14ac:dyDescent="0.3">
      <c r="A10" s="12" t="s">
        <v>260</v>
      </c>
      <c r="B10" s="16">
        <v>0</v>
      </c>
    </row>
    <row r="11" spans="1:2" x14ac:dyDescent="0.3">
      <c r="A11" s="12" t="s">
        <v>261</v>
      </c>
      <c r="B11" s="16">
        <v>241</v>
      </c>
    </row>
    <row r="12" spans="1:2" x14ac:dyDescent="0.3">
      <c r="A12" s="12" t="s">
        <v>262</v>
      </c>
      <c r="B12" s="16">
        <v>7</v>
      </c>
    </row>
    <row r="13" spans="1:2" x14ac:dyDescent="0.3">
      <c r="A13" s="12" t="s">
        <v>263</v>
      </c>
      <c r="B13" s="16">
        <v>4</v>
      </c>
    </row>
    <row r="14" spans="1:2" x14ac:dyDescent="0.3">
      <c r="A14" s="50" t="s">
        <v>563</v>
      </c>
      <c r="B14" s="16">
        <v>1</v>
      </c>
    </row>
    <row r="15" spans="1:2" x14ac:dyDescent="0.3">
      <c r="A15" s="43" t="s">
        <v>250</v>
      </c>
      <c r="B15" s="44">
        <v>1488</v>
      </c>
    </row>
    <row r="16" spans="1:2" x14ac:dyDescent="0.3">
      <c r="A16" s="43" t="s">
        <v>251</v>
      </c>
      <c r="B16" s="1">
        <v>454</v>
      </c>
    </row>
    <row r="17" spans="1:4" x14ac:dyDescent="0.3">
      <c r="A17" s="11" t="s">
        <v>264</v>
      </c>
      <c r="B17">
        <v>452</v>
      </c>
    </row>
    <row r="18" spans="1:4" x14ac:dyDescent="0.3">
      <c r="A18" s="11" t="s">
        <v>265</v>
      </c>
      <c r="B18">
        <v>2</v>
      </c>
    </row>
    <row r="19" spans="1:4" x14ac:dyDescent="0.3">
      <c r="A19" s="43" t="s">
        <v>252</v>
      </c>
      <c r="B19" s="1">
        <v>48</v>
      </c>
    </row>
    <row r="20" spans="1:4" x14ac:dyDescent="0.3">
      <c r="A20" s="43" t="s">
        <v>253</v>
      </c>
      <c r="B20" s="1">
        <v>482</v>
      </c>
    </row>
    <row r="21" spans="1:4" x14ac:dyDescent="0.3">
      <c r="A21" s="9" t="s">
        <v>564</v>
      </c>
      <c r="B21">
        <v>430</v>
      </c>
    </row>
    <row r="22" spans="1:4" x14ac:dyDescent="0.3">
      <c r="A22" s="11" t="s">
        <v>266</v>
      </c>
      <c r="B22">
        <v>28</v>
      </c>
    </row>
    <row r="23" spans="1:4" x14ac:dyDescent="0.3">
      <c r="A23" s="11" t="s">
        <v>267</v>
      </c>
      <c r="B23">
        <v>24</v>
      </c>
    </row>
    <row r="24" spans="1:4" x14ac:dyDescent="0.3">
      <c r="A24" s="43" t="s">
        <v>254</v>
      </c>
      <c r="B24" s="1">
        <v>604</v>
      </c>
    </row>
    <row r="25" spans="1:4" x14ac:dyDescent="0.3">
      <c r="A25" s="124" t="s">
        <v>182</v>
      </c>
      <c r="B25" s="8">
        <v>5796</v>
      </c>
      <c r="D25" s="5">
        <f>B3+B4+B5+B15+B16+B19+B20+B24</f>
        <v>5796</v>
      </c>
    </row>
    <row r="26" spans="1:4" x14ac:dyDescent="0.3">
      <c r="A26" s="103" t="s">
        <v>129</v>
      </c>
      <c r="B26" s="103"/>
    </row>
    <row r="31" spans="1:4" ht="28.95" customHeight="1" x14ac:dyDescent="0.3">
      <c r="A31" s="125" t="s">
        <v>255</v>
      </c>
      <c r="B31" s="125"/>
    </row>
  </sheetData>
  <mergeCells count="4">
    <mergeCell ref="A1:B1"/>
    <mergeCell ref="A25"/>
    <mergeCell ref="A26:B26"/>
    <mergeCell ref="A31:B31"/>
  </mergeCells>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FE9BD-3F3B-47CC-8C27-8E3E272118FE}">
  <sheetPr>
    <tabColor rgb="FF92D050"/>
  </sheetPr>
  <dimension ref="A1:B9"/>
  <sheetViews>
    <sheetView zoomScale="185" zoomScaleNormal="115" workbookViewId="0">
      <selection activeCell="A8" sqref="A8"/>
    </sheetView>
  </sheetViews>
  <sheetFormatPr baseColWidth="10" defaultColWidth="8.77734375" defaultRowHeight="14.4" x14ac:dyDescent="0.3"/>
  <cols>
    <col min="1" max="1" width="75.44140625" style="3" bestFit="1" customWidth="1"/>
    <col min="2" max="2" width="10.109375" style="3" bestFit="1" customWidth="1"/>
    <col min="3" max="16384" width="8.77734375" style="3"/>
  </cols>
  <sheetData>
    <row r="1" spans="1:2" ht="15.6" x14ac:dyDescent="0.3">
      <c r="A1" s="89" t="s">
        <v>55</v>
      </c>
      <c r="B1" s="89"/>
    </row>
    <row r="2" spans="1:2" x14ac:dyDescent="0.3">
      <c r="A2" s="38" t="s">
        <v>268</v>
      </c>
      <c r="B2" s="38" t="s">
        <v>235</v>
      </c>
    </row>
    <row r="3" spans="1:2" ht="43.2" x14ac:dyDescent="0.3">
      <c r="A3" s="53" t="s">
        <v>269</v>
      </c>
      <c r="B3" s="36">
        <v>25377</v>
      </c>
    </row>
    <row r="4" spans="1:2" ht="28.8" x14ac:dyDescent="0.3">
      <c r="A4" s="53" t="s">
        <v>270</v>
      </c>
      <c r="B4" s="3">
        <v>65</v>
      </c>
    </row>
    <row r="5" spans="1:2" ht="28.8" x14ac:dyDescent="0.3">
      <c r="A5" s="53" t="s">
        <v>577</v>
      </c>
      <c r="B5" s="36">
        <v>1597</v>
      </c>
    </row>
    <row r="6" spans="1:2" ht="28.8" x14ac:dyDescent="0.3">
      <c r="A6" s="61" t="s">
        <v>578</v>
      </c>
      <c r="B6" s="60">
        <v>1278</v>
      </c>
    </row>
    <row r="7" spans="1:2" ht="36.75" customHeight="1" x14ac:dyDescent="0.3">
      <c r="A7" s="3" t="s">
        <v>579</v>
      </c>
    </row>
    <row r="8" spans="1:2" ht="86.4" x14ac:dyDescent="0.3">
      <c r="A8" s="53" t="s">
        <v>647</v>
      </c>
    </row>
    <row r="9" spans="1:2" x14ac:dyDescent="0.3">
      <c r="A9" s="90" t="s">
        <v>129</v>
      </c>
      <c r="B9" s="90"/>
    </row>
  </sheetData>
  <mergeCells count="2">
    <mergeCell ref="A1:B1"/>
    <mergeCell ref="A9:B9"/>
  </mergeCells>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B11"/>
  <sheetViews>
    <sheetView topLeftCell="A2" zoomScale="145" zoomScaleNormal="145" workbookViewId="0">
      <selection activeCell="A11" sqref="A11:B11"/>
    </sheetView>
  </sheetViews>
  <sheetFormatPr baseColWidth="10" defaultColWidth="8.77734375" defaultRowHeight="14.4" x14ac:dyDescent="0.3"/>
  <cols>
    <col min="1" max="1" width="68.44140625" customWidth="1"/>
    <col min="2" max="2" width="10.44140625" bestFit="1" customWidth="1"/>
  </cols>
  <sheetData>
    <row r="1" spans="1:2" ht="15.6" x14ac:dyDescent="0.3">
      <c r="A1" s="96" t="s">
        <v>57</v>
      </c>
      <c r="B1" s="96"/>
    </row>
    <row r="2" spans="1:2" x14ac:dyDescent="0.3">
      <c r="A2" s="7" t="s">
        <v>234</v>
      </c>
      <c r="B2" s="7" t="s">
        <v>271</v>
      </c>
    </row>
    <row r="3" spans="1:2" ht="28.8" x14ac:dyDescent="0.3">
      <c r="A3" s="11" t="s">
        <v>272</v>
      </c>
      <c r="B3" s="5">
        <v>2548</v>
      </c>
    </row>
    <row r="4" spans="1:2" ht="43.2" x14ac:dyDescent="0.3">
      <c r="A4" s="9" t="s">
        <v>273</v>
      </c>
      <c r="B4" s="5">
        <v>1227</v>
      </c>
    </row>
    <row r="5" spans="1:2" x14ac:dyDescent="0.3">
      <c r="A5" t="s">
        <v>274</v>
      </c>
      <c r="B5">
        <v>336</v>
      </c>
    </row>
    <row r="6" spans="1:2" x14ac:dyDescent="0.3">
      <c r="A6" t="s">
        <v>275</v>
      </c>
      <c r="B6">
        <v>891</v>
      </c>
    </row>
    <row r="7" spans="1:2" ht="6.45" customHeight="1" x14ac:dyDescent="0.3">
      <c r="A7" s="6"/>
      <c r="B7" s="6"/>
    </row>
    <row r="8" spans="1:2" x14ac:dyDescent="0.3">
      <c r="A8" s="95" t="s">
        <v>129</v>
      </c>
      <c r="B8" s="94"/>
    </row>
    <row r="11" spans="1:2" ht="31.05" customHeight="1" x14ac:dyDescent="0.3">
      <c r="A11" s="126" t="s">
        <v>255</v>
      </c>
      <c r="B11" s="126"/>
    </row>
  </sheetData>
  <mergeCells count="3">
    <mergeCell ref="A1:B1"/>
    <mergeCell ref="A8:B8"/>
    <mergeCell ref="A11:B11"/>
  </mergeCells>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C18"/>
  <sheetViews>
    <sheetView topLeftCell="A13" workbookViewId="0">
      <selection activeCell="A3" sqref="A3:A14"/>
    </sheetView>
  </sheetViews>
  <sheetFormatPr baseColWidth="10" defaultColWidth="8.77734375" defaultRowHeight="14.4" x14ac:dyDescent="0.3"/>
  <cols>
    <col min="1" max="1" width="19" customWidth="1"/>
    <col min="2" max="2" width="26.44140625" customWidth="1"/>
    <col min="3" max="3" width="24.109375" customWidth="1"/>
  </cols>
  <sheetData>
    <row r="1" spans="1:3" ht="15.6" x14ac:dyDescent="0.3">
      <c r="A1" s="96" t="s">
        <v>496</v>
      </c>
      <c r="B1" s="96"/>
      <c r="C1" s="96"/>
    </row>
    <row r="2" spans="1:3" x14ac:dyDescent="0.3">
      <c r="A2" s="7" t="s">
        <v>114</v>
      </c>
      <c r="B2" s="7" t="s">
        <v>115</v>
      </c>
      <c r="C2" s="7" t="s">
        <v>116</v>
      </c>
    </row>
    <row r="3" spans="1:3" x14ac:dyDescent="0.3">
      <c r="A3" t="s">
        <v>117</v>
      </c>
      <c r="B3">
        <v>18</v>
      </c>
      <c r="C3">
        <v>16</v>
      </c>
    </row>
    <row r="4" spans="1:3" x14ac:dyDescent="0.3">
      <c r="A4" t="s">
        <v>118</v>
      </c>
      <c r="B4">
        <v>18</v>
      </c>
      <c r="C4">
        <v>10</v>
      </c>
    </row>
    <row r="5" spans="1:3" x14ac:dyDescent="0.3">
      <c r="A5" t="s">
        <v>119</v>
      </c>
      <c r="B5">
        <v>21</v>
      </c>
      <c r="C5">
        <v>11</v>
      </c>
    </row>
    <row r="6" spans="1:3" x14ac:dyDescent="0.3">
      <c r="A6" t="s">
        <v>120</v>
      </c>
      <c r="B6">
        <v>19</v>
      </c>
      <c r="C6">
        <v>14</v>
      </c>
    </row>
    <row r="7" spans="1:3" x14ac:dyDescent="0.3">
      <c r="A7" t="s">
        <v>121</v>
      </c>
      <c r="B7">
        <v>13</v>
      </c>
      <c r="C7">
        <v>10</v>
      </c>
    </row>
    <row r="8" spans="1:3" x14ac:dyDescent="0.3">
      <c r="A8" t="s">
        <v>122</v>
      </c>
      <c r="B8">
        <v>24</v>
      </c>
      <c r="C8">
        <v>18</v>
      </c>
    </row>
    <row r="9" spans="1:3" x14ac:dyDescent="0.3">
      <c r="A9" t="s">
        <v>123</v>
      </c>
      <c r="B9">
        <v>15</v>
      </c>
      <c r="C9">
        <v>16</v>
      </c>
    </row>
    <row r="10" spans="1:3" x14ac:dyDescent="0.3">
      <c r="A10" t="s">
        <v>124</v>
      </c>
      <c r="B10">
        <v>15</v>
      </c>
      <c r="C10">
        <v>15</v>
      </c>
    </row>
    <row r="11" spans="1:3" x14ac:dyDescent="0.3">
      <c r="A11" t="s">
        <v>125</v>
      </c>
      <c r="B11">
        <v>21</v>
      </c>
      <c r="C11">
        <v>13</v>
      </c>
    </row>
    <row r="12" spans="1:3" x14ac:dyDescent="0.3">
      <c r="A12" t="s">
        <v>126</v>
      </c>
      <c r="B12">
        <v>29</v>
      </c>
      <c r="C12">
        <v>9</v>
      </c>
    </row>
    <row r="13" spans="1:3" x14ac:dyDescent="0.3">
      <c r="A13" t="s">
        <v>127</v>
      </c>
      <c r="B13">
        <v>16</v>
      </c>
      <c r="C13">
        <v>14</v>
      </c>
    </row>
    <row r="14" spans="1:3" x14ac:dyDescent="0.3">
      <c r="A14" t="s">
        <v>128</v>
      </c>
      <c r="B14">
        <v>10</v>
      </c>
      <c r="C14">
        <v>17</v>
      </c>
    </row>
    <row r="15" spans="1:3" x14ac:dyDescent="0.3">
      <c r="A15" s="13" t="s">
        <v>183</v>
      </c>
      <c r="B15" s="6">
        <f>SUM(B3:B14)</f>
        <v>219</v>
      </c>
      <c r="C15" s="6">
        <f>SUM(C3:C14)</f>
        <v>163</v>
      </c>
    </row>
    <row r="16" spans="1:3" ht="89.55" customHeight="1" x14ac:dyDescent="0.3">
      <c r="A16" s="95" t="s">
        <v>498</v>
      </c>
      <c r="B16" s="103"/>
      <c r="C16" s="103"/>
    </row>
    <row r="17" spans="1:3" ht="47.55" customHeight="1" x14ac:dyDescent="0.3">
      <c r="A17" s="95" t="s">
        <v>497</v>
      </c>
      <c r="B17" s="103"/>
      <c r="C17" s="103"/>
    </row>
    <row r="18" spans="1:3" ht="31.5" customHeight="1" x14ac:dyDescent="0.3">
      <c r="A18" s="94" t="s">
        <v>129</v>
      </c>
      <c r="B18" s="94"/>
      <c r="C18" s="94"/>
    </row>
  </sheetData>
  <mergeCells count="4">
    <mergeCell ref="A1:C1"/>
    <mergeCell ref="A18:C18"/>
    <mergeCell ref="A17:C17"/>
    <mergeCell ref="A16:C16"/>
  </mergeCells>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E21"/>
  <sheetViews>
    <sheetView topLeftCell="A2" zoomScaleNormal="100" workbookViewId="0">
      <selection activeCell="A2" sqref="A2:E18"/>
    </sheetView>
  </sheetViews>
  <sheetFormatPr baseColWidth="10" defaultColWidth="8.77734375" defaultRowHeight="14.4" x14ac:dyDescent="0.3"/>
  <cols>
    <col min="1" max="1" width="25.109375" bestFit="1" customWidth="1"/>
    <col min="2" max="2" width="14.6640625" bestFit="1" customWidth="1"/>
    <col min="3" max="3" width="12.44140625" bestFit="1" customWidth="1"/>
    <col min="4" max="4" width="15.77734375" bestFit="1" customWidth="1"/>
    <col min="5" max="5" width="12.77734375" bestFit="1" customWidth="1"/>
    <col min="6" max="6" width="7.44140625" bestFit="1" customWidth="1"/>
    <col min="7" max="7" width="9.77734375" customWidth="1"/>
  </cols>
  <sheetData>
    <row r="1" spans="1:5" ht="15.6" x14ac:dyDescent="0.3">
      <c r="A1" s="92" t="s">
        <v>61</v>
      </c>
      <c r="B1" s="92"/>
      <c r="C1" s="92"/>
      <c r="D1" s="92"/>
      <c r="E1" s="92"/>
    </row>
    <row r="2" spans="1:5" ht="43.95" customHeight="1" x14ac:dyDescent="0.3">
      <c r="A2" s="30" t="s">
        <v>277</v>
      </c>
      <c r="B2" s="30" t="s">
        <v>278</v>
      </c>
      <c r="C2" s="30" t="s">
        <v>279</v>
      </c>
      <c r="D2" s="30" t="s">
        <v>280</v>
      </c>
      <c r="E2" s="30" t="s">
        <v>281</v>
      </c>
    </row>
    <row r="3" spans="1:5" x14ac:dyDescent="0.3">
      <c r="A3" s="20">
        <v>2022</v>
      </c>
      <c r="B3" s="43">
        <f>SUM(B4:B6)</f>
        <v>328</v>
      </c>
      <c r="C3" s="43">
        <f t="shared" ref="C3:E3" si="0">SUM(C4:C6)</f>
        <v>263</v>
      </c>
      <c r="D3" s="43">
        <f t="shared" si="0"/>
        <v>6</v>
      </c>
      <c r="E3" s="43">
        <f t="shared" si="0"/>
        <v>59</v>
      </c>
    </row>
    <row r="4" spans="1:5" x14ac:dyDescent="0.3">
      <c r="A4" s="21" t="s">
        <v>282</v>
      </c>
      <c r="B4">
        <v>146</v>
      </c>
      <c r="C4">
        <v>104</v>
      </c>
      <c r="D4">
        <v>6</v>
      </c>
      <c r="E4">
        <v>36</v>
      </c>
    </row>
    <row r="5" spans="1:5" x14ac:dyDescent="0.3">
      <c r="A5" s="21" t="s">
        <v>283</v>
      </c>
      <c r="B5">
        <v>57</v>
      </c>
      <c r="C5">
        <v>51</v>
      </c>
      <c r="D5">
        <v>0</v>
      </c>
      <c r="E5">
        <v>6</v>
      </c>
    </row>
    <row r="6" spans="1:5" x14ac:dyDescent="0.3">
      <c r="A6" s="21" t="s">
        <v>284</v>
      </c>
      <c r="B6">
        <v>125</v>
      </c>
      <c r="C6">
        <v>108</v>
      </c>
      <c r="D6">
        <v>0</v>
      </c>
      <c r="E6">
        <v>17</v>
      </c>
    </row>
    <row r="7" spans="1:5" x14ac:dyDescent="0.3">
      <c r="A7" s="20">
        <v>2023</v>
      </c>
      <c r="B7" s="43">
        <f>SUM(B8:B10)</f>
        <v>532</v>
      </c>
      <c r="C7" s="43">
        <f t="shared" ref="C7" si="1">SUM(C8:C10)</f>
        <v>485</v>
      </c>
      <c r="D7" s="43">
        <f t="shared" ref="D7" si="2">SUM(D8:D10)</f>
        <v>9</v>
      </c>
      <c r="E7" s="43">
        <f t="shared" ref="E7" si="3">SUM(E8:E10)</f>
        <v>38</v>
      </c>
    </row>
    <row r="8" spans="1:5" x14ac:dyDescent="0.3">
      <c r="A8" s="21" t="s">
        <v>282</v>
      </c>
      <c r="B8">
        <v>164</v>
      </c>
      <c r="C8">
        <v>138</v>
      </c>
      <c r="D8">
        <v>5</v>
      </c>
      <c r="E8">
        <v>21</v>
      </c>
    </row>
    <row r="9" spans="1:5" x14ac:dyDescent="0.3">
      <c r="A9" s="21" t="s">
        <v>283</v>
      </c>
      <c r="B9">
        <v>95</v>
      </c>
      <c r="C9">
        <v>88</v>
      </c>
      <c r="D9">
        <v>3</v>
      </c>
      <c r="E9">
        <v>4</v>
      </c>
    </row>
    <row r="10" spans="1:5" x14ac:dyDescent="0.3">
      <c r="A10" s="21" t="s">
        <v>284</v>
      </c>
      <c r="B10">
        <v>273</v>
      </c>
      <c r="C10">
        <v>259</v>
      </c>
      <c r="D10">
        <v>1</v>
      </c>
      <c r="E10">
        <v>13</v>
      </c>
    </row>
    <row r="11" spans="1:5" x14ac:dyDescent="0.3">
      <c r="A11" s="20">
        <v>2024</v>
      </c>
      <c r="B11" s="43">
        <f>SUM(B12:B14)</f>
        <v>363</v>
      </c>
      <c r="C11" s="43">
        <f t="shared" ref="C11" si="4">SUM(C12:C14)</f>
        <v>292</v>
      </c>
      <c r="D11" s="43">
        <f t="shared" ref="D11" si="5">SUM(D12:D14)</f>
        <v>3</v>
      </c>
      <c r="E11" s="43">
        <f t="shared" ref="E11" si="6">SUM(E12:E14)</f>
        <v>68</v>
      </c>
    </row>
    <row r="12" spans="1:5" x14ac:dyDescent="0.3">
      <c r="A12" s="21" t="s">
        <v>282</v>
      </c>
      <c r="B12">
        <v>155</v>
      </c>
      <c r="C12">
        <v>100</v>
      </c>
      <c r="D12">
        <v>1</v>
      </c>
      <c r="E12">
        <v>54</v>
      </c>
    </row>
    <row r="13" spans="1:5" x14ac:dyDescent="0.3">
      <c r="A13" s="21" t="s">
        <v>283</v>
      </c>
      <c r="B13">
        <v>73</v>
      </c>
      <c r="C13">
        <v>64</v>
      </c>
      <c r="D13">
        <v>2</v>
      </c>
      <c r="E13">
        <v>7</v>
      </c>
    </row>
    <row r="14" spans="1:5" x14ac:dyDescent="0.3">
      <c r="A14" s="29" t="s">
        <v>284</v>
      </c>
      <c r="B14">
        <v>135</v>
      </c>
      <c r="C14">
        <v>128</v>
      </c>
      <c r="D14">
        <v>0</v>
      </c>
      <c r="E14">
        <v>7</v>
      </c>
    </row>
    <row r="15" spans="1:5" x14ac:dyDescent="0.3">
      <c r="A15" s="20">
        <v>2025</v>
      </c>
      <c r="B15" s="43">
        <f>SUM(B16:B18)</f>
        <v>416</v>
      </c>
      <c r="C15" s="43">
        <f t="shared" ref="C15" si="7">SUM(C16:C18)</f>
        <v>360</v>
      </c>
      <c r="D15" s="43">
        <f t="shared" ref="D15" si="8">SUM(D16:D18)</f>
        <v>3</v>
      </c>
      <c r="E15" s="43">
        <f t="shared" ref="E15" si="9">SUM(E16:E18)</f>
        <v>53</v>
      </c>
    </row>
    <row r="16" spans="1:5" x14ac:dyDescent="0.3">
      <c r="A16" s="21" t="s">
        <v>282</v>
      </c>
      <c r="B16">
        <v>179</v>
      </c>
      <c r="C16">
        <v>135</v>
      </c>
      <c r="D16">
        <v>3</v>
      </c>
      <c r="E16">
        <v>41</v>
      </c>
    </row>
    <row r="17" spans="1:5" x14ac:dyDescent="0.3">
      <c r="A17" s="21" t="s">
        <v>283</v>
      </c>
      <c r="B17">
        <v>74</v>
      </c>
      <c r="C17">
        <v>65</v>
      </c>
      <c r="D17">
        <v>0</v>
      </c>
      <c r="E17">
        <v>9</v>
      </c>
    </row>
    <row r="18" spans="1:5" x14ac:dyDescent="0.3">
      <c r="A18" s="21" t="s">
        <v>284</v>
      </c>
      <c r="B18">
        <v>163</v>
      </c>
      <c r="C18">
        <v>160</v>
      </c>
      <c r="D18">
        <v>0</v>
      </c>
      <c r="E18">
        <v>3</v>
      </c>
    </row>
    <row r="19" spans="1:5" x14ac:dyDescent="0.3">
      <c r="A19" s="6"/>
      <c r="B19" s="6"/>
      <c r="C19" s="6"/>
      <c r="D19" s="6"/>
      <c r="E19" s="6"/>
    </row>
    <row r="20" spans="1:5" ht="45.45" customHeight="1" x14ac:dyDescent="0.3">
      <c r="A20" s="127" t="s">
        <v>499</v>
      </c>
      <c r="B20" s="127"/>
      <c r="C20" s="127"/>
      <c r="D20" s="127"/>
      <c r="E20" s="127"/>
    </row>
    <row r="21" spans="1:5" x14ac:dyDescent="0.3">
      <c r="A21" s="128" t="s">
        <v>285</v>
      </c>
      <c r="B21" s="129"/>
      <c r="C21" s="129"/>
      <c r="D21" s="129"/>
      <c r="E21" s="129"/>
    </row>
  </sheetData>
  <mergeCells count="3">
    <mergeCell ref="A20:E20"/>
    <mergeCell ref="A21:E21"/>
    <mergeCell ref="A1:E1"/>
  </mergeCell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B21"/>
  <sheetViews>
    <sheetView zoomScale="115" zoomScaleNormal="115" workbookViewId="0">
      <selection activeCell="B4" sqref="B4:B14"/>
    </sheetView>
  </sheetViews>
  <sheetFormatPr baseColWidth="10" defaultColWidth="8.77734375" defaultRowHeight="14.4" x14ac:dyDescent="0.3"/>
  <cols>
    <col min="1" max="1" width="90.6640625" customWidth="1"/>
    <col min="2" max="2" width="10.109375" bestFit="1" customWidth="1"/>
  </cols>
  <sheetData>
    <row r="1" spans="1:2" ht="33" customHeight="1" x14ac:dyDescent="0.3">
      <c r="A1" s="108" t="s">
        <v>63</v>
      </c>
      <c r="B1" s="108"/>
    </row>
    <row r="2" spans="1:2" x14ac:dyDescent="0.3">
      <c r="A2" s="7" t="s">
        <v>286</v>
      </c>
      <c r="B2" s="7" t="s">
        <v>235</v>
      </c>
    </row>
    <row r="3" spans="1:2" x14ac:dyDescent="0.3">
      <c r="A3" s="1" t="s">
        <v>287</v>
      </c>
      <c r="B3" s="44">
        <v>7666</v>
      </c>
    </row>
    <row r="4" spans="1:2" x14ac:dyDescent="0.3">
      <c r="A4" s="11" t="s">
        <v>289</v>
      </c>
      <c r="B4">
        <v>380</v>
      </c>
    </row>
    <row r="5" spans="1:2" x14ac:dyDescent="0.3">
      <c r="A5" s="11" t="s">
        <v>290</v>
      </c>
      <c r="B5">
        <v>114</v>
      </c>
    </row>
    <row r="6" spans="1:2" x14ac:dyDescent="0.3">
      <c r="A6" s="11" t="s">
        <v>291</v>
      </c>
      <c r="B6">
        <v>361</v>
      </c>
    </row>
    <row r="7" spans="1:2" ht="28.8" x14ac:dyDescent="0.3">
      <c r="A7" s="11" t="s">
        <v>292</v>
      </c>
      <c r="B7">
        <v>405</v>
      </c>
    </row>
    <row r="8" spans="1:2" ht="28.8" x14ac:dyDescent="0.3">
      <c r="A8" s="11" t="s">
        <v>293</v>
      </c>
      <c r="B8" s="5">
        <v>3272</v>
      </c>
    </row>
    <row r="9" spans="1:2" x14ac:dyDescent="0.3">
      <c r="A9" s="11" t="s">
        <v>294</v>
      </c>
      <c r="B9" s="5">
        <v>1658</v>
      </c>
    </row>
    <row r="10" spans="1:2" x14ac:dyDescent="0.3">
      <c r="A10" s="11" t="s">
        <v>295</v>
      </c>
      <c r="B10">
        <v>18</v>
      </c>
    </row>
    <row r="11" spans="1:2" ht="28.8" x14ac:dyDescent="0.3">
      <c r="A11" s="11" t="s">
        <v>296</v>
      </c>
      <c r="B11" s="5">
        <v>1439</v>
      </c>
    </row>
    <row r="12" spans="1:2" x14ac:dyDescent="0.3">
      <c r="A12" s="9" t="s">
        <v>297</v>
      </c>
      <c r="B12">
        <v>3</v>
      </c>
    </row>
    <row r="13" spans="1:2" x14ac:dyDescent="0.3">
      <c r="A13" s="11" t="s">
        <v>298</v>
      </c>
      <c r="B13">
        <v>16</v>
      </c>
    </row>
    <row r="14" spans="1:2" x14ac:dyDescent="0.3">
      <c r="A14" s="11" t="s">
        <v>299</v>
      </c>
      <c r="B14">
        <v>0</v>
      </c>
    </row>
    <row r="15" spans="1:2" x14ac:dyDescent="0.3">
      <c r="A15" s="1" t="s">
        <v>288</v>
      </c>
      <c r="B15" s="1">
        <v>3</v>
      </c>
    </row>
    <row r="16" spans="1:2" x14ac:dyDescent="0.3">
      <c r="A16" s="6"/>
      <c r="B16" s="6"/>
    </row>
    <row r="17" spans="1:2" x14ac:dyDescent="0.3">
      <c r="A17" s="103" t="s">
        <v>129</v>
      </c>
      <c r="B17" s="103"/>
    </row>
    <row r="21" spans="1:2" x14ac:dyDescent="0.3">
      <c r="A21" s="130"/>
      <c r="B21" s="130"/>
    </row>
  </sheetData>
  <mergeCells count="3">
    <mergeCell ref="A1:B1"/>
    <mergeCell ref="A17:B17"/>
    <mergeCell ref="A21:B21"/>
  </mergeCell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D19"/>
  <sheetViews>
    <sheetView workbookViewId="0">
      <selection activeCell="A4" sqref="A4:A16"/>
    </sheetView>
  </sheetViews>
  <sheetFormatPr baseColWidth="10" defaultColWidth="8.77734375" defaultRowHeight="14.4" x14ac:dyDescent="0.3"/>
  <cols>
    <col min="1" max="1" width="14" bestFit="1" customWidth="1"/>
    <col min="2" max="2" width="12.109375" customWidth="1"/>
    <col min="3" max="3" width="16.77734375" customWidth="1"/>
    <col min="4" max="4" width="18.77734375" customWidth="1"/>
  </cols>
  <sheetData>
    <row r="1" spans="1:4" ht="39.450000000000003" customHeight="1" x14ac:dyDescent="0.3">
      <c r="A1" s="108" t="s">
        <v>65</v>
      </c>
      <c r="B1" s="108"/>
      <c r="C1" s="108"/>
      <c r="D1" s="108"/>
    </row>
    <row r="2" spans="1:4" ht="15.6" x14ac:dyDescent="0.3">
      <c r="A2" s="116" t="s">
        <v>143</v>
      </c>
      <c r="B2" s="116" t="s">
        <v>135</v>
      </c>
      <c r="C2" s="112" t="s">
        <v>501</v>
      </c>
      <c r="D2" s="112"/>
    </row>
    <row r="3" spans="1:4" x14ac:dyDescent="0.3">
      <c r="A3" s="116"/>
      <c r="B3" s="116"/>
      <c r="C3" s="45" t="s">
        <v>180</v>
      </c>
      <c r="D3" s="45" t="s">
        <v>181</v>
      </c>
    </row>
    <row r="4" spans="1:4" x14ac:dyDescent="0.3">
      <c r="A4" s="14" t="s">
        <v>439</v>
      </c>
      <c r="B4" s="19">
        <v>34</v>
      </c>
      <c r="C4" s="19">
        <v>1244</v>
      </c>
      <c r="D4" s="19">
        <v>940</v>
      </c>
    </row>
    <row r="5" spans="1:4" x14ac:dyDescent="0.3">
      <c r="A5" s="14" t="s">
        <v>440</v>
      </c>
      <c r="B5" s="19">
        <v>72</v>
      </c>
      <c r="C5" s="19">
        <v>1667</v>
      </c>
      <c r="D5" s="19">
        <v>1489</v>
      </c>
    </row>
    <row r="6" spans="1:4" x14ac:dyDescent="0.3">
      <c r="A6" s="14" t="s">
        <v>441</v>
      </c>
      <c r="B6" s="19">
        <v>411</v>
      </c>
      <c r="C6" s="19">
        <v>12780</v>
      </c>
      <c r="D6" s="19">
        <v>10825</v>
      </c>
    </row>
    <row r="7" spans="1:4" x14ac:dyDescent="0.3">
      <c r="A7" s="14" t="s">
        <v>456</v>
      </c>
      <c r="B7" s="19">
        <v>29</v>
      </c>
      <c r="C7" s="19">
        <v>1283</v>
      </c>
      <c r="D7" s="19">
        <v>1189</v>
      </c>
    </row>
    <row r="8" spans="1:4" x14ac:dyDescent="0.3">
      <c r="A8" s="14" t="s">
        <v>442</v>
      </c>
      <c r="B8" s="19">
        <v>48</v>
      </c>
      <c r="C8" s="19">
        <v>3254</v>
      </c>
      <c r="D8" s="19">
        <v>2838</v>
      </c>
    </row>
    <row r="9" spans="1:4" x14ac:dyDescent="0.3">
      <c r="A9" s="14" t="s">
        <v>443</v>
      </c>
      <c r="B9" s="19">
        <v>88</v>
      </c>
      <c r="C9" s="19">
        <v>2955</v>
      </c>
      <c r="D9" s="19">
        <v>2227</v>
      </c>
    </row>
    <row r="10" spans="1:4" x14ac:dyDescent="0.3">
      <c r="A10" s="14" t="s">
        <v>500</v>
      </c>
      <c r="B10" s="19">
        <v>22</v>
      </c>
      <c r="C10" s="19">
        <v>1053</v>
      </c>
      <c r="D10" s="19">
        <v>821</v>
      </c>
    </row>
    <row r="11" spans="1:4" x14ac:dyDescent="0.3">
      <c r="A11" s="14" t="s">
        <v>445</v>
      </c>
      <c r="B11" s="19">
        <v>127</v>
      </c>
      <c r="C11" s="19">
        <v>2906</v>
      </c>
      <c r="D11" s="19">
        <v>2092</v>
      </c>
    </row>
    <row r="12" spans="1:4" x14ac:dyDescent="0.3">
      <c r="A12" s="14" t="s">
        <v>446</v>
      </c>
      <c r="B12" s="19">
        <v>87</v>
      </c>
      <c r="C12" s="19">
        <v>2325</v>
      </c>
      <c r="D12" s="19">
        <v>1925</v>
      </c>
    </row>
    <row r="13" spans="1:4" x14ac:dyDescent="0.3">
      <c r="A13" s="14" t="s">
        <v>447</v>
      </c>
      <c r="B13" s="19">
        <v>53</v>
      </c>
      <c r="C13" s="19">
        <v>1340</v>
      </c>
      <c r="D13" s="19">
        <v>1095</v>
      </c>
    </row>
    <row r="14" spans="1:4" x14ac:dyDescent="0.3">
      <c r="A14" s="14" t="s">
        <v>448</v>
      </c>
      <c r="B14" s="19">
        <v>27</v>
      </c>
      <c r="C14" s="19">
        <v>876</v>
      </c>
      <c r="D14" s="19">
        <v>639</v>
      </c>
    </row>
    <row r="15" spans="1:4" x14ac:dyDescent="0.3">
      <c r="A15" s="14" t="s">
        <v>449</v>
      </c>
      <c r="B15" s="19">
        <v>18</v>
      </c>
      <c r="C15" s="19">
        <v>807</v>
      </c>
      <c r="D15" s="19">
        <v>767</v>
      </c>
    </row>
    <row r="16" spans="1:4" x14ac:dyDescent="0.3">
      <c r="A16" s="14" t="s">
        <v>450</v>
      </c>
      <c r="B16" s="19">
        <v>46</v>
      </c>
      <c r="C16" s="19">
        <v>1267</v>
      </c>
      <c r="D16" s="19">
        <v>1045</v>
      </c>
    </row>
    <row r="17" spans="1:4" x14ac:dyDescent="0.3">
      <c r="A17" s="26" t="s">
        <v>451</v>
      </c>
      <c r="B17" s="27">
        <f>SUM(B4:B16)</f>
        <v>1062</v>
      </c>
      <c r="C17" s="27">
        <f t="shared" ref="C17:D17" si="0">SUM(C4:C16)</f>
        <v>33757</v>
      </c>
      <c r="D17" s="27">
        <f t="shared" si="0"/>
        <v>27892</v>
      </c>
    </row>
    <row r="18" spans="1:4" ht="34.049999999999997" customHeight="1" x14ac:dyDescent="0.3">
      <c r="A18" s="95" t="s">
        <v>502</v>
      </c>
      <c r="B18" s="94"/>
      <c r="C18" s="94"/>
      <c r="D18" s="94"/>
    </row>
    <row r="19" spans="1:4" ht="28.95" customHeight="1" x14ac:dyDescent="0.3">
      <c r="A19" s="94" t="s">
        <v>300</v>
      </c>
      <c r="B19" s="94"/>
      <c r="C19" s="94"/>
      <c r="D19" s="94"/>
    </row>
  </sheetData>
  <mergeCells count="6">
    <mergeCell ref="A18:D18"/>
    <mergeCell ref="A1:D1"/>
    <mergeCell ref="A19:D19"/>
    <mergeCell ref="C2:D2"/>
    <mergeCell ref="B2:B3"/>
    <mergeCell ref="A2:A3"/>
  </mergeCell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D17"/>
  <sheetViews>
    <sheetView workbookViewId="0">
      <selection activeCell="A2" sqref="A2:D3"/>
    </sheetView>
  </sheetViews>
  <sheetFormatPr baseColWidth="10" defaultColWidth="8.77734375" defaultRowHeight="14.4" x14ac:dyDescent="0.3"/>
  <cols>
    <col min="1" max="1" width="14" bestFit="1" customWidth="1"/>
    <col min="2" max="2" width="10.44140625" bestFit="1" customWidth="1"/>
    <col min="3" max="3" width="19.109375" customWidth="1"/>
    <col min="4" max="4" width="13.77734375" customWidth="1"/>
  </cols>
  <sheetData>
    <row r="1" spans="1:4" ht="40.049999999999997" customHeight="1" x14ac:dyDescent="0.3">
      <c r="A1" s="108" t="s">
        <v>68</v>
      </c>
      <c r="B1" s="108"/>
      <c r="C1" s="108"/>
      <c r="D1" s="108"/>
    </row>
    <row r="2" spans="1:4" ht="15.6" x14ac:dyDescent="0.3">
      <c r="A2" s="116" t="s">
        <v>143</v>
      </c>
      <c r="B2" s="116" t="s">
        <v>135</v>
      </c>
      <c r="C2" s="131" t="s">
        <v>503</v>
      </c>
      <c r="D2" s="131"/>
    </row>
    <row r="3" spans="1:4" x14ac:dyDescent="0.3">
      <c r="A3" s="116"/>
      <c r="B3" s="116"/>
      <c r="C3" s="45" t="s">
        <v>180</v>
      </c>
      <c r="D3" s="45" t="s">
        <v>181</v>
      </c>
    </row>
    <row r="4" spans="1:4" x14ac:dyDescent="0.3">
      <c r="A4" s="14" t="s">
        <v>439</v>
      </c>
      <c r="B4">
        <v>2</v>
      </c>
      <c r="C4">
        <v>208</v>
      </c>
      <c r="D4">
        <v>194</v>
      </c>
    </row>
    <row r="5" spans="1:4" x14ac:dyDescent="0.3">
      <c r="A5" s="14" t="s">
        <v>440</v>
      </c>
      <c r="B5">
        <v>2</v>
      </c>
      <c r="C5">
        <v>129</v>
      </c>
      <c r="D5">
        <v>102</v>
      </c>
    </row>
    <row r="6" spans="1:4" x14ac:dyDescent="0.3">
      <c r="A6" s="14" t="s">
        <v>441</v>
      </c>
      <c r="B6">
        <v>22</v>
      </c>
      <c r="C6" s="5">
        <v>1838</v>
      </c>
      <c r="D6" s="5">
        <v>1575</v>
      </c>
    </row>
    <row r="7" spans="1:4" x14ac:dyDescent="0.3">
      <c r="A7" s="14" t="s">
        <v>456</v>
      </c>
      <c r="B7">
        <v>4</v>
      </c>
      <c r="C7">
        <v>449</v>
      </c>
      <c r="D7">
        <v>380</v>
      </c>
    </row>
    <row r="8" spans="1:4" x14ac:dyDescent="0.3">
      <c r="A8" s="14" t="s">
        <v>442</v>
      </c>
      <c r="B8">
        <v>6</v>
      </c>
      <c r="C8">
        <v>812</v>
      </c>
      <c r="D8">
        <v>594</v>
      </c>
    </row>
    <row r="9" spans="1:4" x14ac:dyDescent="0.3">
      <c r="A9" s="14" t="s">
        <v>443</v>
      </c>
      <c r="B9">
        <v>12</v>
      </c>
      <c r="C9">
        <v>902</v>
      </c>
      <c r="D9">
        <v>567</v>
      </c>
    </row>
    <row r="10" spans="1:4" x14ac:dyDescent="0.3">
      <c r="A10" s="14" t="s">
        <v>444</v>
      </c>
      <c r="B10">
        <v>4</v>
      </c>
      <c r="C10">
        <v>319</v>
      </c>
      <c r="D10">
        <v>312</v>
      </c>
    </row>
    <row r="11" spans="1:4" x14ac:dyDescent="0.3">
      <c r="A11" s="14" t="s">
        <v>445</v>
      </c>
      <c r="B11">
        <v>5</v>
      </c>
      <c r="C11">
        <v>330</v>
      </c>
      <c r="D11">
        <v>278</v>
      </c>
    </row>
    <row r="12" spans="1:4" x14ac:dyDescent="0.3">
      <c r="A12" s="14" t="s">
        <v>446</v>
      </c>
      <c r="B12">
        <v>3</v>
      </c>
      <c r="C12">
        <v>282</v>
      </c>
      <c r="D12">
        <v>192</v>
      </c>
    </row>
    <row r="13" spans="1:4" x14ac:dyDescent="0.3">
      <c r="A13" s="14" t="s">
        <v>447</v>
      </c>
      <c r="B13">
        <v>1</v>
      </c>
      <c r="C13">
        <v>28</v>
      </c>
      <c r="D13">
        <v>22</v>
      </c>
    </row>
    <row r="14" spans="1:4" x14ac:dyDescent="0.3">
      <c r="A14" s="14" t="s">
        <v>448</v>
      </c>
      <c r="B14">
        <v>4</v>
      </c>
      <c r="C14">
        <v>119</v>
      </c>
      <c r="D14">
        <v>83</v>
      </c>
    </row>
    <row r="15" spans="1:4" x14ac:dyDescent="0.3">
      <c r="A15" s="13" t="s">
        <v>451</v>
      </c>
      <c r="B15" s="46">
        <f>SUM(B4:B14)</f>
        <v>65</v>
      </c>
      <c r="C15" s="46">
        <f>SUM(C4:C14)</f>
        <v>5416</v>
      </c>
      <c r="D15" s="46">
        <f>SUM(D4:D14)</f>
        <v>4299</v>
      </c>
    </row>
    <row r="16" spans="1:4" ht="33" customHeight="1" x14ac:dyDescent="0.3">
      <c r="A16" s="100" t="s">
        <v>504</v>
      </c>
      <c r="B16" s="100"/>
      <c r="C16" s="100"/>
      <c r="D16" s="100"/>
    </row>
    <row r="17" spans="1:4" ht="29.55" customHeight="1" x14ac:dyDescent="0.3">
      <c r="A17" s="95" t="s">
        <v>300</v>
      </c>
      <c r="B17" s="94"/>
      <c r="C17" s="94"/>
      <c r="D17" s="94"/>
    </row>
  </sheetData>
  <mergeCells count="6">
    <mergeCell ref="A1:D1"/>
    <mergeCell ref="A17:D17"/>
    <mergeCell ref="C2:D2"/>
    <mergeCell ref="A2:A3"/>
    <mergeCell ref="B2:B3"/>
    <mergeCell ref="A16:D16"/>
  </mergeCells>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D16"/>
  <sheetViews>
    <sheetView topLeftCell="B1" workbookViewId="0">
      <selection activeCell="F16" sqref="F16"/>
    </sheetView>
  </sheetViews>
  <sheetFormatPr baseColWidth="10" defaultColWidth="8.77734375" defaultRowHeight="14.4" x14ac:dyDescent="0.3"/>
  <cols>
    <col min="1" max="1" width="18.6640625" customWidth="1"/>
    <col min="2" max="2" width="10.44140625" bestFit="1" customWidth="1"/>
    <col min="3" max="3" width="33.33203125" customWidth="1"/>
    <col min="4" max="4" width="34.109375" customWidth="1"/>
  </cols>
  <sheetData>
    <row r="1" spans="1:4" ht="15.6" x14ac:dyDescent="0.3">
      <c r="A1" s="96" t="s">
        <v>70</v>
      </c>
      <c r="B1" s="96"/>
      <c r="C1" s="96"/>
      <c r="D1" s="96"/>
    </row>
    <row r="2" spans="1:4" ht="15.6" x14ac:dyDescent="0.3">
      <c r="A2" s="116" t="s">
        <v>143</v>
      </c>
      <c r="B2" s="116" t="s">
        <v>135</v>
      </c>
      <c r="C2" s="131" t="s">
        <v>503</v>
      </c>
      <c r="D2" s="131"/>
    </row>
    <row r="3" spans="1:4" x14ac:dyDescent="0.3">
      <c r="A3" s="116"/>
      <c r="B3" s="116"/>
      <c r="C3" s="45" t="s">
        <v>180</v>
      </c>
      <c r="D3" s="45" t="s">
        <v>181</v>
      </c>
    </row>
    <row r="4" spans="1:4" x14ac:dyDescent="0.3">
      <c r="A4" s="14" t="s">
        <v>439</v>
      </c>
      <c r="B4">
        <v>7</v>
      </c>
      <c r="C4">
        <v>260</v>
      </c>
      <c r="D4">
        <v>203</v>
      </c>
    </row>
    <row r="5" spans="1:4" x14ac:dyDescent="0.3">
      <c r="A5" s="14" t="s">
        <v>440</v>
      </c>
      <c r="B5">
        <v>5</v>
      </c>
      <c r="C5">
        <v>341</v>
      </c>
      <c r="D5">
        <v>309</v>
      </c>
    </row>
    <row r="6" spans="1:4" x14ac:dyDescent="0.3">
      <c r="A6" s="14" t="s">
        <v>441</v>
      </c>
      <c r="B6">
        <v>21</v>
      </c>
      <c r="C6" s="5">
        <v>1173</v>
      </c>
      <c r="D6" s="5">
        <v>1091</v>
      </c>
    </row>
    <row r="7" spans="1:4" x14ac:dyDescent="0.3">
      <c r="A7" s="14" t="s">
        <v>442</v>
      </c>
      <c r="B7">
        <v>7</v>
      </c>
      <c r="C7">
        <v>765</v>
      </c>
      <c r="D7">
        <v>752</v>
      </c>
    </row>
    <row r="8" spans="1:4" x14ac:dyDescent="0.3">
      <c r="A8" s="14" t="s">
        <v>443</v>
      </c>
      <c r="B8">
        <v>20</v>
      </c>
      <c r="C8">
        <v>931</v>
      </c>
      <c r="D8">
        <v>785</v>
      </c>
    </row>
    <row r="9" spans="1:4" x14ac:dyDescent="0.3">
      <c r="A9" s="14" t="s">
        <v>445</v>
      </c>
      <c r="B9">
        <v>5</v>
      </c>
      <c r="C9">
        <v>286</v>
      </c>
      <c r="D9">
        <v>276</v>
      </c>
    </row>
    <row r="10" spans="1:4" x14ac:dyDescent="0.3">
      <c r="A10" s="14" t="s">
        <v>446</v>
      </c>
      <c r="B10">
        <v>6</v>
      </c>
      <c r="C10">
        <v>212</v>
      </c>
      <c r="D10">
        <v>207</v>
      </c>
    </row>
    <row r="11" spans="1:4" x14ac:dyDescent="0.3">
      <c r="A11" s="14" t="s">
        <v>447</v>
      </c>
      <c r="B11">
        <v>7</v>
      </c>
      <c r="C11">
        <v>349</v>
      </c>
      <c r="D11">
        <v>317</v>
      </c>
    </row>
    <row r="12" spans="1:4" x14ac:dyDescent="0.3">
      <c r="A12" s="14" t="s">
        <v>448</v>
      </c>
      <c r="B12">
        <v>3</v>
      </c>
      <c r="C12">
        <v>200</v>
      </c>
      <c r="D12">
        <v>208</v>
      </c>
    </row>
    <row r="13" spans="1:4" x14ac:dyDescent="0.3">
      <c r="A13" s="14" t="s">
        <v>450</v>
      </c>
      <c r="B13">
        <v>5</v>
      </c>
      <c r="C13">
        <v>390</v>
      </c>
      <c r="D13">
        <v>273</v>
      </c>
    </row>
    <row r="14" spans="1:4" x14ac:dyDescent="0.3">
      <c r="A14" s="13" t="s">
        <v>451</v>
      </c>
      <c r="B14" s="46">
        <f>SUM(B4:B13)</f>
        <v>86</v>
      </c>
      <c r="C14" s="46">
        <f>SUM(C4:C13)</f>
        <v>4907</v>
      </c>
      <c r="D14" s="46">
        <f>SUM(D4:D13)</f>
        <v>4421</v>
      </c>
    </row>
    <row r="15" spans="1:4" x14ac:dyDescent="0.3">
      <c r="A15" s="102" t="s">
        <v>505</v>
      </c>
      <c r="B15" s="103"/>
      <c r="C15" s="103"/>
      <c r="D15" s="103"/>
    </row>
    <row r="16" spans="1:4" ht="27" customHeight="1" x14ac:dyDescent="0.3">
      <c r="A16" s="95" t="s">
        <v>300</v>
      </c>
      <c r="B16" s="94"/>
      <c r="C16" s="94"/>
      <c r="D16" s="94"/>
    </row>
  </sheetData>
  <mergeCells count="6">
    <mergeCell ref="A15:D15"/>
    <mergeCell ref="A1:D1"/>
    <mergeCell ref="A16:D16"/>
    <mergeCell ref="A2:A3"/>
    <mergeCell ref="B2:B3"/>
    <mergeCell ref="C2:D2"/>
  </mergeCells>
  <pageMargins left="0.7" right="0.7" top="0.75" bottom="0.75" header="0.3" footer="0.3"/>
  <pageSetup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B8"/>
  <sheetViews>
    <sheetView workbookViewId="0">
      <selection activeCell="A2" sqref="A2:B2"/>
    </sheetView>
  </sheetViews>
  <sheetFormatPr baseColWidth="10" defaultColWidth="8.77734375" defaultRowHeight="14.4" x14ac:dyDescent="0.3"/>
  <cols>
    <col min="1" max="1" width="38.77734375" bestFit="1" customWidth="1"/>
    <col min="2" max="2" width="22.44140625" bestFit="1" customWidth="1"/>
  </cols>
  <sheetData>
    <row r="1" spans="1:2" ht="31.95" customHeight="1" x14ac:dyDescent="0.3">
      <c r="A1" s="108" t="s">
        <v>72</v>
      </c>
      <c r="B1" s="108"/>
    </row>
    <row r="2" spans="1:2" x14ac:dyDescent="0.3">
      <c r="A2" s="7" t="s">
        <v>301</v>
      </c>
      <c r="B2" s="7" t="s">
        <v>302</v>
      </c>
    </row>
    <row r="3" spans="1:2" x14ac:dyDescent="0.3">
      <c r="A3" t="s">
        <v>303</v>
      </c>
      <c r="B3" s="5">
        <v>1344</v>
      </c>
    </row>
    <row r="4" spans="1:2" x14ac:dyDescent="0.3">
      <c r="A4" t="s">
        <v>304</v>
      </c>
      <c r="B4">
        <v>153</v>
      </c>
    </row>
    <row r="5" spans="1:2" x14ac:dyDescent="0.3">
      <c r="A5" t="s">
        <v>305</v>
      </c>
      <c r="B5">
        <v>560</v>
      </c>
    </row>
    <row r="6" spans="1:2" x14ac:dyDescent="0.3">
      <c r="A6" t="s">
        <v>306</v>
      </c>
      <c r="B6">
        <v>601</v>
      </c>
    </row>
    <row r="7" spans="1:2" x14ac:dyDescent="0.3">
      <c r="A7" s="13" t="s">
        <v>183</v>
      </c>
      <c r="B7" s="8">
        <v>2658</v>
      </c>
    </row>
    <row r="8" spans="1:2" ht="28.95" customHeight="1" x14ac:dyDescent="0.3">
      <c r="A8" s="94" t="s">
        <v>300</v>
      </c>
      <c r="B8" s="94"/>
    </row>
  </sheetData>
  <mergeCells count="2">
    <mergeCell ref="A1:B1"/>
    <mergeCell ref="A8:B8"/>
  </mergeCells>
  <pageMargins left="0.7" right="0.7" top="0.75" bottom="0.75" header="0.3" footer="0.3"/>
  <pageSetup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D11"/>
  <sheetViews>
    <sheetView topLeftCell="A4" zoomScale="115" zoomScaleNormal="115" workbookViewId="0">
      <selection activeCell="A2" sqref="A2"/>
    </sheetView>
  </sheetViews>
  <sheetFormatPr baseColWidth="10" defaultColWidth="8.77734375" defaultRowHeight="14.4" x14ac:dyDescent="0.3"/>
  <cols>
    <col min="1" max="1" width="5" bestFit="1" customWidth="1"/>
    <col min="2" max="2" width="27.77734375" bestFit="1" customWidth="1"/>
    <col min="3" max="3" width="21.6640625" bestFit="1" customWidth="1"/>
    <col min="4" max="4" width="24.44140625" bestFit="1" customWidth="1"/>
  </cols>
  <sheetData>
    <row r="1" spans="1:4" ht="37.049999999999997" customHeight="1" x14ac:dyDescent="0.3">
      <c r="A1" s="108" t="s">
        <v>509</v>
      </c>
      <c r="B1" s="108"/>
      <c r="C1" s="108"/>
      <c r="D1" s="108"/>
    </row>
    <row r="2" spans="1:4" ht="57.6" x14ac:dyDescent="0.3">
      <c r="A2" s="32" t="s">
        <v>276</v>
      </c>
      <c r="B2" s="33" t="s">
        <v>307</v>
      </c>
      <c r="C2" s="33" t="s">
        <v>308</v>
      </c>
      <c r="D2" s="33" t="s">
        <v>309</v>
      </c>
    </row>
    <row r="3" spans="1:4" x14ac:dyDescent="0.3">
      <c r="A3">
        <v>2022</v>
      </c>
      <c r="B3">
        <v>4</v>
      </c>
      <c r="C3">
        <v>36</v>
      </c>
      <c r="D3">
        <v>95</v>
      </c>
    </row>
    <row r="4" spans="1:4" x14ac:dyDescent="0.3">
      <c r="A4">
        <v>2023</v>
      </c>
      <c r="B4">
        <v>4</v>
      </c>
      <c r="C4">
        <v>40</v>
      </c>
      <c r="D4">
        <v>62</v>
      </c>
    </row>
    <row r="5" spans="1:4" x14ac:dyDescent="0.3">
      <c r="A5">
        <v>2024</v>
      </c>
      <c r="B5">
        <v>2</v>
      </c>
      <c r="C5">
        <v>42</v>
      </c>
      <c r="D5">
        <v>73</v>
      </c>
    </row>
    <row r="6" spans="1:4" x14ac:dyDescent="0.3">
      <c r="A6">
        <v>2025</v>
      </c>
      <c r="B6">
        <v>2</v>
      </c>
      <c r="C6">
        <v>44</v>
      </c>
      <c r="D6">
        <v>108</v>
      </c>
    </row>
    <row r="7" spans="1:4" x14ac:dyDescent="0.3">
      <c r="A7" s="6"/>
      <c r="B7" s="6"/>
      <c r="C7" s="6"/>
      <c r="D7" s="6"/>
    </row>
    <row r="8" spans="1:4" ht="32.549999999999997" customHeight="1" x14ac:dyDescent="0.3">
      <c r="A8" s="98" t="s">
        <v>508</v>
      </c>
      <c r="B8" s="98"/>
      <c r="C8" s="98"/>
      <c r="D8" s="98"/>
    </row>
    <row r="9" spans="1:4" ht="30.45" customHeight="1" x14ac:dyDescent="0.3">
      <c r="A9" s="100" t="s">
        <v>506</v>
      </c>
      <c r="B9" s="99"/>
      <c r="C9" s="99"/>
      <c r="D9" s="99"/>
    </row>
    <row r="10" spans="1:4" ht="46.5" customHeight="1" x14ac:dyDescent="0.3">
      <c r="A10" s="100" t="s">
        <v>507</v>
      </c>
      <c r="B10" s="99"/>
      <c r="C10" s="99"/>
      <c r="D10" s="99"/>
    </row>
    <row r="11" spans="1:4" ht="29.55" customHeight="1" x14ac:dyDescent="0.3">
      <c r="A11" s="94" t="s">
        <v>300</v>
      </c>
      <c r="B11" s="94"/>
      <c r="C11" s="94"/>
      <c r="D11" s="94"/>
    </row>
  </sheetData>
  <mergeCells count="5">
    <mergeCell ref="A1:D1"/>
    <mergeCell ref="A11:D11"/>
    <mergeCell ref="A8:D8"/>
    <mergeCell ref="A9:D9"/>
    <mergeCell ref="A10:D10"/>
  </mergeCells>
  <pageMargins left="0.7" right="0.7" top="0.75" bottom="0.75" header="0.3" footer="0.3"/>
  <pageSetup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9"/>
  </sheetPr>
  <dimension ref="A1:D8"/>
  <sheetViews>
    <sheetView zoomScale="194" workbookViewId="0">
      <selection activeCell="A7" sqref="A7"/>
    </sheetView>
  </sheetViews>
  <sheetFormatPr baseColWidth="10" defaultColWidth="8.77734375" defaultRowHeight="14.4" x14ac:dyDescent="0.3"/>
  <cols>
    <col min="1" max="1" width="20.44140625" bestFit="1" customWidth="1"/>
    <col min="2" max="2" width="27.109375" customWidth="1"/>
    <col min="3" max="3" width="23" customWidth="1"/>
    <col min="4" max="4" width="23.44140625" customWidth="1"/>
  </cols>
  <sheetData>
    <row r="1" spans="1:4" ht="15.6" x14ac:dyDescent="0.3">
      <c r="A1" s="96" t="s">
        <v>76</v>
      </c>
      <c r="B1" s="96"/>
      <c r="C1" s="96"/>
      <c r="D1" s="96"/>
    </row>
    <row r="2" spans="1:4" ht="43.2" x14ac:dyDescent="0.3">
      <c r="A2" s="32" t="s">
        <v>310</v>
      </c>
      <c r="B2" s="33" t="s">
        <v>311</v>
      </c>
      <c r="C2" s="33" t="s">
        <v>312</v>
      </c>
      <c r="D2" s="33" t="s">
        <v>313</v>
      </c>
    </row>
    <row r="3" spans="1:4" x14ac:dyDescent="0.3">
      <c r="A3" s="2" t="s">
        <v>441</v>
      </c>
      <c r="B3">
        <v>25</v>
      </c>
      <c r="C3">
        <v>740</v>
      </c>
      <c r="D3" s="5">
        <v>3510</v>
      </c>
    </row>
    <row r="4" spans="1:4" x14ac:dyDescent="0.3">
      <c r="A4" s="2" t="s">
        <v>442</v>
      </c>
      <c r="B4">
        <v>67</v>
      </c>
      <c r="C4">
        <v>535</v>
      </c>
      <c r="D4" s="5">
        <v>2868</v>
      </c>
    </row>
    <row r="5" spans="1:4" x14ac:dyDescent="0.3">
      <c r="A5" s="14" t="s">
        <v>510</v>
      </c>
      <c r="B5">
        <v>2</v>
      </c>
      <c r="C5">
        <v>59</v>
      </c>
      <c r="D5">
        <v>64</v>
      </c>
    </row>
    <row r="6" spans="1:4" x14ac:dyDescent="0.3">
      <c r="A6" s="14" t="s">
        <v>511</v>
      </c>
      <c r="B6">
        <v>1</v>
      </c>
      <c r="C6">
        <v>42</v>
      </c>
      <c r="D6">
        <v>28</v>
      </c>
    </row>
    <row r="7" spans="1:4" x14ac:dyDescent="0.3">
      <c r="A7" s="13" t="s">
        <v>183</v>
      </c>
      <c r="B7" s="27">
        <f>SUM(B3:B6)</f>
        <v>95</v>
      </c>
      <c r="C7" s="27">
        <f t="shared" ref="C7:D7" si="0">SUM(C3:C6)</f>
        <v>1376</v>
      </c>
      <c r="D7" s="27">
        <f t="shared" si="0"/>
        <v>6470</v>
      </c>
    </row>
    <row r="8" spans="1:4" x14ac:dyDescent="0.3">
      <c r="A8" s="103" t="s">
        <v>300</v>
      </c>
      <c r="B8" s="103"/>
      <c r="C8" s="103"/>
      <c r="D8" s="103"/>
    </row>
  </sheetData>
  <mergeCells count="2">
    <mergeCell ref="A1:D1"/>
    <mergeCell ref="A8:D8"/>
  </mergeCells>
  <pageMargins left="0.7" right="0.7" top="0.75" bottom="0.75" header="0.3" footer="0.3"/>
  <pageSetup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9"/>
  </sheetPr>
  <dimension ref="A1:C16"/>
  <sheetViews>
    <sheetView zoomScale="140" workbookViewId="0">
      <selection activeCell="A16" sqref="A16:C16"/>
    </sheetView>
  </sheetViews>
  <sheetFormatPr baseColWidth="10" defaultColWidth="8.77734375" defaultRowHeight="14.4" x14ac:dyDescent="0.3"/>
  <cols>
    <col min="1" max="1" width="60.109375" bestFit="1" customWidth="1"/>
    <col min="2" max="2" width="23.44140625" bestFit="1" customWidth="1"/>
    <col min="3" max="3" width="27" bestFit="1" customWidth="1"/>
  </cols>
  <sheetData>
    <row r="1" spans="1:3" ht="34.5" customHeight="1" x14ac:dyDescent="0.3">
      <c r="A1" s="108" t="s">
        <v>78</v>
      </c>
      <c r="B1" s="108"/>
      <c r="C1" s="108"/>
    </row>
    <row r="2" spans="1:3" x14ac:dyDescent="0.3">
      <c r="A2" s="6" t="s">
        <v>314</v>
      </c>
      <c r="B2" s="6" t="s">
        <v>315</v>
      </c>
      <c r="C2" s="6" t="s">
        <v>316</v>
      </c>
    </row>
    <row r="3" spans="1:3" x14ac:dyDescent="0.3">
      <c r="A3" s="2" t="s">
        <v>513</v>
      </c>
      <c r="B3" s="5">
        <v>12211</v>
      </c>
      <c r="C3" s="47" t="s">
        <v>512</v>
      </c>
    </row>
    <row r="4" spans="1:3" x14ac:dyDescent="0.3">
      <c r="A4" s="2" t="s">
        <v>514</v>
      </c>
      <c r="B4" s="5">
        <v>114512</v>
      </c>
      <c r="C4" s="47" t="s">
        <v>512</v>
      </c>
    </row>
    <row r="5" spans="1:3" x14ac:dyDescent="0.3">
      <c r="A5" s="2" t="s">
        <v>515</v>
      </c>
      <c r="B5">
        <v>234</v>
      </c>
      <c r="C5" s="47" t="s">
        <v>512</v>
      </c>
    </row>
    <row r="6" spans="1:3" x14ac:dyDescent="0.3">
      <c r="A6" s="2" t="s">
        <v>516</v>
      </c>
      <c r="B6">
        <v>386</v>
      </c>
      <c r="C6">
        <v>129</v>
      </c>
    </row>
    <row r="7" spans="1:3" x14ac:dyDescent="0.3">
      <c r="A7" s="2" t="s">
        <v>517</v>
      </c>
      <c r="B7">
        <v>864</v>
      </c>
      <c r="C7" s="48" t="s">
        <v>512</v>
      </c>
    </row>
    <row r="8" spans="1:3" x14ac:dyDescent="0.3">
      <c r="A8" s="2" t="s">
        <v>518</v>
      </c>
      <c r="B8" s="5">
        <v>15458</v>
      </c>
      <c r="C8" s="48" t="s">
        <v>512</v>
      </c>
    </row>
    <row r="9" spans="1:3" x14ac:dyDescent="0.3">
      <c r="A9" s="2" t="s">
        <v>519</v>
      </c>
      <c r="B9" s="5">
        <v>1885</v>
      </c>
      <c r="C9" s="48" t="s">
        <v>512</v>
      </c>
    </row>
    <row r="10" spans="1:3" x14ac:dyDescent="0.3">
      <c r="A10" s="2" t="s">
        <v>520</v>
      </c>
      <c r="B10" s="5">
        <v>1131</v>
      </c>
      <c r="C10" s="48" t="s">
        <v>512</v>
      </c>
    </row>
    <row r="11" spans="1:3" x14ac:dyDescent="0.3">
      <c r="A11" s="2" t="s">
        <v>521</v>
      </c>
      <c r="B11">
        <v>96</v>
      </c>
      <c r="C11">
        <v>420</v>
      </c>
    </row>
    <row r="12" spans="1:3" x14ac:dyDescent="0.3">
      <c r="A12" s="2" t="s">
        <v>522</v>
      </c>
      <c r="B12" s="5">
        <v>1376</v>
      </c>
      <c r="C12" s="5">
        <v>6470</v>
      </c>
    </row>
    <row r="13" spans="1:3" x14ac:dyDescent="0.3">
      <c r="A13" s="2" t="s">
        <v>523</v>
      </c>
      <c r="B13">
        <v>15</v>
      </c>
      <c r="C13">
        <v>2</v>
      </c>
    </row>
    <row r="14" spans="1:3" x14ac:dyDescent="0.3">
      <c r="A14" s="6" t="s">
        <v>182</v>
      </c>
      <c r="B14" s="8">
        <f>SUM(B3:B13)</f>
        <v>148168</v>
      </c>
      <c r="C14" s="8">
        <f>SUM(C3:C13)</f>
        <v>7021</v>
      </c>
    </row>
    <row r="15" spans="1:3" x14ac:dyDescent="0.3">
      <c r="A15" s="2" t="s">
        <v>649</v>
      </c>
    </row>
    <row r="16" spans="1:3" x14ac:dyDescent="0.3">
      <c r="A16" s="103" t="s">
        <v>300</v>
      </c>
      <c r="B16" s="103"/>
      <c r="C16" s="103"/>
    </row>
  </sheetData>
  <mergeCells count="2">
    <mergeCell ref="A1:C1"/>
    <mergeCell ref="A16:C16"/>
  </mergeCells>
  <pageMargins left="0.7" right="0.7" top="0.75" bottom="0.75" header="0.3" footer="0.3"/>
  <pageSetup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FF00"/>
  </sheetPr>
  <dimension ref="A1:B6"/>
  <sheetViews>
    <sheetView zoomScale="132" workbookViewId="0">
      <selection activeCell="A10" sqref="A10"/>
    </sheetView>
  </sheetViews>
  <sheetFormatPr baseColWidth="10" defaultColWidth="8.77734375" defaultRowHeight="14.4" x14ac:dyDescent="0.3"/>
  <cols>
    <col min="1" max="1" width="37.33203125" style="3" customWidth="1"/>
    <col min="2" max="2" width="21.109375" style="3" bestFit="1" customWidth="1"/>
    <col min="3" max="16384" width="8.77734375" style="3"/>
  </cols>
  <sheetData>
    <row r="1" spans="1:2" ht="70.5" customHeight="1" x14ac:dyDescent="0.3">
      <c r="A1" s="91" t="s">
        <v>388</v>
      </c>
      <c r="B1" s="91"/>
    </row>
    <row r="2" spans="1:2" x14ac:dyDescent="0.3">
      <c r="A2" s="34" t="s">
        <v>154</v>
      </c>
      <c r="B2" s="34" t="s">
        <v>409</v>
      </c>
    </row>
    <row r="3" spans="1:2" x14ac:dyDescent="0.3">
      <c r="A3" s="3" t="s">
        <v>408</v>
      </c>
      <c r="B3" s="3">
        <v>0</v>
      </c>
    </row>
    <row r="4" spans="1:2" x14ac:dyDescent="0.3">
      <c r="A4" s="90" t="s">
        <v>407</v>
      </c>
      <c r="B4" s="3">
        <v>0</v>
      </c>
    </row>
    <row r="5" spans="1:2" x14ac:dyDescent="0.3">
      <c r="A5" s="34"/>
      <c r="B5" s="34"/>
    </row>
    <row r="6" spans="1:2" ht="40.049999999999997" customHeight="1" x14ac:dyDescent="0.3">
      <c r="A6" s="132" t="s">
        <v>300</v>
      </c>
      <c r="B6" s="132"/>
    </row>
  </sheetData>
  <mergeCells count="3">
    <mergeCell ref="A1:B1"/>
    <mergeCell ref="A4"/>
    <mergeCell ref="A6:B6"/>
  </mergeCells>
  <pageMargins left="0.7" right="0.7" top="0.75" bottom="0.75" header="0.3" footer="0.3"/>
  <pageSetup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FFFF00"/>
  </sheetPr>
  <dimension ref="A1:D4"/>
  <sheetViews>
    <sheetView workbookViewId="0">
      <selection activeCell="A4" sqref="A4:D4"/>
    </sheetView>
  </sheetViews>
  <sheetFormatPr baseColWidth="10" defaultColWidth="8.77734375" defaultRowHeight="14.4" x14ac:dyDescent="0.3"/>
  <cols>
    <col min="1" max="2" width="8.77734375" style="3"/>
    <col min="3" max="3" width="33" style="3" bestFit="1" customWidth="1"/>
    <col min="4" max="4" width="145" style="3" bestFit="1" customWidth="1"/>
    <col min="5" max="16384" width="8.77734375" style="3"/>
  </cols>
  <sheetData>
    <row r="1" spans="1:4" ht="15.6" x14ac:dyDescent="0.3">
      <c r="A1" s="89" t="s">
        <v>390</v>
      </c>
      <c r="B1" s="89"/>
      <c r="C1" s="89"/>
      <c r="D1" s="89"/>
    </row>
    <row r="2" spans="1:4" x14ac:dyDescent="0.3">
      <c r="A2" s="90" t="s">
        <v>154</v>
      </c>
      <c r="B2" s="90"/>
      <c r="C2" s="3" t="s">
        <v>411</v>
      </c>
      <c r="D2" s="3" t="s">
        <v>99</v>
      </c>
    </row>
    <row r="3" spans="1:4" x14ac:dyDescent="0.3">
      <c r="A3" s="90" t="s">
        <v>408</v>
      </c>
      <c r="B3" s="90"/>
      <c r="C3" s="3">
        <v>0</v>
      </c>
      <c r="D3" s="3" t="s">
        <v>410</v>
      </c>
    </row>
    <row r="4" spans="1:4" x14ac:dyDescent="0.3">
      <c r="A4" s="90" t="s">
        <v>300</v>
      </c>
      <c r="B4" s="90"/>
      <c r="C4" s="90"/>
      <c r="D4" s="90"/>
    </row>
  </sheetData>
  <mergeCells count="4">
    <mergeCell ref="A1:D1"/>
    <mergeCell ref="A2:B2"/>
    <mergeCell ref="A3:B3"/>
    <mergeCell ref="A4:D4"/>
  </mergeCells>
  <pageMargins left="0.7" right="0.7" top="0.75" bottom="0.75" header="0.3" footer="0.3"/>
  <pageSetup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FFFF00"/>
  </sheetPr>
  <dimension ref="A1:C4"/>
  <sheetViews>
    <sheetView workbookViewId="0">
      <selection sqref="A1:C1"/>
    </sheetView>
  </sheetViews>
  <sheetFormatPr baseColWidth="10" defaultColWidth="8.77734375" defaultRowHeight="14.4" x14ac:dyDescent="0.3"/>
  <cols>
    <col min="1" max="1" width="24.44140625" style="3" bestFit="1" customWidth="1"/>
    <col min="2" max="2" width="21.109375" style="3" bestFit="1" customWidth="1"/>
    <col min="3" max="3" width="123.77734375" style="3" bestFit="1" customWidth="1"/>
    <col min="4" max="16384" width="8.77734375" style="3"/>
  </cols>
  <sheetData>
    <row r="1" spans="1:3" ht="15.6" x14ac:dyDescent="0.3">
      <c r="A1" s="133" t="s">
        <v>392</v>
      </c>
      <c r="B1" s="133"/>
      <c r="C1" s="133"/>
    </row>
    <row r="2" spans="1:3" x14ac:dyDescent="0.3">
      <c r="A2" s="4" t="s">
        <v>154</v>
      </c>
      <c r="B2" s="4" t="s">
        <v>409</v>
      </c>
      <c r="C2" s="4" t="s">
        <v>99</v>
      </c>
    </row>
    <row r="3" spans="1:3" x14ac:dyDescent="0.3">
      <c r="A3" s="134" t="s">
        <v>413</v>
      </c>
      <c r="B3" s="4">
        <v>0</v>
      </c>
      <c r="C3" s="4" t="s">
        <v>412</v>
      </c>
    </row>
    <row r="4" spans="1:3" x14ac:dyDescent="0.3">
      <c r="A4" s="134" t="s">
        <v>300</v>
      </c>
      <c r="B4" s="134"/>
      <c r="C4" s="134"/>
    </row>
  </sheetData>
  <mergeCells count="3">
    <mergeCell ref="A1:C1"/>
    <mergeCell ref="A3"/>
    <mergeCell ref="A4:C4"/>
  </mergeCells>
  <pageMargins left="0.7" right="0.7" top="0.75" bottom="0.75" header="0.3" footer="0.3"/>
  <pageSetup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rgb="FFFFFF00"/>
  </sheetPr>
  <dimension ref="A1:C5"/>
  <sheetViews>
    <sheetView workbookViewId="0">
      <selection sqref="A1:C1"/>
    </sheetView>
  </sheetViews>
  <sheetFormatPr baseColWidth="10" defaultColWidth="8.77734375" defaultRowHeight="14.4" x14ac:dyDescent="0.3"/>
  <cols>
    <col min="1" max="1" width="15.44140625" style="3" bestFit="1" customWidth="1"/>
    <col min="2" max="2" width="21.109375" style="3" bestFit="1" customWidth="1"/>
    <col min="3" max="3" width="7" style="3" bestFit="1" customWidth="1"/>
    <col min="4" max="16384" width="8.77734375" style="3"/>
  </cols>
  <sheetData>
    <row r="1" spans="1:3" ht="15.6" x14ac:dyDescent="0.3">
      <c r="A1" s="133" t="s">
        <v>394</v>
      </c>
      <c r="B1" s="133"/>
      <c r="C1" s="133"/>
    </row>
    <row r="2" spans="1:3" x14ac:dyDescent="0.3">
      <c r="A2" s="4" t="s">
        <v>154</v>
      </c>
      <c r="B2" s="4" t="s">
        <v>409</v>
      </c>
      <c r="C2" s="4" t="s">
        <v>99</v>
      </c>
    </row>
    <row r="3" spans="1:3" x14ac:dyDescent="0.3">
      <c r="A3" s="4" t="s">
        <v>408</v>
      </c>
      <c r="B3" s="4">
        <v>0</v>
      </c>
      <c r="C3" s="4"/>
    </row>
    <row r="4" spans="1:3" x14ac:dyDescent="0.3">
      <c r="A4" s="134" t="s">
        <v>407</v>
      </c>
      <c r="B4" s="4">
        <v>0</v>
      </c>
      <c r="C4" s="4"/>
    </row>
    <row r="5" spans="1:3" x14ac:dyDescent="0.3">
      <c r="A5" s="134" t="s">
        <v>300</v>
      </c>
      <c r="B5" s="134"/>
      <c r="C5" s="134"/>
    </row>
  </sheetData>
  <mergeCells count="3">
    <mergeCell ref="A1:C1"/>
    <mergeCell ref="A4"/>
    <mergeCell ref="A5:C5"/>
  </mergeCells>
  <pageMargins left="0.7" right="0.7" top="0.75" bottom="0.75" header="0.3" footer="0.3"/>
  <pageSetup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FFFF00"/>
  </sheetPr>
  <dimension ref="A1:C7"/>
  <sheetViews>
    <sheetView workbookViewId="0">
      <selection sqref="A1:C1"/>
    </sheetView>
  </sheetViews>
  <sheetFormatPr baseColWidth="10" defaultColWidth="8.77734375" defaultRowHeight="14.4" x14ac:dyDescent="0.3"/>
  <cols>
    <col min="1" max="1" width="99" style="3" bestFit="1" customWidth="1"/>
    <col min="2" max="2" width="21.109375" style="3" bestFit="1" customWidth="1"/>
    <col min="3" max="3" width="41.109375" style="3" bestFit="1" customWidth="1"/>
    <col min="4" max="16384" width="8.77734375" style="3"/>
  </cols>
  <sheetData>
    <row r="1" spans="1:3" ht="15.6" x14ac:dyDescent="0.3">
      <c r="A1" s="133" t="s">
        <v>396</v>
      </c>
      <c r="B1" s="133"/>
      <c r="C1" s="133"/>
    </row>
    <row r="2" spans="1:3" x14ac:dyDescent="0.3">
      <c r="A2" s="4" t="s">
        <v>418</v>
      </c>
      <c r="B2" s="4" t="s">
        <v>409</v>
      </c>
      <c r="C2" s="4" t="s">
        <v>99</v>
      </c>
    </row>
    <row r="3" spans="1:3" x14ac:dyDescent="0.3">
      <c r="A3" s="4" t="s">
        <v>417</v>
      </c>
      <c r="B3" s="4">
        <v>0</v>
      </c>
      <c r="C3" s="4" t="s">
        <v>414</v>
      </c>
    </row>
    <row r="4" spans="1:3" x14ac:dyDescent="0.3">
      <c r="A4" s="4" t="s">
        <v>416</v>
      </c>
      <c r="B4" s="4">
        <v>0</v>
      </c>
      <c r="C4" s="4" t="s">
        <v>414</v>
      </c>
    </row>
    <row r="5" spans="1:3" x14ac:dyDescent="0.3">
      <c r="A5" s="4" t="s">
        <v>415</v>
      </c>
      <c r="B5" s="4">
        <v>0</v>
      </c>
      <c r="C5" s="4" t="s">
        <v>414</v>
      </c>
    </row>
    <row r="6" spans="1:3" x14ac:dyDescent="0.3">
      <c r="A6" s="134" t="s">
        <v>80</v>
      </c>
      <c r="B6" s="4">
        <v>0</v>
      </c>
      <c r="C6" s="4" t="s">
        <v>414</v>
      </c>
    </row>
    <row r="7" spans="1:3" x14ac:dyDescent="0.3">
      <c r="A7" s="134" t="s">
        <v>300</v>
      </c>
      <c r="B7" s="134"/>
      <c r="C7" s="134"/>
    </row>
  </sheetData>
  <mergeCells count="3">
    <mergeCell ref="A1:C1"/>
    <mergeCell ref="A6"/>
    <mergeCell ref="A7:C7"/>
  </mergeCells>
  <pageMargins left="0.7" right="0.7" top="0.75" bottom="0.75" header="0.3" footer="0.3"/>
  <pageSetup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FFFF00"/>
  </sheetPr>
  <dimension ref="A1:C5"/>
  <sheetViews>
    <sheetView workbookViewId="0">
      <selection sqref="A1:C1"/>
    </sheetView>
  </sheetViews>
  <sheetFormatPr baseColWidth="10" defaultColWidth="8.77734375" defaultRowHeight="14.4" x14ac:dyDescent="0.3"/>
  <cols>
    <col min="1" max="1" width="70.44140625" style="3" bestFit="1" customWidth="1"/>
    <col min="2" max="2" width="21.109375" style="3" bestFit="1" customWidth="1"/>
    <col min="3" max="3" width="41.109375" style="3" bestFit="1" customWidth="1"/>
    <col min="4" max="16384" width="8.77734375" style="3"/>
  </cols>
  <sheetData>
    <row r="1" spans="1:3" ht="15.6" x14ac:dyDescent="0.3">
      <c r="A1" s="133" t="s">
        <v>398</v>
      </c>
      <c r="B1" s="133"/>
      <c r="C1" s="133"/>
    </row>
    <row r="2" spans="1:3" x14ac:dyDescent="0.3">
      <c r="A2" s="4" t="s">
        <v>418</v>
      </c>
      <c r="B2" s="4" t="s">
        <v>409</v>
      </c>
      <c r="C2" s="4" t="s">
        <v>99</v>
      </c>
    </row>
    <row r="3" spans="1:3" x14ac:dyDescent="0.3">
      <c r="A3" s="134" t="s">
        <v>416</v>
      </c>
      <c r="B3" s="4">
        <v>0</v>
      </c>
      <c r="C3" s="4" t="s">
        <v>414</v>
      </c>
    </row>
    <row r="4" spans="1:3" x14ac:dyDescent="0.3">
      <c r="A4" s="134" t="s">
        <v>300</v>
      </c>
      <c r="B4" s="134"/>
      <c r="C4" s="134"/>
    </row>
    <row r="5" spans="1:3" x14ac:dyDescent="0.3">
      <c r="A5" s="134" t="s">
        <v>419</v>
      </c>
      <c r="B5" s="134"/>
      <c r="C5" s="134"/>
    </row>
  </sheetData>
  <mergeCells count="4">
    <mergeCell ref="A1:C1"/>
    <mergeCell ref="A3"/>
    <mergeCell ref="A4:C4"/>
    <mergeCell ref="A5:C5"/>
  </mergeCells>
  <pageMargins left="0.7" right="0.7" top="0.75" bottom="0.75" header="0.3" footer="0.3"/>
  <pageSetup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FFFF00"/>
  </sheetPr>
  <dimension ref="A1:C5"/>
  <sheetViews>
    <sheetView workbookViewId="0">
      <selection sqref="A1:C1"/>
    </sheetView>
  </sheetViews>
  <sheetFormatPr baseColWidth="10" defaultColWidth="8.77734375" defaultRowHeight="14.4" x14ac:dyDescent="0.3"/>
  <cols>
    <col min="1" max="1" width="14" style="3" bestFit="1" customWidth="1"/>
    <col min="2" max="2" width="21.109375" style="3" bestFit="1" customWidth="1"/>
    <col min="3" max="3" width="41.109375" style="3" bestFit="1" customWidth="1"/>
    <col min="4" max="16384" width="8.77734375" style="3"/>
  </cols>
  <sheetData>
    <row r="1" spans="1:3" ht="15.6" x14ac:dyDescent="0.3">
      <c r="A1" s="133" t="s">
        <v>400</v>
      </c>
      <c r="B1" s="133"/>
      <c r="C1" s="133"/>
    </row>
    <row r="2" spans="1:3" x14ac:dyDescent="0.3">
      <c r="A2" s="4" t="s">
        <v>422</v>
      </c>
      <c r="B2" s="4" t="s">
        <v>409</v>
      </c>
      <c r="C2" s="4" t="s">
        <v>99</v>
      </c>
    </row>
    <row r="3" spans="1:3" x14ac:dyDescent="0.3">
      <c r="A3" s="4" t="s">
        <v>421</v>
      </c>
      <c r="B3" s="4">
        <v>0</v>
      </c>
      <c r="C3" s="4" t="s">
        <v>414</v>
      </c>
    </row>
    <row r="4" spans="1:3" x14ac:dyDescent="0.3">
      <c r="A4" s="134" t="s">
        <v>420</v>
      </c>
      <c r="B4" s="4">
        <v>0</v>
      </c>
      <c r="C4" s="4" t="s">
        <v>414</v>
      </c>
    </row>
    <row r="5" spans="1:3" x14ac:dyDescent="0.3">
      <c r="A5" s="134" t="s">
        <v>300</v>
      </c>
      <c r="B5" s="134"/>
      <c r="C5" s="134"/>
    </row>
  </sheetData>
  <mergeCells count="3">
    <mergeCell ref="A1:C1"/>
    <mergeCell ref="A4"/>
    <mergeCell ref="A5:C5"/>
  </mergeCells>
  <pageMargins left="0.7" right="0.7" top="0.75" bottom="0.75" header="0.3" footer="0.3"/>
  <pageSetup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FFFF00"/>
  </sheetPr>
  <dimension ref="A1:C4"/>
  <sheetViews>
    <sheetView workbookViewId="0">
      <selection sqref="A1:C1"/>
    </sheetView>
  </sheetViews>
  <sheetFormatPr baseColWidth="10" defaultColWidth="8.77734375" defaultRowHeight="14.4" x14ac:dyDescent="0.3"/>
  <cols>
    <col min="1" max="1" width="25.77734375" style="3" bestFit="1" customWidth="1"/>
    <col min="2" max="2" width="22.44140625" style="3" bestFit="1" customWidth="1"/>
    <col min="3" max="3" width="120.44140625" style="3" bestFit="1" customWidth="1"/>
    <col min="4" max="16384" width="8.77734375" style="3"/>
  </cols>
  <sheetData>
    <row r="1" spans="1:3" ht="15.6" x14ac:dyDescent="0.3">
      <c r="A1" s="133" t="s">
        <v>402</v>
      </c>
      <c r="B1" s="133"/>
      <c r="C1" s="133"/>
    </row>
    <row r="2" spans="1:3" x14ac:dyDescent="0.3">
      <c r="A2" s="4" t="s">
        <v>154</v>
      </c>
      <c r="B2" s="4" t="s">
        <v>425</v>
      </c>
      <c r="C2" s="4" t="s">
        <v>99</v>
      </c>
    </row>
    <row r="3" spans="1:3" x14ac:dyDescent="0.3">
      <c r="A3" s="134" t="s">
        <v>424</v>
      </c>
      <c r="B3" s="4">
        <v>0</v>
      </c>
      <c r="C3" s="4" t="s">
        <v>423</v>
      </c>
    </row>
    <row r="4" spans="1:3" x14ac:dyDescent="0.3">
      <c r="A4" s="134" t="s">
        <v>300</v>
      </c>
      <c r="B4" s="134"/>
      <c r="C4" s="134"/>
    </row>
  </sheetData>
  <mergeCells count="3">
    <mergeCell ref="A1:C1"/>
    <mergeCell ref="A3"/>
    <mergeCell ref="A4:C4"/>
  </mergeCells>
  <pageMargins left="0.7" right="0.7" top="0.75" bottom="0.75" header="0.3" footer="0.3"/>
  <pageSetup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FFFF00"/>
  </sheetPr>
  <dimension ref="A1:D6"/>
  <sheetViews>
    <sheetView workbookViewId="0">
      <selection sqref="A1:D1"/>
    </sheetView>
  </sheetViews>
  <sheetFormatPr baseColWidth="10" defaultColWidth="8.77734375" defaultRowHeight="14.4" x14ac:dyDescent="0.3"/>
  <cols>
    <col min="1" max="1" width="63.44140625" style="3" bestFit="1" customWidth="1"/>
    <col min="2" max="2" width="12.77734375" style="3" bestFit="1" customWidth="1"/>
    <col min="3" max="3" width="21.109375" style="3" bestFit="1" customWidth="1"/>
    <col min="4" max="4" width="116.44140625" style="3" bestFit="1" customWidth="1"/>
    <col min="5" max="16384" width="8.77734375" style="3"/>
  </cols>
  <sheetData>
    <row r="1" spans="1:4" ht="15.6" x14ac:dyDescent="0.3">
      <c r="A1" s="133" t="s">
        <v>404</v>
      </c>
      <c r="B1" s="133"/>
      <c r="C1" s="133"/>
      <c r="D1" s="133"/>
    </row>
    <row r="2" spans="1:4" x14ac:dyDescent="0.3">
      <c r="A2" s="4" t="s">
        <v>431</v>
      </c>
      <c r="B2" s="4" t="s">
        <v>430</v>
      </c>
      <c r="C2" s="4" t="s">
        <v>409</v>
      </c>
      <c r="D2" s="4" t="s">
        <v>99</v>
      </c>
    </row>
    <row r="3" spans="1:4" x14ac:dyDescent="0.3">
      <c r="A3" s="4" t="s">
        <v>429</v>
      </c>
      <c r="B3" s="4">
        <v>0</v>
      </c>
      <c r="C3" s="4">
        <v>0</v>
      </c>
      <c r="D3" s="4" t="s">
        <v>426</v>
      </c>
    </row>
    <row r="4" spans="1:4" x14ac:dyDescent="0.3">
      <c r="A4" s="4" t="s">
        <v>428</v>
      </c>
      <c r="B4" s="4">
        <v>0</v>
      </c>
      <c r="C4" s="4">
        <v>0</v>
      </c>
      <c r="D4" s="4" t="s">
        <v>426</v>
      </c>
    </row>
    <row r="5" spans="1:4" x14ac:dyDescent="0.3">
      <c r="A5" s="134" t="s">
        <v>427</v>
      </c>
      <c r="B5" s="134"/>
      <c r="C5" s="4">
        <v>0</v>
      </c>
      <c r="D5" s="4" t="s">
        <v>426</v>
      </c>
    </row>
    <row r="6" spans="1:4" x14ac:dyDescent="0.3">
      <c r="A6" s="134" t="s">
        <v>300</v>
      </c>
      <c r="B6" s="134"/>
      <c r="C6" s="134"/>
      <c r="D6" s="134"/>
    </row>
  </sheetData>
  <mergeCells count="3">
    <mergeCell ref="A1:D1"/>
    <mergeCell ref="A5:B5"/>
    <mergeCell ref="A6:D6"/>
  </mergeCells>
  <pageMargins left="0.7" right="0.7" top="0.75" bottom="0.75" header="0.3" footer="0.3"/>
  <pageSetup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FFFF00"/>
  </sheetPr>
  <dimension ref="A1:D4"/>
  <sheetViews>
    <sheetView workbookViewId="0">
      <selection sqref="A1:D1"/>
    </sheetView>
  </sheetViews>
  <sheetFormatPr baseColWidth="10" defaultColWidth="8.77734375" defaultRowHeight="14.4" x14ac:dyDescent="0.3"/>
  <cols>
    <col min="1" max="2" width="8.77734375" style="3"/>
    <col min="3" max="3" width="30.44140625" style="3" bestFit="1" customWidth="1"/>
    <col min="4" max="4" width="107.44140625" style="3" bestFit="1" customWidth="1"/>
    <col min="5" max="16384" width="8.77734375" style="3"/>
  </cols>
  <sheetData>
    <row r="1" spans="1:4" ht="15.6" x14ac:dyDescent="0.3">
      <c r="A1" s="133" t="s">
        <v>406</v>
      </c>
      <c r="B1" s="133"/>
      <c r="C1" s="133"/>
      <c r="D1" s="133"/>
    </row>
    <row r="2" spans="1:4" x14ac:dyDescent="0.3">
      <c r="A2" s="134" t="s">
        <v>154</v>
      </c>
      <c r="B2" s="134"/>
      <c r="C2" s="4" t="s">
        <v>434</v>
      </c>
      <c r="D2" s="4" t="s">
        <v>99</v>
      </c>
    </row>
    <row r="3" spans="1:4" x14ac:dyDescent="0.3">
      <c r="A3" s="134" t="s">
        <v>433</v>
      </c>
      <c r="B3" s="134"/>
      <c r="C3" s="4">
        <v>0</v>
      </c>
      <c r="D3" s="4" t="s">
        <v>432</v>
      </c>
    </row>
    <row r="4" spans="1:4" x14ac:dyDescent="0.3">
      <c r="A4" s="134" t="s">
        <v>300</v>
      </c>
      <c r="B4" s="134"/>
      <c r="C4" s="134"/>
      <c r="D4" s="134"/>
    </row>
  </sheetData>
  <mergeCells count="4">
    <mergeCell ref="A1:D1"/>
    <mergeCell ref="A2:B2"/>
    <mergeCell ref="A3:B3"/>
    <mergeCell ref="A4:D4"/>
  </mergeCells>
  <pageMargins left="0.7" right="0.7" top="0.75" bottom="0.75" header="0.3" footer="0.3"/>
  <pageSetup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C7"/>
  <sheetViews>
    <sheetView zoomScale="169" workbookViewId="0">
      <selection activeCell="A2" sqref="A2:C5"/>
    </sheetView>
  </sheetViews>
  <sheetFormatPr baseColWidth="10" defaultColWidth="8.77734375" defaultRowHeight="14.4" x14ac:dyDescent="0.3"/>
  <cols>
    <col min="1" max="1" width="49.44140625" bestFit="1" customWidth="1"/>
    <col min="2" max="2" width="23.44140625" bestFit="1" customWidth="1"/>
    <col min="3" max="3" width="38.77734375" bestFit="1" customWidth="1"/>
  </cols>
  <sheetData>
    <row r="1" spans="1:3" ht="37.049999999999997" customHeight="1" x14ac:dyDescent="0.3">
      <c r="A1" s="135" t="s">
        <v>81</v>
      </c>
      <c r="B1" s="135"/>
      <c r="C1" s="135"/>
    </row>
    <row r="2" spans="1:3" x14ac:dyDescent="0.3">
      <c r="A2" s="7" t="s">
        <v>317</v>
      </c>
      <c r="B2" s="7" t="s">
        <v>318</v>
      </c>
      <c r="C2" s="7" t="s">
        <v>319</v>
      </c>
    </row>
    <row r="3" spans="1:3" x14ac:dyDescent="0.3">
      <c r="A3" t="s">
        <v>322</v>
      </c>
      <c r="B3" s="52">
        <v>1400</v>
      </c>
      <c r="C3">
        <v>807</v>
      </c>
    </row>
    <row r="4" spans="1:3" x14ac:dyDescent="0.3">
      <c r="A4" t="s">
        <v>320</v>
      </c>
      <c r="B4" s="51">
        <v>376</v>
      </c>
      <c r="C4">
        <v>260</v>
      </c>
    </row>
    <row r="5" spans="1:3" x14ac:dyDescent="0.3">
      <c r="A5" t="s">
        <v>321</v>
      </c>
      <c r="B5" s="51">
        <v>72</v>
      </c>
      <c r="C5">
        <v>5</v>
      </c>
    </row>
    <row r="6" spans="1:3" ht="12" customHeight="1" x14ac:dyDescent="0.3">
      <c r="A6" s="6"/>
      <c r="B6" s="6"/>
      <c r="C6" s="6"/>
    </row>
    <row r="7" spans="1:3" x14ac:dyDescent="0.3">
      <c r="A7" s="94" t="s">
        <v>323</v>
      </c>
      <c r="B7" s="94"/>
      <c r="C7" s="94"/>
    </row>
  </sheetData>
  <mergeCells count="2">
    <mergeCell ref="A1:C1"/>
    <mergeCell ref="A7:C7"/>
  </mergeCells>
  <pageMargins left="0.7" right="0.7" top="0.75" bottom="0.75" header="0.3" footer="0.3"/>
  <pageSetup orientation="portrait" r:id="rId1"/>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D9"/>
  <sheetViews>
    <sheetView workbookViewId="0">
      <selection activeCell="B12" sqref="B12"/>
    </sheetView>
  </sheetViews>
  <sheetFormatPr baseColWidth="10" defaultColWidth="8.77734375" defaultRowHeight="14.4" x14ac:dyDescent="0.3"/>
  <cols>
    <col min="1" max="1" width="25" customWidth="1"/>
    <col min="2" max="2" width="21.109375" bestFit="1" customWidth="1"/>
    <col min="3" max="3" width="24.44140625" bestFit="1" customWidth="1"/>
    <col min="4" max="4" width="20.109375" bestFit="1" customWidth="1"/>
  </cols>
  <sheetData>
    <row r="1" spans="1:4" ht="34.049999999999997" customHeight="1" x14ac:dyDescent="0.3">
      <c r="A1" s="108" t="s">
        <v>83</v>
      </c>
      <c r="B1" s="108"/>
      <c r="C1" s="108"/>
      <c r="D1" s="108"/>
    </row>
    <row r="2" spans="1:4" ht="50.55" customHeight="1" x14ac:dyDescent="0.3">
      <c r="A2" s="30" t="s">
        <v>324</v>
      </c>
      <c r="B2" s="30" t="s">
        <v>325</v>
      </c>
      <c r="C2" s="49" t="s">
        <v>355</v>
      </c>
      <c r="D2" s="30" t="s">
        <v>326</v>
      </c>
    </row>
    <row r="3" spans="1:4" x14ac:dyDescent="0.3">
      <c r="A3" t="s">
        <v>327</v>
      </c>
      <c r="B3">
        <v>18</v>
      </c>
      <c r="C3">
        <v>7</v>
      </c>
      <c r="D3">
        <v>0</v>
      </c>
    </row>
    <row r="4" spans="1:4" x14ac:dyDescent="0.3">
      <c r="A4" t="s">
        <v>328</v>
      </c>
      <c r="B4">
        <v>25</v>
      </c>
      <c r="C4">
        <v>13</v>
      </c>
      <c r="D4">
        <v>1</v>
      </c>
    </row>
    <row r="5" spans="1:4" x14ac:dyDescent="0.3">
      <c r="A5" t="s">
        <v>329</v>
      </c>
      <c r="B5">
        <v>31</v>
      </c>
      <c r="C5">
        <v>13</v>
      </c>
      <c r="D5">
        <v>2</v>
      </c>
    </row>
    <row r="6" spans="1:4" x14ac:dyDescent="0.3">
      <c r="A6" t="s">
        <v>330</v>
      </c>
      <c r="B6">
        <v>203</v>
      </c>
      <c r="C6">
        <v>80</v>
      </c>
      <c r="D6">
        <v>3</v>
      </c>
    </row>
    <row r="7" spans="1:4" x14ac:dyDescent="0.3">
      <c r="A7" t="s">
        <v>331</v>
      </c>
      <c r="B7">
        <v>15</v>
      </c>
      <c r="C7">
        <v>0</v>
      </c>
      <c r="D7">
        <v>0</v>
      </c>
    </row>
    <row r="8" spans="1:4" x14ac:dyDescent="0.3">
      <c r="A8" s="6"/>
      <c r="B8" s="6"/>
      <c r="C8" s="6"/>
      <c r="D8" s="6"/>
    </row>
    <row r="9" spans="1:4" ht="29.55" customHeight="1" x14ac:dyDescent="0.3">
      <c r="A9" s="94" t="s">
        <v>332</v>
      </c>
      <c r="B9" s="94"/>
      <c r="C9" s="94"/>
      <c r="D9" s="94"/>
    </row>
  </sheetData>
  <mergeCells count="2">
    <mergeCell ref="A1:D1"/>
    <mergeCell ref="A9:D9"/>
  </mergeCells>
  <pageMargins left="0.7" right="0.7" top="0.75" bottom="0.75" header="0.3" footer="0.3"/>
  <pageSetup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D36"/>
  <sheetViews>
    <sheetView topLeftCell="A10" workbookViewId="0">
      <selection activeCell="B38" sqref="B38"/>
    </sheetView>
  </sheetViews>
  <sheetFormatPr baseColWidth="10" defaultColWidth="8.77734375" defaultRowHeight="14.4" x14ac:dyDescent="0.3"/>
  <cols>
    <col min="1" max="1" width="42.109375" customWidth="1"/>
    <col min="2" max="2" width="18" customWidth="1"/>
    <col min="3" max="3" width="21.109375" bestFit="1" customWidth="1"/>
    <col min="4" max="4" width="19.6640625" customWidth="1"/>
  </cols>
  <sheetData>
    <row r="1" spans="1:4" ht="15.6" x14ac:dyDescent="0.3">
      <c r="A1" s="96" t="s">
        <v>85</v>
      </c>
      <c r="B1" s="96"/>
      <c r="C1" s="96"/>
      <c r="D1" s="96"/>
    </row>
    <row r="2" spans="1:4" s="11" customFormat="1" ht="43.2" x14ac:dyDescent="0.3">
      <c r="A2" s="30" t="s">
        <v>333</v>
      </c>
      <c r="B2" s="30" t="s">
        <v>354</v>
      </c>
      <c r="C2" s="30" t="s">
        <v>355</v>
      </c>
      <c r="D2" s="30" t="s">
        <v>326</v>
      </c>
    </row>
    <row r="3" spans="1:4" x14ac:dyDescent="0.3">
      <c r="A3" s="11" t="s">
        <v>334</v>
      </c>
      <c r="B3">
        <v>9</v>
      </c>
      <c r="C3">
        <v>6</v>
      </c>
      <c r="D3">
        <v>0</v>
      </c>
    </row>
    <row r="4" spans="1:4" x14ac:dyDescent="0.3">
      <c r="A4" s="9" t="s">
        <v>524</v>
      </c>
      <c r="B4">
        <v>3</v>
      </c>
      <c r="C4">
        <v>4</v>
      </c>
      <c r="D4">
        <v>0</v>
      </c>
    </row>
    <row r="5" spans="1:4" x14ac:dyDescent="0.3">
      <c r="A5" s="9" t="s">
        <v>525</v>
      </c>
      <c r="B5">
        <v>3</v>
      </c>
      <c r="C5">
        <v>0</v>
      </c>
      <c r="D5">
        <v>0</v>
      </c>
    </row>
    <row r="6" spans="1:4" ht="43.2" x14ac:dyDescent="0.3">
      <c r="A6" s="9" t="s">
        <v>526</v>
      </c>
      <c r="B6">
        <v>0</v>
      </c>
      <c r="C6">
        <v>0</v>
      </c>
      <c r="D6">
        <v>1</v>
      </c>
    </row>
    <row r="7" spans="1:4" x14ac:dyDescent="0.3">
      <c r="A7" s="9" t="s">
        <v>527</v>
      </c>
      <c r="B7">
        <v>1</v>
      </c>
      <c r="C7">
        <v>0</v>
      </c>
      <c r="D7">
        <v>0</v>
      </c>
    </row>
    <row r="8" spans="1:4" ht="28.8" x14ac:dyDescent="0.3">
      <c r="A8" s="9" t="s">
        <v>528</v>
      </c>
      <c r="B8">
        <v>40</v>
      </c>
      <c r="C8">
        <v>24</v>
      </c>
      <c r="D8">
        <v>0</v>
      </c>
    </row>
    <row r="9" spans="1:4" x14ac:dyDescent="0.3">
      <c r="A9" s="9" t="s">
        <v>529</v>
      </c>
      <c r="B9">
        <v>9</v>
      </c>
      <c r="C9">
        <v>0</v>
      </c>
      <c r="D9">
        <v>0</v>
      </c>
    </row>
    <row r="10" spans="1:4" ht="28.8" x14ac:dyDescent="0.3">
      <c r="A10" s="9" t="s">
        <v>530</v>
      </c>
      <c r="B10">
        <v>49</v>
      </c>
      <c r="C10">
        <v>4</v>
      </c>
      <c r="D10">
        <v>0</v>
      </c>
    </row>
    <row r="11" spans="1:4" x14ac:dyDescent="0.3">
      <c r="A11" s="9" t="s">
        <v>531</v>
      </c>
      <c r="B11">
        <v>0</v>
      </c>
      <c r="C11">
        <v>0</v>
      </c>
      <c r="D11">
        <v>1</v>
      </c>
    </row>
    <row r="12" spans="1:4" x14ac:dyDescent="0.3">
      <c r="A12" s="11" t="s">
        <v>335</v>
      </c>
      <c r="B12">
        <v>3</v>
      </c>
      <c r="C12">
        <v>0</v>
      </c>
      <c r="D12">
        <v>0</v>
      </c>
    </row>
    <row r="13" spans="1:4" ht="28.8" x14ac:dyDescent="0.3">
      <c r="A13" s="11" t="s">
        <v>336</v>
      </c>
      <c r="B13">
        <v>6</v>
      </c>
      <c r="C13">
        <v>0</v>
      </c>
      <c r="D13">
        <v>0</v>
      </c>
    </row>
    <row r="14" spans="1:4" x14ac:dyDescent="0.3">
      <c r="A14" s="11" t="s">
        <v>337</v>
      </c>
      <c r="B14">
        <v>2</v>
      </c>
      <c r="C14">
        <v>0</v>
      </c>
      <c r="D14">
        <v>0</v>
      </c>
    </row>
    <row r="15" spans="1:4" ht="28.8" x14ac:dyDescent="0.3">
      <c r="A15" s="11" t="s">
        <v>338</v>
      </c>
      <c r="B15">
        <v>41</v>
      </c>
      <c r="C15">
        <v>0</v>
      </c>
      <c r="D15">
        <v>0</v>
      </c>
    </row>
    <row r="16" spans="1:4" x14ac:dyDescent="0.3">
      <c r="A16" s="11" t="s">
        <v>339</v>
      </c>
      <c r="B16">
        <v>2</v>
      </c>
      <c r="C16">
        <v>0</v>
      </c>
      <c r="D16">
        <v>0</v>
      </c>
    </row>
    <row r="17" spans="1:4" x14ac:dyDescent="0.3">
      <c r="A17" s="11" t="s">
        <v>340</v>
      </c>
      <c r="B17">
        <v>5</v>
      </c>
      <c r="C17">
        <v>0</v>
      </c>
      <c r="D17">
        <v>0</v>
      </c>
    </row>
    <row r="18" spans="1:4" x14ac:dyDescent="0.3">
      <c r="A18" s="11" t="s">
        <v>341</v>
      </c>
      <c r="B18">
        <v>1</v>
      </c>
      <c r="C18">
        <v>0</v>
      </c>
      <c r="D18">
        <v>0</v>
      </c>
    </row>
    <row r="19" spans="1:4" x14ac:dyDescent="0.3">
      <c r="A19" s="11" t="s">
        <v>342</v>
      </c>
      <c r="B19">
        <v>48</v>
      </c>
      <c r="C19">
        <v>16</v>
      </c>
      <c r="D19">
        <v>0</v>
      </c>
    </row>
    <row r="20" spans="1:4" x14ac:dyDescent="0.3">
      <c r="A20" s="11" t="s">
        <v>343</v>
      </c>
      <c r="B20">
        <v>2</v>
      </c>
      <c r="C20">
        <v>0</v>
      </c>
      <c r="D20">
        <v>0</v>
      </c>
    </row>
    <row r="21" spans="1:4" x14ac:dyDescent="0.3">
      <c r="A21" s="11" t="s">
        <v>344</v>
      </c>
      <c r="B21">
        <v>263</v>
      </c>
      <c r="C21">
        <v>81</v>
      </c>
      <c r="D21">
        <v>0</v>
      </c>
    </row>
    <row r="22" spans="1:4" x14ac:dyDescent="0.3">
      <c r="A22" s="11" t="s">
        <v>345</v>
      </c>
      <c r="B22">
        <v>3</v>
      </c>
      <c r="C22">
        <v>0</v>
      </c>
      <c r="D22">
        <v>0</v>
      </c>
    </row>
    <row r="23" spans="1:4" x14ac:dyDescent="0.3">
      <c r="A23" s="11" t="s">
        <v>346</v>
      </c>
      <c r="B23">
        <v>14</v>
      </c>
      <c r="C23">
        <v>4</v>
      </c>
      <c r="D23">
        <v>0</v>
      </c>
    </row>
    <row r="24" spans="1:4" x14ac:dyDescent="0.3">
      <c r="A24" s="11" t="s">
        <v>347</v>
      </c>
      <c r="B24">
        <v>6</v>
      </c>
      <c r="C24">
        <v>1</v>
      </c>
      <c r="D24">
        <v>0</v>
      </c>
    </row>
    <row r="25" spans="1:4" ht="43.2" x14ac:dyDescent="0.3">
      <c r="A25" s="11" t="s">
        <v>356</v>
      </c>
      <c r="B25">
        <v>13</v>
      </c>
      <c r="C25">
        <v>0</v>
      </c>
      <c r="D25">
        <v>0</v>
      </c>
    </row>
    <row r="26" spans="1:4" x14ac:dyDescent="0.3">
      <c r="A26" s="11" t="s">
        <v>348</v>
      </c>
      <c r="B26">
        <v>2</v>
      </c>
      <c r="C26">
        <v>0</v>
      </c>
      <c r="D26">
        <v>0</v>
      </c>
    </row>
    <row r="27" spans="1:4" x14ac:dyDescent="0.3">
      <c r="A27" s="11" t="s">
        <v>349</v>
      </c>
      <c r="B27">
        <v>73</v>
      </c>
      <c r="C27">
        <v>77</v>
      </c>
      <c r="D27">
        <v>1</v>
      </c>
    </row>
    <row r="28" spans="1:4" x14ac:dyDescent="0.3">
      <c r="A28" s="11" t="s">
        <v>350</v>
      </c>
      <c r="B28">
        <v>57</v>
      </c>
      <c r="C28">
        <v>19</v>
      </c>
      <c r="D28">
        <v>0</v>
      </c>
    </row>
    <row r="29" spans="1:4" x14ac:dyDescent="0.3">
      <c r="A29" s="11" t="s">
        <v>351</v>
      </c>
      <c r="B29">
        <v>5</v>
      </c>
      <c r="C29">
        <v>0</v>
      </c>
      <c r="D29">
        <v>0</v>
      </c>
    </row>
    <row r="30" spans="1:4" x14ac:dyDescent="0.3">
      <c r="A30" s="11" t="s">
        <v>352</v>
      </c>
      <c r="B30">
        <v>138</v>
      </c>
      <c r="C30">
        <v>21</v>
      </c>
      <c r="D30">
        <v>1</v>
      </c>
    </row>
    <row r="31" spans="1:4" x14ac:dyDescent="0.3">
      <c r="A31" s="11" t="s">
        <v>353</v>
      </c>
      <c r="B31">
        <v>3</v>
      </c>
      <c r="C31">
        <v>0</v>
      </c>
      <c r="D31">
        <v>0</v>
      </c>
    </row>
    <row r="32" spans="1:4" x14ac:dyDescent="0.3">
      <c r="A32" s="11" t="s">
        <v>357</v>
      </c>
      <c r="B32">
        <v>5</v>
      </c>
      <c r="C32">
        <v>0</v>
      </c>
      <c r="D32">
        <v>0</v>
      </c>
    </row>
    <row r="33" spans="1:4" ht="28.8" x14ac:dyDescent="0.3">
      <c r="A33" s="11" t="s">
        <v>358</v>
      </c>
      <c r="B33">
        <v>1</v>
      </c>
      <c r="C33">
        <v>0</v>
      </c>
      <c r="D33">
        <v>0</v>
      </c>
    </row>
    <row r="34" spans="1:4" x14ac:dyDescent="0.3">
      <c r="A34" s="11" t="s">
        <v>359</v>
      </c>
      <c r="B34">
        <v>0</v>
      </c>
      <c r="C34">
        <v>3</v>
      </c>
      <c r="D34">
        <v>0</v>
      </c>
    </row>
    <row r="35" spans="1:4" x14ac:dyDescent="0.3">
      <c r="A35" s="25" t="s">
        <v>183</v>
      </c>
      <c r="B35" s="6">
        <f>SUM(B3:B34)</f>
        <v>807</v>
      </c>
      <c r="C35" s="6">
        <f t="shared" ref="C35:D35" si="0">SUM(C3:C34)</f>
        <v>260</v>
      </c>
      <c r="D35" s="6">
        <f t="shared" si="0"/>
        <v>4</v>
      </c>
    </row>
    <row r="36" spans="1:4" x14ac:dyDescent="0.3">
      <c r="A36" s="103" t="s">
        <v>360</v>
      </c>
      <c r="B36" s="103"/>
      <c r="C36" s="103"/>
      <c r="D36" s="103"/>
    </row>
  </sheetData>
  <mergeCells count="2">
    <mergeCell ref="A1:D1"/>
    <mergeCell ref="A36:D36"/>
  </mergeCells>
  <pageMargins left="0.7" right="0.7" top="0.75" bottom="0.75" header="0.3" footer="0.3"/>
  <pageSetup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C27D4-BD2E-4BE0-86FC-878412B7F491}">
  <sheetPr>
    <tabColor rgb="FF92D050"/>
    <pageSetUpPr fitToPage="1"/>
  </sheetPr>
  <dimension ref="A1:B71"/>
  <sheetViews>
    <sheetView tabSelected="1" zoomScale="110" zoomScaleNormal="110" zoomScalePageLayoutView="150" workbookViewId="0">
      <selection activeCell="E27" sqref="E27"/>
    </sheetView>
  </sheetViews>
  <sheetFormatPr baseColWidth="10" defaultColWidth="8.6640625" defaultRowHeight="14.4" x14ac:dyDescent="0.3"/>
  <cols>
    <col min="1" max="1" width="76.44140625" style="3" customWidth="1"/>
    <col min="2" max="2" width="30.109375" style="3" bestFit="1" customWidth="1"/>
    <col min="3" max="16384" width="8.6640625" style="3"/>
  </cols>
  <sheetData>
    <row r="1" spans="1:2" ht="36" customHeight="1" x14ac:dyDescent="0.3">
      <c r="A1" s="91" t="s">
        <v>582</v>
      </c>
      <c r="B1" s="91"/>
    </row>
    <row r="2" spans="1:2" ht="28.8" x14ac:dyDescent="0.3">
      <c r="A2" s="56" t="s">
        <v>361</v>
      </c>
      <c r="B2" s="55" t="s">
        <v>319</v>
      </c>
    </row>
    <row r="3" spans="1:2" x14ac:dyDescent="0.3">
      <c r="A3" s="35" t="s">
        <v>583</v>
      </c>
      <c r="B3" s="64"/>
    </row>
    <row r="4" spans="1:2" x14ac:dyDescent="0.3">
      <c r="A4" s="3" t="s">
        <v>584</v>
      </c>
      <c r="B4" s="65">
        <v>40</v>
      </c>
    </row>
    <row r="5" spans="1:2" x14ac:dyDescent="0.3">
      <c r="A5" s="3" t="s">
        <v>585</v>
      </c>
      <c r="B5" s="65">
        <v>38</v>
      </c>
    </row>
    <row r="6" spans="1:2" x14ac:dyDescent="0.3">
      <c r="A6" s="3" t="s">
        <v>586</v>
      </c>
      <c r="B6" s="65">
        <v>27</v>
      </c>
    </row>
    <row r="7" spans="1:2" x14ac:dyDescent="0.3">
      <c r="A7" s="3" t="s">
        <v>587</v>
      </c>
      <c r="B7" s="65">
        <v>63</v>
      </c>
    </row>
    <row r="8" spans="1:2" x14ac:dyDescent="0.3">
      <c r="A8" s="3" t="s">
        <v>588</v>
      </c>
      <c r="B8" s="65">
        <v>36</v>
      </c>
    </row>
    <row r="9" spans="1:2" x14ac:dyDescent="0.3">
      <c r="A9" s="3" t="s">
        <v>589</v>
      </c>
      <c r="B9" s="65">
        <v>107</v>
      </c>
    </row>
    <row r="10" spans="1:2" x14ac:dyDescent="0.3">
      <c r="A10" s="3" t="s">
        <v>590</v>
      </c>
      <c r="B10" s="65">
        <v>20</v>
      </c>
    </row>
    <row r="11" spans="1:2" x14ac:dyDescent="0.3">
      <c r="A11" s="3" t="s">
        <v>591</v>
      </c>
      <c r="B11" s="65">
        <v>32</v>
      </c>
    </row>
    <row r="12" spans="1:2" x14ac:dyDescent="0.3">
      <c r="A12" s="3" t="s">
        <v>592</v>
      </c>
      <c r="B12" s="65">
        <v>15</v>
      </c>
    </row>
    <row r="13" spans="1:2" ht="16.5" customHeight="1" x14ac:dyDescent="0.3">
      <c r="A13" s="53" t="s">
        <v>593</v>
      </c>
      <c r="B13" s="65">
        <v>26</v>
      </c>
    </row>
    <row r="14" spans="1:2" x14ac:dyDescent="0.3">
      <c r="A14" s="53" t="s">
        <v>594</v>
      </c>
      <c r="B14" s="65">
        <v>24</v>
      </c>
    </row>
    <row r="15" spans="1:2" x14ac:dyDescent="0.3">
      <c r="A15" s="53" t="s">
        <v>595</v>
      </c>
      <c r="B15" s="65">
        <v>30</v>
      </c>
    </row>
    <row r="16" spans="1:2" x14ac:dyDescent="0.3">
      <c r="A16" s="53" t="s">
        <v>596</v>
      </c>
      <c r="B16" s="65">
        <v>5</v>
      </c>
    </row>
    <row r="17" spans="1:2" x14ac:dyDescent="0.3">
      <c r="A17" s="53" t="s">
        <v>597</v>
      </c>
      <c r="B17" s="65">
        <v>10</v>
      </c>
    </row>
    <row r="18" spans="1:2" x14ac:dyDescent="0.3">
      <c r="A18" s="53" t="s">
        <v>598</v>
      </c>
      <c r="B18" s="65">
        <v>7</v>
      </c>
    </row>
    <row r="19" spans="1:2" x14ac:dyDescent="0.3">
      <c r="A19" s="53" t="s">
        <v>599</v>
      </c>
      <c r="B19" s="65">
        <v>5</v>
      </c>
    </row>
    <row r="20" spans="1:2" x14ac:dyDescent="0.3">
      <c r="A20" s="53" t="s">
        <v>600</v>
      </c>
      <c r="B20" s="65">
        <v>30</v>
      </c>
    </row>
    <row r="21" spans="1:2" x14ac:dyDescent="0.3">
      <c r="A21" s="53" t="s">
        <v>601</v>
      </c>
      <c r="B21" s="65">
        <v>45</v>
      </c>
    </row>
    <row r="22" spans="1:2" x14ac:dyDescent="0.3">
      <c r="A22" s="53" t="s">
        <v>602</v>
      </c>
      <c r="B22" s="65">
        <v>6</v>
      </c>
    </row>
    <row r="23" spans="1:2" x14ac:dyDescent="0.3">
      <c r="A23" s="53" t="s">
        <v>603</v>
      </c>
      <c r="B23" s="65">
        <v>12</v>
      </c>
    </row>
    <row r="24" spans="1:2" x14ac:dyDescent="0.3">
      <c r="A24" s="53" t="s">
        <v>604</v>
      </c>
      <c r="B24" s="65">
        <v>18</v>
      </c>
    </row>
    <row r="25" spans="1:2" x14ac:dyDescent="0.3">
      <c r="A25" s="53" t="s">
        <v>605</v>
      </c>
      <c r="B25" s="65">
        <v>40</v>
      </c>
    </row>
    <row r="26" spans="1:2" x14ac:dyDescent="0.3">
      <c r="A26" s="3" t="s">
        <v>606</v>
      </c>
      <c r="B26" s="65">
        <v>9</v>
      </c>
    </row>
    <row r="27" spans="1:2" x14ac:dyDescent="0.3">
      <c r="A27" s="3" t="s">
        <v>607</v>
      </c>
      <c r="B27" s="65">
        <v>15</v>
      </c>
    </row>
    <row r="28" spans="1:2" x14ac:dyDescent="0.3">
      <c r="A28" s="3" t="s">
        <v>608</v>
      </c>
      <c r="B28" s="65">
        <v>15</v>
      </c>
    </row>
    <row r="29" spans="1:2" x14ac:dyDescent="0.3">
      <c r="A29" s="3" t="s">
        <v>609</v>
      </c>
      <c r="B29" s="65">
        <v>15</v>
      </c>
    </row>
    <row r="30" spans="1:2" x14ac:dyDescent="0.3">
      <c r="A30" s="3" t="s">
        <v>610</v>
      </c>
      <c r="B30" s="65">
        <v>25</v>
      </c>
    </row>
    <row r="31" spans="1:2" x14ac:dyDescent="0.3">
      <c r="A31" s="3" t="s">
        <v>611</v>
      </c>
      <c r="B31" s="65">
        <v>15</v>
      </c>
    </row>
    <row r="32" spans="1:2" x14ac:dyDescent="0.3">
      <c r="A32" s="3" t="s">
        <v>612</v>
      </c>
      <c r="B32" s="65">
        <v>6</v>
      </c>
    </row>
    <row r="33" spans="1:2" x14ac:dyDescent="0.3">
      <c r="A33" s="3" t="s">
        <v>613</v>
      </c>
      <c r="B33" s="65">
        <v>20</v>
      </c>
    </row>
    <row r="34" spans="1:2" x14ac:dyDescent="0.3">
      <c r="A34" s="37" t="s">
        <v>320</v>
      </c>
      <c r="B34" s="65"/>
    </row>
    <row r="35" spans="1:2" x14ac:dyDescent="0.3">
      <c r="A35" s="3" t="s">
        <v>614</v>
      </c>
      <c r="B35" s="65">
        <v>14</v>
      </c>
    </row>
    <row r="36" spans="1:2" x14ac:dyDescent="0.3">
      <c r="A36" s="3" t="s">
        <v>615</v>
      </c>
      <c r="B36" s="65">
        <v>11</v>
      </c>
    </row>
    <row r="37" spans="1:2" x14ac:dyDescent="0.3">
      <c r="A37" s="3" t="s">
        <v>616</v>
      </c>
      <c r="B37" s="65">
        <v>15</v>
      </c>
    </row>
    <row r="38" spans="1:2" x14ac:dyDescent="0.3">
      <c r="A38" s="3" t="s">
        <v>617</v>
      </c>
      <c r="B38" s="65">
        <v>28</v>
      </c>
    </row>
    <row r="39" spans="1:2" x14ac:dyDescent="0.3">
      <c r="A39" s="3" t="s">
        <v>618</v>
      </c>
      <c r="B39" s="65">
        <v>22</v>
      </c>
    </row>
    <row r="40" spans="1:2" x14ac:dyDescent="0.3">
      <c r="A40" s="3" t="s">
        <v>619</v>
      </c>
      <c r="B40" s="65">
        <v>11</v>
      </c>
    </row>
    <row r="41" spans="1:2" x14ac:dyDescent="0.3">
      <c r="A41" s="3" t="s">
        <v>620</v>
      </c>
      <c r="B41" s="65">
        <v>78</v>
      </c>
    </row>
    <row r="42" spans="1:2" x14ac:dyDescent="0.3">
      <c r="A42" s="3" t="s">
        <v>621</v>
      </c>
      <c r="B42" s="65">
        <v>139</v>
      </c>
    </row>
    <row r="43" spans="1:2" x14ac:dyDescent="0.3">
      <c r="A43" s="3" t="s">
        <v>622</v>
      </c>
      <c r="B43" s="65">
        <v>6</v>
      </c>
    </row>
    <row r="44" spans="1:2" x14ac:dyDescent="0.3">
      <c r="A44" s="3" t="s">
        <v>623</v>
      </c>
      <c r="B44" s="65">
        <v>15</v>
      </c>
    </row>
    <row r="45" spans="1:2" x14ac:dyDescent="0.3">
      <c r="A45" s="3" t="s">
        <v>624</v>
      </c>
      <c r="B45" s="65">
        <v>8</v>
      </c>
    </row>
    <row r="46" spans="1:2" x14ac:dyDescent="0.3">
      <c r="A46" s="3" t="s">
        <v>613</v>
      </c>
      <c r="B46" s="65"/>
    </row>
    <row r="47" spans="1:2" x14ac:dyDescent="0.3">
      <c r="A47" s="35" t="s">
        <v>321</v>
      </c>
      <c r="B47" s="65"/>
    </row>
    <row r="48" spans="1:2" x14ac:dyDescent="0.3">
      <c r="A48" s="3" t="s">
        <v>622</v>
      </c>
      <c r="B48" s="65">
        <v>3</v>
      </c>
    </row>
    <row r="49" spans="1:2" x14ac:dyDescent="0.3">
      <c r="A49" s="3" t="s">
        <v>625</v>
      </c>
      <c r="B49" s="65">
        <v>4</v>
      </c>
    </row>
    <row r="50" spans="1:2" x14ac:dyDescent="0.3">
      <c r="A50" s="3" t="s">
        <v>626</v>
      </c>
      <c r="B50" s="65">
        <v>4</v>
      </c>
    </row>
    <row r="51" spans="1:2" x14ac:dyDescent="0.3">
      <c r="A51" s="3" t="s">
        <v>627</v>
      </c>
      <c r="B51" s="65">
        <v>4</v>
      </c>
    </row>
    <row r="52" spans="1:2" x14ac:dyDescent="0.3">
      <c r="A52" s="3" t="s">
        <v>585</v>
      </c>
      <c r="B52" s="65">
        <v>4</v>
      </c>
    </row>
    <row r="53" spans="1:2" x14ac:dyDescent="0.3">
      <c r="A53" s="3" t="s">
        <v>628</v>
      </c>
      <c r="B53" s="65">
        <v>4</v>
      </c>
    </row>
    <row r="54" spans="1:2" x14ac:dyDescent="0.3">
      <c r="A54" s="3" t="s">
        <v>629</v>
      </c>
      <c r="B54" s="65">
        <v>4</v>
      </c>
    </row>
    <row r="55" spans="1:2" x14ac:dyDescent="0.3">
      <c r="A55" s="66"/>
      <c r="B55" s="67"/>
    </row>
    <row r="56" spans="1:2" x14ac:dyDescent="0.3">
      <c r="A56" s="63" t="s">
        <v>630</v>
      </c>
      <c r="B56" s="68"/>
    </row>
    <row r="57" spans="1:2" x14ac:dyDescent="0.3">
      <c r="A57" s="68" t="s">
        <v>631</v>
      </c>
      <c r="B57" s="68"/>
    </row>
    <row r="58" spans="1:2" x14ac:dyDescent="0.3">
      <c r="A58" s="68" t="s">
        <v>632</v>
      </c>
      <c r="B58" s="68"/>
    </row>
    <row r="59" spans="1:2" x14ac:dyDescent="0.3">
      <c r="A59" s="68" t="s">
        <v>633</v>
      </c>
      <c r="B59" s="68"/>
    </row>
    <row r="60" spans="1:2" x14ac:dyDescent="0.3">
      <c r="A60" s="68" t="s">
        <v>634</v>
      </c>
      <c r="B60" s="68"/>
    </row>
    <row r="61" spans="1:2" x14ac:dyDescent="0.3">
      <c r="A61" s="68" t="s">
        <v>635</v>
      </c>
      <c r="B61" s="68"/>
    </row>
    <row r="62" spans="1:2" x14ac:dyDescent="0.3">
      <c r="A62" s="68" t="s">
        <v>636</v>
      </c>
      <c r="B62" s="68"/>
    </row>
    <row r="63" spans="1:2" x14ac:dyDescent="0.3">
      <c r="A63" s="68" t="s">
        <v>637</v>
      </c>
      <c r="B63" s="68"/>
    </row>
    <row r="64" spans="1:2" x14ac:dyDescent="0.3">
      <c r="A64" s="68" t="s">
        <v>638</v>
      </c>
    </row>
    <row r="65" spans="1:1" x14ac:dyDescent="0.3">
      <c r="A65" s="68" t="s">
        <v>639</v>
      </c>
    </row>
    <row r="66" spans="1:1" x14ac:dyDescent="0.3">
      <c r="A66" s="68" t="s">
        <v>640</v>
      </c>
    </row>
    <row r="67" spans="1:1" x14ac:dyDescent="0.3">
      <c r="A67" s="68" t="s">
        <v>641</v>
      </c>
    </row>
    <row r="68" spans="1:1" x14ac:dyDescent="0.3">
      <c r="A68" s="68" t="s">
        <v>642</v>
      </c>
    </row>
    <row r="69" spans="1:1" x14ac:dyDescent="0.3">
      <c r="A69" s="68" t="s">
        <v>643</v>
      </c>
    </row>
    <row r="70" spans="1:1" x14ac:dyDescent="0.3">
      <c r="A70" s="68" t="s">
        <v>644</v>
      </c>
    </row>
    <row r="71" spans="1:1" x14ac:dyDescent="0.3">
      <c r="A71" s="3" t="s">
        <v>360</v>
      </c>
    </row>
  </sheetData>
  <mergeCells count="1">
    <mergeCell ref="A1:B1"/>
  </mergeCells>
  <pageMargins left="0.7" right="0.7" top="0.75" bottom="0.75" header="0.3" footer="0.3"/>
  <pageSetup scale="63"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D9"/>
  <sheetViews>
    <sheetView workbookViewId="0">
      <selection activeCell="A9" sqref="A9:D9"/>
    </sheetView>
  </sheetViews>
  <sheetFormatPr baseColWidth="10" defaultColWidth="8.77734375" defaultRowHeight="14.4" x14ac:dyDescent="0.3"/>
  <cols>
    <col min="1" max="1" width="61.6640625" customWidth="1"/>
    <col min="2" max="2" width="8.109375" bestFit="1" customWidth="1"/>
    <col min="3" max="4" width="21.77734375" bestFit="1" customWidth="1"/>
  </cols>
  <sheetData>
    <row r="1" spans="1:4" ht="15.6" x14ac:dyDescent="0.3">
      <c r="A1" s="96" t="s">
        <v>90</v>
      </c>
      <c r="B1" s="96"/>
      <c r="C1" s="96"/>
      <c r="D1" s="96"/>
    </row>
    <row r="2" spans="1:4" ht="28.8" x14ac:dyDescent="0.3">
      <c r="A2" s="33" t="s">
        <v>362</v>
      </c>
      <c r="B2" s="33" t="s">
        <v>363</v>
      </c>
      <c r="C2" s="33" t="s">
        <v>364</v>
      </c>
      <c r="D2" s="33" t="s">
        <v>365</v>
      </c>
    </row>
    <row r="3" spans="1:4" ht="28.8" x14ac:dyDescent="0.3">
      <c r="A3" s="9" t="s">
        <v>547</v>
      </c>
      <c r="B3">
        <v>12</v>
      </c>
      <c r="C3">
        <v>213</v>
      </c>
      <c r="D3">
        <v>191</v>
      </c>
    </row>
    <row r="4" spans="1:4" ht="28.8" x14ac:dyDescent="0.3">
      <c r="A4" s="9" t="s">
        <v>548</v>
      </c>
      <c r="B4">
        <v>9</v>
      </c>
      <c r="C4">
        <v>139</v>
      </c>
      <c r="D4">
        <v>7</v>
      </c>
    </row>
    <row r="5" spans="1:4" x14ac:dyDescent="0.3">
      <c r="A5" s="9" t="s">
        <v>549</v>
      </c>
      <c r="B5">
        <v>10</v>
      </c>
      <c r="C5">
        <v>86</v>
      </c>
      <c r="D5">
        <v>102</v>
      </c>
    </row>
    <row r="6" spans="1:4" x14ac:dyDescent="0.3">
      <c r="A6" s="9" t="s">
        <v>550</v>
      </c>
      <c r="B6">
        <v>77</v>
      </c>
      <c r="C6">
        <v>489</v>
      </c>
      <c r="D6">
        <v>697</v>
      </c>
    </row>
    <row r="7" spans="1:4" x14ac:dyDescent="0.3">
      <c r="A7" s="9" t="s">
        <v>551</v>
      </c>
      <c r="B7">
        <v>32</v>
      </c>
      <c r="C7">
        <v>223</v>
      </c>
      <c r="D7">
        <v>456</v>
      </c>
    </row>
    <row r="8" spans="1:4" x14ac:dyDescent="0.3">
      <c r="A8" s="6"/>
      <c r="B8" s="6"/>
      <c r="C8" s="6"/>
      <c r="D8" s="6"/>
    </row>
    <row r="9" spans="1:4" x14ac:dyDescent="0.3">
      <c r="A9" s="103" t="s">
        <v>366</v>
      </c>
      <c r="B9" s="103"/>
      <c r="C9" s="103"/>
      <c r="D9" s="103"/>
    </row>
  </sheetData>
  <mergeCells count="2">
    <mergeCell ref="A1:D1"/>
    <mergeCell ref="A9:D9"/>
  </mergeCells>
  <pageMargins left="0.7" right="0.7" top="0.75" bottom="0.75" header="0.3" footer="0.3"/>
  <pageSetup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G17"/>
  <sheetViews>
    <sheetView workbookViewId="0">
      <selection activeCell="H4" sqref="H4"/>
    </sheetView>
  </sheetViews>
  <sheetFormatPr baseColWidth="10" defaultColWidth="8.77734375" defaultRowHeight="14.4" x14ac:dyDescent="0.3"/>
  <cols>
    <col min="1" max="1" width="49.44140625" bestFit="1" customWidth="1"/>
    <col min="2" max="2" width="7" bestFit="1" customWidth="1"/>
    <col min="3" max="3" width="9.44140625" bestFit="1" customWidth="1"/>
    <col min="4" max="5" width="7" bestFit="1" customWidth="1"/>
    <col min="6" max="6" width="5.77734375" bestFit="1" customWidth="1"/>
    <col min="7" max="7" width="7" bestFit="1" customWidth="1"/>
  </cols>
  <sheetData>
    <row r="1" spans="1:7" ht="15.6" x14ac:dyDescent="0.3">
      <c r="A1" s="96" t="s">
        <v>92</v>
      </c>
      <c r="B1" s="96"/>
      <c r="C1" s="96"/>
      <c r="D1" s="96"/>
      <c r="E1" s="96"/>
      <c r="F1" s="96"/>
      <c r="G1" s="96"/>
    </row>
    <row r="2" spans="1:7" x14ac:dyDescent="0.3">
      <c r="A2" s="7" t="s">
        <v>367</v>
      </c>
      <c r="B2" s="7" t="s">
        <v>368</v>
      </c>
      <c r="C2" s="7" t="s">
        <v>369</v>
      </c>
      <c r="D2" s="7" t="s">
        <v>370</v>
      </c>
      <c r="E2" s="7" t="s">
        <v>371</v>
      </c>
      <c r="F2" s="7" t="s">
        <v>372</v>
      </c>
      <c r="G2" s="7" t="s">
        <v>373</v>
      </c>
    </row>
    <row r="3" spans="1:7" x14ac:dyDescent="0.3">
      <c r="A3" s="2" t="s">
        <v>532</v>
      </c>
      <c r="B3">
        <v>3</v>
      </c>
      <c r="C3">
        <v>3</v>
      </c>
      <c r="D3">
        <v>4</v>
      </c>
      <c r="E3">
        <v>4</v>
      </c>
      <c r="F3">
        <v>4</v>
      </c>
      <c r="G3">
        <v>4</v>
      </c>
    </row>
    <row r="4" spans="1:7" x14ac:dyDescent="0.3">
      <c r="A4" s="2" t="s">
        <v>533</v>
      </c>
      <c r="B4">
        <v>42</v>
      </c>
      <c r="C4">
        <v>36</v>
      </c>
      <c r="D4">
        <v>36</v>
      </c>
      <c r="E4">
        <v>22</v>
      </c>
      <c r="F4">
        <v>54</v>
      </c>
      <c r="G4">
        <v>54</v>
      </c>
    </row>
    <row r="5" spans="1:7" x14ac:dyDescent="0.3">
      <c r="A5" s="2" t="s">
        <v>534</v>
      </c>
      <c r="B5">
        <v>1</v>
      </c>
      <c r="C5">
        <v>6</v>
      </c>
      <c r="D5">
        <v>16</v>
      </c>
      <c r="E5">
        <v>4</v>
      </c>
      <c r="F5">
        <v>5</v>
      </c>
      <c r="G5">
        <v>29</v>
      </c>
    </row>
    <row r="6" spans="1:7" x14ac:dyDescent="0.3">
      <c r="A6" s="2" t="s">
        <v>535</v>
      </c>
      <c r="B6">
        <v>2</v>
      </c>
      <c r="C6">
        <v>2</v>
      </c>
      <c r="D6">
        <v>2</v>
      </c>
      <c r="E6">
        <v>4</v>
      </c>
      <c r="F6">
        <v>1</v>
      </c>
      <c r="G6">
        <v>2</v>
      </c>
    </row>
    <row r="7" spans="1:7" x14ac:dyDescent="0.3">
      <c r="A7" s="2" t="s">
        <v>536</v>
      </c>
      <c r="B7">
        <v>28</v>
      </c>
      <c r="C7">
        <v>19</v>
      </c>
      <c r="D7">
        <v>21</v>
      </c>
      <c r="E7">
        <v>18</v>
      </c>
      <c r="F7">
        <v>19</v>
      </c>
      <c r="G7">
        <v>22</v>
      </c>
    </row>
    <row r="8" spans="1:7" x14ac:dyDescent="0.3">
      <c r="A8" s="2" t="s">
        <v>537</v>
      </c>
      <c r="B8">
        <v>8</v>
      </c>
      <c r="C8">
        <v>12</v>
      </c>
      <c r="D8">
        <v>9</v>
      </c>
      <c r="E8">
        <v>7</v>
      </c>
      <c r="F8">
        <v>12</v>
      </c>
      <c r="G8">
        <v>11</v>
      </c>
    </row>
    <row r="9" spans="1:7" x14ac:dyDescent="0.3">
      <c r="A9" s="2" t="s">
        <v>538</v>
      </c>
      <c r="B9">
        <v>3</v>
      </c>
      <c r="C9">
        <v>1</v>
      </c>
      <c r="D9">
        <v>0</v>
      </c>
      <c r="E9">
        <v>3</v>
      </c>
      <c r="F9">
        <v>8</v>
      </c>
      <c r="G9">
        <v>2</v>
      </c>
    </row>
    <row r="10" spans="1:7" x14ac:dyDescent="0.3">
      <c r="A10" s="2" t="s">
        <v>539</v>
      </c>
      <c r="B10">
        <v>5</v>
      </c>
      <c r="C10">
        <v>7</v>
      </c>
      <c r="D10">
        <v>7</v>
      </c>
      <c r="E10">
        <v>7</v>
      </c>
      <c r="F10">
        <v>9</v>
      </c>
      <c r="G10">
        <v>5</v>
      </c>
    </row>
    <row r="11" spans="1:7" x14ac:dyDescent="0.3">
      <c r="A11" s="2" t="s">
        <v>540</v>
      </c>
      <c r="B11">
        <v>139</v>
      </c>
      <c r="C11">
        <v>93</v>
      </c>
      <c r="D11">
        <v>206</v>
      </c>
      <c r="E11">
        <v>241</v>
      </c>
      <c r="F11">
        <v>182</v>
      </c>
      <c r="G11">
        <v>52</v>
      </c>
    </row>
    <row r="12" spans="1:7" x14ac:dyDescent="0.3">
      <c r="A12" s="2" t="s">
        <v>541</v>
      </c>
      <c r="B12">
        <v>50</v>
      </c>
      <c r="C12">
        <v>43</v>
      </c>
      <c r="D12">
        <v>53</v>
      </c>
      <c r="E12">
        <v>20</v>
      </c>
      <c r="F12">
        <v>42</v>
      </c>
      <c r="G12">
        <v>51</v>
      </c>
    </row>
    <row r="13" spans="1:7" x14ac:dyDescent="0.3">
      <c r="A13" s="2" t="s">
        <v>542</v>
      </c>
      <c r="B13">
        <v>27</v>
      </c>
      <c r="C13">
        <v>12</v>
      </c>
      <c r="D13">
        <v>31</v>
      </c>
      <c r="E13">
        <v>53</v>
      </c>
      <c r="F13">
        <v>26</v>
      </c>
      <c r="G13">
        <v>34</v>
      </c>
    </row>
    <row r="14" spans="1:7" x14ac:dyDescent="0.3">
      <c r="A14" s="2" t="s">
        <v>543</v>
      </c>
      <c r="B14">
        <v>3</v>
      </c>
      <c r="C14">
        <v>6</v>
      </c>
      <c r="D14">
        <v>6</v>
      </c>
      <c r="E14">
        <v>11</v>
      </c>
      <c r="F14">
        <v>4</v>
      </c>
      <c r="G14">
        <v>4</v>
      </c>
    </row>
    <row r="15" spans="1:7" x14ac:dyDescent="0.3">
      <c r="A15" s="2" t="s">
        <v>544</v>
      </c>
      <c r="B15">
        <v>0</v>
      </c>
      <c r="C15">
        <v>0</v>
      </c>
      <c r="D15">
        <v>1</v>
      </c>
      <c r="E15">
        <v>0</v>
      </c>
      <c r="F15">
        <v>1</v>
      </c>
      <c r="G15">
        <v>2</v>
      </c>
    </row>
    <row r="16" spans="1:7" x14ac:dyDescent="0.3">
      <c r="A16" s="6"/>
      <c r="B16" s="6"/>
      <c r="C16" s="6"/>
      <c r="D16" s="6"/>
      <c r="E16" s="6"/>
      <c r="F16" s="6"/>
      <c r="G16" s="6"/>
    </row>
    <row r="17" spans="1:7" x14ac:dyDescent="0.3">
      <c r="A17" s="103" t="s">
        <v>366</v>
      </c>
      <c r="B17" s="103"/>
      <c r="C17" s="103"/>
      <c r="D17" s="103"/>
      <c r="E17" s="103"/>
      <c r="F17" s="103"/>
      <c r="G17" s="103"/>
    </row>
  </sheetData>
  <mergeCells count="2">
    <mergeCell ref="A1:G1"/>
    <mergeCell ref="A17:G17"/>
  </mergeCells>
  <pageMargins left="0.7" right="0.7" top="0.75" bottom="0.75" header="0.3" footer="0.3"/>
  <pageSetup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G17"/>
  <sheetViews>
    <sheetView workbookViewId="0">
      <selection activeCell="H2" sqref="H1:H1048576"/>
    </sheetView>
  </sheetViews>
  <sheetFormatPr baseColWidth="10" defaultColWidth="8.77734375" defaultRowHeight="14.4" x14ac:dyDescent="0.3"/>
  <cols>
    <col min="1" max="1" width="49.44140625" bestFit="1" customWidth="1"/>
    <col min="2" max="2" width="7" bestFit="1" customWidth="1"/>
    <col min="3" max="3" width="8.109375" bestFit="1" customWidth="1"/>
    <col min="4" max="4" width="12.77734375" bestFit="1" customWidth="1"/>
    <col min="5" max="5" width="9.44140625" bestFit="1" customWidth="1"/>
    <col min="6" max="7" width="11.44140625" bestFit="1" customWidth="1"/>
  </cols>
  <sheetData>
    <row r="1" spans="1:7" ht="15.6" x14ac:dyDescent="0.3">
      <c r="A1" s="96" t="s">
        <v>94</v>
      </c>
      <c r="B1" s="96"/>
      <c r="C1" s="96"/>
      <c r="D1" s="96"/>
      <c r="E1" s="96"/>
      <c r="F1" s="96"/>
      <c r="G1" s="96"/>
    </row>
    <row r="2" spans="1:7" x14ac:dyDescent="0.3">
      <c r="A2" s="6" t="s">
        <v>367</v>
      </c>
      <c r="B2" s="6" t="s">
        <v>374</v>
      </c>
      <c r="C2" s="6" t="s">
        <v>375</v>
      </c>
      <c r="D2" s="6" t="s">
        <v>376</v>
      </c>
      <c r="E2" s="6" t="s">
        <v>377</v>
      </c>
      <c r="F2" s="6" t="s">
        <v>378</v>
      </c>
      <c r="G2" s="6" t="s">
        <v>379</v>
      </c>
    </row>
    <row r="3" spans="1:7" x14ac:dyDescent="0.3">
      <c r="A3" s="2" t="s">
        <v>532</v>
      </c>
      <c r="B3">
        <v>0</v>
      </c>
      <c r="C3">
        <v>9</v>
      </c>
      <c r="D3">
        <v>3</v>
      </c>
      <c r="E3">
        <v>3</v>
      </c>
      <c r="F3">
        <v>6</v>
      </c>
      <c r="G3">
        <v>1</v>
      </c>
    </row>
    <row r="4" spans="1:7" x14ac:dyDescent="0.3">
      <c r="A4" s="2" t="s">
        <v>533</v>
      </c>
      <c r="B4">
        <v>60</v>
      </c>
      <c r="C4">
        <v>44</v>
      </c>
      <c r="D4">
        <v>45</v>
      </c>
      <c r="E4">
        <v>31</v>
      </c>
      <c r="F4">
        <v>40</v>
      </c>
      <c r="G4">
        <v>75</v>
      </c>
    </row>
    <row r="5" spans="1:7" x14ac:dyDescent="0.3">
      <c r="A5" s="2" t="s">
        <v>534</v>
      </c>
      <c r="B5">
        <v>27</v>
      </c>
      <c r="C5">
        <v>15</v>
      </c>
      <c r="D5">
        <v>16</v>
      </c>
      <c r="E5">
        <v>42</v>
      </c>
      <c r="F5">
        <v>11</v>
      </c>
      <c r="G5">
        <v>9</v>
      </c>
    </row>
    <row r="6" spans="1:7" x14ac:dyDescent="0.3">
      <c r="A6" s="2" t="s">
        <v>545</v>
      </c>
      <c r="B6">
        <v>1</v>
      </c>
      <c r="C6">
        <v>2</v>
      </c>
      <c r="D6">
        <v>0</v>
      </c>
      <c r="E6">
        <v>2</v>
      </c>
      <c r="F6">
        <v>3</v>
      </c>
      <c r="G6">
        <v>3</v>
      </c>
    </row>
    <row r="7" spans="1:7" x14ac:dyDescent="0.3">
      <c r="A7" s="2" t="s">
        <v>546</v>
      </c>
      <c r="B7">
        <v>17</v>
      </c>
      <c r="C7">
        <v>16</v>
      </c>
      <c r="D7">
        <v>18</v>
      </c>
      <c r="E7">
        <v>27</v>
      </c>
      <c r="F7">
        <v>17</v>
      </c>
      <c r="G7">
        <v>33</v>
      </c>
    </row>
    <row r="8" spans="1:7" x14ac:dyDescent="0.3">
      <c r="A8" s="2" t="s">
        <v>537</v>
      </c>
      <c r="B8">
        <v>9</v>
      </c>
      <c r="C8">
        <v>4</v>
      </c>
      <c r="D8">
        <v>1</v>
      </c>
      <c r="E8">
        <v>5</v>
      </c>
      <c r="F8">
        <v>6</v>
      </c>
      <c r="G8">
        <v>8</v>
      </c>
    </row>
    <row r="9" spans="1:7" x14ac:dyDescent="0.3">
      <c r="A9" s="2" t="s">
        <v>538</v>
      </c>
      <c r="B9">
        <v>1</v>
      </c>
      <c r="C9">
        <v>6</v>
      </c>
      <c r="D9">
        <v>3</v>
      </c>
      <c r="E9">
        <v>4</v>
      </c>
      <c r="F9">
        <v>4</v>
      </c>
      <c r="G9">
        <v>0</v>
      </c>
    </row>
    <row r="10" spans="1:7" x14ac:dyDescent="0.3">
      <c r="A10" s="2" t="s">
        <v>539</v>
      </c>
      <c r="B10">
        <v>7</v>
      </c>
      <c r="C10">
        <v>14</v>
      </c>
      <c r="D10">
        <v>2</v>
      </c>
      <c r="E10">
        <v>9</v>
      </c>
      <c r="F10">
        <v>3</v>
      </c>
      <c r="G10">
        <v>7</v>
      </c>
    </row>
    <row r="11" spans="1:7" x14ac:dyDescent="0.3">
      <c r="A11" s="2" t="s">
        <v>540</v>
      </c>
      <c r="B11">
        <v>48</v>
      </c>
      <c r="C11">
        <v>82</v>
      </c>
      <c r="D11">
        <v>34</v>
      </c>
      <c r="E11">
        <v>39</v>
      </c>
      <c r="F11">
        <v>66</v>
      </c>
      <c r="G11">
        <v>61</v>
      </c>
    </row>
    <row r="12" spans="1:7" x14ac:dyDescent="0.3">
      <c r="A12" s="2" t="s">
        <v>541</v>
      </c>
      <c r="B12">
        <v>80</v>
      </c>
      <c r="C12">
        <v>18</v>
      </c>
      <c r="D12">
        <v>94</v>
      </c>
      <c r="E12">
        <v>62</v>
      </c>
      <c r="F12">
        <v>49</v>
      </c>
      <c r="G12">
        <v>39</v>
      </c>
    </row>
    <row r="13" spans="1:7" x14ac:dyDescent="0.3">
      <c r="A13" s="2" t="s">
        <v>542</v>
      </c>
      <c r="B13">
        <v>17</v>
      </c>
      <c r="C13">
        <v>6</v>
      </c>
      <c r="D13">
        <v>21</v>
      </c>
      <c r="E13">
        <v>14</v>
      </c>
      <c r="F13">
        <v>13</v>
      </c>
      <c r="G13">
        <v>15</v>
      </c>
    </row>
    <row r="14" spans="1:7" x14ac:dyDescent="0.3">
      <c r="A14" s="2" t="s">
        <v>543</v>
      </c>
      <c r="B14">
        <v>1</v>
      </c>
      <c r="C14">
        <v>0</v>
      </c>
      <c r="D14">
        <v>5</v>
      </c>
      <c r="E14">
        <v>8</v>
      </c>
      <c r="F14">
        <v>7</v>
      </c>
      <c r="G14">
        <v>4</v>
      </c>
    </row>
    <row r="15" spans="1:7" x14ac:dyDescent="0.3">
      <c r="A15" s="2" t="s">
        <v>544</v>
      </c>
      <c r="B15">
        <v>0</v>
      </c>
      <c r="C15">
        <v>0</v>
      </c>
      <c r="D15">
        <v>0</v>
      </c>
      <c r="E15">
        <v>3</v>
      </c>
      <c r="F15">
        <v>2</v>
      </c>
      <c r="G15">
        <v>0</v>
      </c>
    </row>
    <row r="16" spans="1:7" x14ac:dyDescent="0.3">
      <c r="A16" s="6"/>
      <c r="B16" s="6"/>
      <c r="C16" s="6"/>
      <c r="D16" s="6"/>
      <c r="E16" s="6"/>
      <c r="F16" s="6"/>
      <c r="G16" s="6"/>
    </row>
    <row r="17" spans="1:7" x14ac:dyDescent="0.3">
      <c r="A17" s="103" t="s">
        <v>366</v>
      </c>
      <c r="B17" s="103"/>
      <c r="C17" s="103"/>
      <c r="D17" s="103"/>
      <c r="E17" s="103"/>
      <c r="F17" s="103"/>
      <c r="G17" s="103"/>
    </row>
  </sheetData>
  <mergeCells count="2">
    <mergeCell ref="A1:G1"/>
    <mergeCell ref="A17:G17"/>
  </mergeCells>
  <pageMargins left="0.7" right="0.7" top="0.75" bottom="0.75" header="0.3" footer="0.3"/>
  <pageSetup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E8"/>
  <sheetViews>
    <sheetView workbookViewId="0">
      <selection activeCell="A8" sqref="A8:E8"/>
    </sheetView>
  </sheetViews>
  <sheetFormatPr baseColWidth="10" defaultColWidth="8.77734375" defaultRowHeight="14.4" x14ac:dyDescent="0.3"/>
  <cols>
    <col min="1" max="1" width="15" customWidth="1"/>
    <col min="2" max="5" width="11" customWidth="1"/>
  </cols>
  <sheetData>
    <row r="1" spans="1:5" ht="42.45" customHeight="1" x14ac:dyDescent="0.3">
      <c r="A1" s="108" t="s">
        <v>96</v>
      </c>
      <c r="B1" s="108"/>
      <c r="C1" s="108"/>
      <c r="D1" s="108"/>
      <c r="E1" s="108"/>
    </row>
    <row r="2" spans="1:5" x14ac:dyDescent="0.3">
      <c r="A2" s="6" t="s">
        <v>380</v>
      </c>
      <c r="B2" s="6">
        <v>2022</v>
      </c>
      <c r="C2" s="6">
        <v>2023</v>
      </c>
      <c r="D2" s="6">
        <v>2024</v>
      </c>
      <c r="E2" s="6">
        <v>2025</v>
      </c>
    </row>
    <row r="3" spans="1:5" x14ac:dyDescent="0.3">
      <c r="A3" t="s">
        <v>381</v>
      </c>
      <c r="B3">
        <v>8</v>
      </c>
      <c r="C3">
        <v>38</v>
      </c>
      <c r="D3">
        <v>3</v>
      </c>
      <c r="E3">
        <v>9</v>
      </c>
    </row>
    <row r="4" spans="1:5" x14ac:dyDescent="0.3">
      <c r="A4" t="s">
        <v>382</v>
      </c>
      <c r="B4">
        <v>89</v>
      </c>
      <c r="C4">
        <v>82</v>
      </c>
      <c r="D4">
        <v>121</v>
      </c>
      <c r="E4">
        <v>36</v>
      </c>
    </row>
    <row r="5" spans="1:5" x14ac:dyDescent="0.3">
      <c r="A5" t="s">
        <v>384</v>
      </c>
      <c r="B5">
        <v>56</v>
      </c>
      <c r="C5">
        <v>54</v>
      </c>
      <c r="D5">
        <v>11</v>
      </c>
      <c r="E5">
        <v>10</v>
      </c>
    </row>
    <row r="6" spans="1:5" x14ac:dyDescent="0.3">
      <c r="A6" t="s">
        <v>383</v>
      </c>
      <c r="B6">
        <v>0</v>
      </c>
      <c r="C6">
        <v>0</v>
      </c>
      <c r="D6">
        <v>47</v>
      </c>
      <c r="E6">
        <v>39</v>
      </c>
    </row>
    <row r="7" spans="1:5" x14ac:dyDescent="0.3">
      <c r="A7" s="13" t="s">
        <v>183</v>
      </c>
      <c r="B7" s="6">
        <v>153</v>
      </c>
      <c r="C7" s="6">
        <v>174</v>
      </c>
      <c r="D7" s="6">
        <v>182</v>
      </c>
      <c r="E7" s="6">
        <v>94</v>
      </c>
    </row>
    <row r="8" spans="1:5" ht="34.049999999999997" customHeight="1" x14ac:dyDescent="0.3">
      <c r="A8" s="94" t="s">
        <v>385</v>
      </c>
      <c r="B8" s="94"/>
      <c r="C8" s="94"/>
      <c r="D8" s="94"/>
      <c r="E8" s="94"/>
    </row>
  </sheetData>
  <mergeCells count="2">
    <mergeCell ref="A1:E1"/>
    <mergeCell ref="A8:E8"/>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55</vt:i4>
      </vt:variant>
    </vt:vector>
  </HeadingPairs>
  <TitlesOfParts>
    <vt:vector size="55" baseType="lpstr">
      <vt:lpstr>Índice</vt:lpstr>
      <vt:lpstr>M2-055-Objetos puestos a dispos</vt:lpstr>
      <vt:lpstr>M2-001 - Número de operativos 1</vt:lpstr>
      <vt:lpstr>M2-002 - Acciones de proximid 1</vt:lpstr>
      <vt:lpstr>M2-003 - Acciones de proximid 1</vt:lpstr>
      <vt:lpstr>M2-004 - Conformación de rede 1</vt:lpstr>
      <vt:lpstr>M2-005 - Visitas realizadas por</vt:lpstr>
      <vt:lpstr>M2-006 - Número de acciones e 1</vt:lpstr>
      <vt:lpstr>M2-007 - Acciones y productos 1</vt:lpstr>
      <vt:lpstr>M2-008 - Personas puestas a d 1</vt:lpstr>
      <vt:lpstr>M2-009 - Personas puestas a d 1</vt:lpstr>
      <vt:lpstr>M2-010 - Puestas a disposició 1</vt:lpstr>
      <vt:lpstr>M2-011 - Actividades realizad 1</vt:lpstr>
      <vt:lpstr>M2-012 - Evolución mensual de 1</vt:lpstr>
      <vt:lpstr>M2-013 - Evolución mensual de 1</vt:lpstr>
      <vt:lpstr>M2-014 - Cursos y personas in 1</vt:lpstr>
      <vt:lpstr>M2-015 - Licencias de manejo  1</vt:lpstr>
      <vt:lpstr>M2-016 - Infracciones de trán 1</vt:lpstr>
      <vt:lpstr>M2-018 - Acciones de evaluaci 1</vt:lpstr>
      <vt:lpstr>M2-019 - Carpetas de investig 1</vt:lpstr>
      <vt:lpstr>M2-020 - Número de participan 1</vt:lpstr>
      <vt:lpstr>M2-021 - Total de denuncias,  1</vt:lpstr>
      <vt:lpstr>M2-022 - Tipo de atención que 1</vt:lpstr>
      <vt:lpstr>M2-023 - Forma de inicio de l 1</vt:lpstr>
      <vt:lpstr>M2-024 - Determinaciones mini 1</vt:lpstr>
      <vt:lpstr>M2-025 - Proceso de las car FGE</vt:lpstr>
      <vt:lpstr>M2-026 - Medios alternativos  1</vt:lpstr>
      <vt:lpstr>M2-027 Órdenes de Aprehensión </vt:lpstr>
      <vt:lpstr>M2-028 - Gestión de la Comisi 1</vt:lpstr>
      <vt:lpstr>M2-029 - Total de medidas de  1</vt:lpstr>
      <vt:lpstr>M2-030 - Acciones y personas  1</vt:lpstr>
      <vt:lpstr>M2-031 - Personas beneficiada 1</vt:lpstr>
      <vt:lpstr>M2-032 - Personas beneficiadas.</vt:lpstr>
      <vt:lpstr>M2-033 - Personas evaluadas en.</vt:lpstr>
      <vt:lpstr>M2-034 - Puntos de monitoreo ve</vt:lpstr>
      <vt:lpstr>M2-035 - Constancias de inscrip</vt:lpstr>
      <vt:lpstr>M2-036 - Registros inscritos y.</vt:lpstr>
      <vt:lpstr>M2-037 - Inversión para el equi</vt:lpstr>
      <vt:lpstr>M2-038 - Inversión para el equi</vt:lpstr>
      <vt:lpstr>M2-039 - Inversión para el Fort</vt:lpstr>
      <vt:lpstr>M2-040 - Inversión para el fort</vt:lpstr>
      <vt:lpstr>M2-041 - Inversión para la prof</vt:lpstr>
      <vt:lpstr>M2-042 - Inversión en el Progra</vt:lpstr>
      <vt:lpstr>M2-043 - Inversión en los Progr</vt:lpstr>
      <vt:lpstr>M2-044 - Inversión para el Sist</vt:lpstr>
      <vt:lpstr>M2-045 - Inversión para el equi</vt:lpstr>
      <vt:lpstr>M2-046 - Resumen de la inversió</vt:lpstr>
      <vt:lpstr>M2-047 - Capacidad instalada  1</vt:lpstr>
      <vt:lpstr>M2-048 - Personas privadas de l</vt:lpstr>
      <vt:lpstr>M2-049 - Población en los Cen 1</vt:lpstr>
      <vt:lpstr>M2-050-Acciones de capacitacion</vt:lpstr>
      <vt:lpstr>M2-051 - Personas capacitadas 1</vt:lpstr>
      <vt:lpstr>M2-052 - Número de servicios  1</vt:lpstr>
      <vt:lpstr>M2-053 - Número de servicios  1</vt:lpstr>
      <vt:lpstr>M2-054 - Dictámenes emitidos  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Mariela Cruz</cp:lastModifiedBy>
  <cp:lastPrinted>2026-04-30T18:36:09Z</cp:lastPrinted>
  <dcterms:created xsi:type="dcterms:W3CDTF">2026-04-21T18:00:12Z</dcterms:created>
  <dcterms:modified xsi:type="dcterms:W3CDTF">2026-05-07T20:08:43Z</dcterms:modified>
  <cp:category/>
</cp:coreProperties>
</file>
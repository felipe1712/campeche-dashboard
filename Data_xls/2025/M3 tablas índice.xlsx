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ijosua/Downloads/"/>
    </mc:Choice>
  </mc:AlternateContent>
  <xr:revisionPtr revIDLastSave="0" documentId="13_ncr:1_{E202C80E-2C47-024A-8B95-C215E9D6CF28}" xr6:coauthVersionLast="47" xr6:coauthVersionMax="47" xr10:uidLastSave="{00000000-0000-0000-0000-000000000000}"/>
  <bookViews>
    <workbookView xWindow="0" yWindow="500" windowWidth="16880" windowHeight="12300" tabRatio="705" xr2:uid="{00000000-000D-0000-FFFF-FFFF00000000}"/>
  </bookViews>
  <sheets>
    <sheet name="Índice" sheetId="89" r:id="rId1"/>
    <sheet name="M3-001" sheetId="8" r:id="rId2"/>
    <sheet name="M3-002" sheetId="9" r:id="rId3"/>
    <sheet name="M3-010" sheetId="16" r:id="rId4"/>
    <sheet name="M3-003" sheetId="10" r:id="rId5"/>
    <sheet name="M3-004" sheetId="11" r:id="rId6"/>
    <sheet name="M3-005" sheetId="12" r:id="rId7"/>
    <sheet name="M3-006" sheetId="13" r:id="rId8"/>
    <sheet name="M3-007" sheetId="14" r:id="rId9"/>
    <sheet name="M3-008" sheetId="15" r:id="rId10"/>
    <sheet name="M3-009" sheetId="3" r:id="rId11"/>
    <sheet name="M3-011" sheetId="17" r:id="rId12"/>
    <sheet name="M3-012" sheetId="18" r:id="rId13"/>
    <sheet name="M3-013" sheetId="19" r:id="rId14"/>
    <sheet name="M3-014" sheetId="20" r:id="rId15"/>
    <sheet name="M3-015" sheetId="21" r:id="rId16"/>
    <sheet name="M3-016" sheetId="22" r:id="rId17"/>
    <sheet name="M3-017" sheetId="23" r:id="rId18"/>
    <sheet name="M3-018" sheetId="24" r:id="rId19"/>
    <sheet name="M3-019" sheetId="25" r:id="rId20"/>
    <sheet name="M3-020" sheetId="26" r:id="rId21"/>
    <sheet name="M3-021 " sheetId="27" r:id="rId22"/>
    <sheet name="M3-022 " sheetId="28" r:id="rId23"/>
    <sheet name="M3-023" sheetId="29" r:id="rId24"/>
    <sheet name="M3-024" sheetId="30" r:id="rId25"/>
    <sheet name="M3-027" sheetId="33" r:id="rId26"/>
    <sheet name="M3-028" sheetId="34" r:id="rId27"/>
    <sheet name="M3-029" sheetId="35" r:id="rId28"/>
    <sheet name="M3-030" sheetId="36" r:id="rId29"/>
    <sheet name="M3-031" sheetId="37" r:id="rId30"/>
    <sheet name="M3-032" sheetId="38" r:id="rId31"/>
    <sheet name="M3-033" sheetId="39" r:id="rId32"/>
    <sheet name="M3-034" sheetId="40" r:id="rId33"/>
    <sheet name="M3-025" sheetId="31" r:id="rId34"/>
    <sheet name="M3-026" sheetId="32" r:id="rId35"/>
    <sheet name="M3-035" sheetId="41" r:id="rId36"/>
    <sheet name="M3-036" sheetId="42" r:id="rId37"/>
    <sheet name="M3-037" sheetId="43" r:id="rId38"/>
    <sheet name="M3-044" sheetId="45" r:id="rId39"/>
    <sheet name="M3-038" sheetId="44" r:id="rId40"/>
    <sheet name="M3-039" sheetId="54" r:id="rId41"/>
    <sheet name="M3-040" sheetId="55" r:id="rId42"/>
    <sheet name="M3-041" sheetId="56" r:id="rId43"/>
    <sheet name="M3-042" sheetId="57" r:id="rId44"/>
    <sheet name="M3-043" sheetId="58" r:id="rId45"/>
    <sheet name="M3-047" sheetId="48" r:id="rId46"/>
    <sheet name="M3-048" sheetId="49" r:id="rId47"/>
    <sheet name="M3-049" sheetId="50" r:id="rId48"/>
    <sheet name="M3-050" sheetId="51" r:id="rId49"/>
    <sheet name="M3-051" sheetId="52" r:id="rId50"/>
    <sheet name="M3-052" sheetId="53" r:id="rId51"/>
    <sheet name="M3-053" sheetId="5" r:id="rId52"/>
    <sheet name="M3-045" sheetId="46" r:id="rId53"/>
    <sheet name="M3-046" sheetId="47" r:id="rId54"/>
    <sheet name="M3-054" sheetId="59" r:id="rId55"/>
    <sheet name="M3-055" sheetId="60" r:id="rId56"/>
    <sheet name="M3-056" sheetId="61" r:id="rId57"/>
    <sheet name="M3-057" sheetId="62" r:id="rId58"/>
    <sheet name="M3-058" sheetId="63" r:id="rId59"/>
    <sheet name="M3-059" sheetId="64" r:id="rId60"/>
    <sheet name="M3-060" sheetId="65" r:id="rId61"/>
    <sheet name="M3-075" sheetId="2" r:id="rId62"/>
    <sheet name="M3-061" sheetId="66" r:id="rId63"/>
    <sheet name="M3-106" sheetId="6" r:id="rId64"/>
    <sheet name="M3-062" sheetId="67" r:id="rId65"/>
    <sheet name="M3-063" sheetId="68" r:id="rId66"/>
    <sheet name="M3-064" sheetId="69" r:id="rId67"/>
    <sheet name="M3-065" sheetId="70" r:id="rId68"/>
    <sheet name="M3-066" sheetId="71" r:id="rId69"/>
    <sheet name="M3-067" sheetId="72" r:id="rId70"/>
    <sheet name="M3-068" sheetId="78" r:id="rId71"/>
    <sheet name="M3-070" sheetId="79" r:id="rId72"/>
    <sheet name="M3-071" sheetId="80" r:id="rId73"/>
    <sheet name="M3-072" sheetId="81" r:id="rId74"/>
    <sheet name="M3-074" sheetId="82" r:id="rId75"/>
    <sheet name="M3-076" sheetId="83" r:id="rId76"/>
    <sheet name="M3-078" sheetId="85" r:id="rId77"/>
    <sheet name="M3-107" sheetId="7" r:id="rId78"/>
    <sheet name="M3-079" sheetId="86" r:id="rId79"/>
    <sheet name="M3-080" sheetId="87" r:id="rId80"/>
    <sheet name="M3-081" sheetId="88" r:id="rId81"/>
    <sheet name="M3-082" sheetId="90" r:id="rId82"/>
    <sheet name="M3-083" sheetId="91" r:id="rId83"/>
    <sheet name="M3-084" sheetId="92" r:id="rId84"/>
    <sheet name="M3-085" sheetId="93" r:id="rId85"/>
    <sheet name="M3-087" sheetId="95" r:id="rId86"/>
    <sheet name="M3-108" sheetId="4" r:id="rId87"/>
    <sheet name="M3-088" sheetId="96" r:id="rId88"/>
    <sheet name="M3-089" sheetId="97" r:id="rId89"/>
    <sheet name="M3-092" sheetId="100" r:id="rId90"/>
    <sheet name="M3-093" sheetId="101" r:id="rId91"/>
    <sheet name="M3-094" sheetId="102" r:id="rId92"/>
    <sheet name="M3-091" sheetId="99" r:id="rId93"/>
    <sheet name="M3-095" sheetId="103" r:id="rId94"/>
    <sheet name="M3-096" sheetId="104" r:id="rId95"/>
    <sheet name="M3-097" sheetId="105" r:id="rId96"/>
    <sheet name="M3-098" sheetId="106" r:id="rId97"/>
    <sheet name="M3-099" sheetId="107" r:id="rId98"/>
    <sheet name="M3-100" sheetId="108" r:id="rId99"/>
    <sheet name="M3-090" sheetId="98" r:id="rId100"/>
    <sheet name="M3-101" sheetId="109" r:id="rId101"/>
    <sheet name="M3-103" sheetId="111" r:id="rId102"/>
    <sheet name="M3-104" sheetId="112" r:id="rId103"/>
    <sheet name="M3-105" sheetId="113" r:id="rId104"/>
    <sheet name="M3-102" sheetId="110" r:id="rId105"/>
  </sheets>
  <definedNames>
    <definedName name="_xlnm._FilterDatabase" localSheetId="0" hidden="1">Índice!$A$1:$H$109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2" i="91" l="1"/>
  <c r="C11" i="113"/>
  <c r="B11" i="113"/>
  <c r="D10" i="112"/>
  <c r="D11" i="112"/>
  <c r="D12" i="112"/>
  <c r="D6" i="112"/>
  <c r="D7" i="112"/>
  <c r="D8" i="112"/>
  <c r="D9" i="112"/>
  <c r="D5" i="112"/>
  <c r="C13" i="112"/>
  <c r="B13" i="112"/>
  <c r="C8" i="111"/>
  <c r="B8" i="111"/>
  <c r="C43" i="109"/>
  <c r="B43" i="109"/>
  <c r="B14" i="108"/>
  <c r="C16" i="107"/>
  <c r="B16" i="107"/>
  <c r="C11" i="107"/>
  <c r="B11" i="107"/>
  <c r="C6" i="107"/>
  <c r="B6" i="107"/>
  <c r="C4" i="107"/>
  <c r="B4" i="107"/>
  <c r="B12" i="106"/>
  <c r="C18" i="105"/>
  <c r="E18" i="105"/>
  <c r="F18" i="105"/>
  <c r="H18" i="105"/>
  <c r="I18" i="105"/>
  <c r="K18" i="105"/>
  <c r="L18" i="105"/>
  <c r="N18" i="105"/>
  <c r="O18" i="105"/>
  <c r="Q18" i="105"/>
  <c r="R18" i="105"/>
  <c r="T18" i="105"/>
  <c r="U18" i="105"/>
  <c r="B18" i="105"/>
  <c r="C17" i="104"/>
  <c r="D17" i="104"/>
  <c r="E17" i="104"/>
  <c r="B17" i="104"/>
  <c r="C12" i="103"/>
  <c r="B12" i="103"/>
  <c r="C31" i="101"/>
  <c r="B31" i="101"/>
  <c r="C13" i="100"/>
  <c r="D13" i="100"/>
  <c r="B13" i="100"/>
  <c r="C14" i="99"/>
  <c r="D14" i="99"/>
  <c r="F14" i="99"/>
  <c r="G14" i="99"/>
  <c r="I14" i="99"/>
  <c r="J14" i="99"/>
  <c r="B14" i="99"/>
  <c r="C15" i="98"/>
  <c r="D15" i="98"/>
  <c r="E15" i="98"/>
  <c r="B15" i="98"/>
  <c r="E17" i="102"/>
  <c r="D17" i="102"/>
  <c r="C17" i="102"/>
  <c r="B17" i="102"/>
  <c r="B10" i="96"/>
  <c r="C6" i="95"/>
  <c r="B6" i="95"/>
  <c r="C7" i="93"/>
  <c r="B7" i="93"/>
  <c r="B22" i="92"/>
  <c r="C17" i="90"/>
  <c r="D17" i="90"/>
  <c r="E17" i="90"/>
  <c r="F17" i="90"/>
  <c r="B17" i="90"/>
  <c r="D13" i="112" l="1"/>
  <c r="B21" i="107"/>
  <c r="C21" i="107"/>
  <c r="C17" i="85"/>
  <c r="D17" i="85"/>
  <c r="E17" i="85"/>
  <c r="B17" i="85"/>
  <c r="B5" i="7"/>
  <c r="C11" i="87"/>
  <c r="B11" i="87"/>
  <c r="C10" i="86"/>
  <c r="B10" i="86"/>
  <c r="H17" i="83"/>
  <c r="I17" i="83"/>
  <c r="C17" i="83"/>
  <c r="D17" i="83"/>
  <c r="E17" i="83"/>
  <c r="F17" i="83"/>
  <c r="B17" i="83"/>
  <c r="C11" i="82"/>
  <c r="B11" i="82"/>
  <c r="C39" i="80" l="1"/>
  <c r="B39" i="80"/>
  <c r="D166" i="79"/>
  <c r="D164" i="79"/>
  <c r="D162" i="79"/>
  <c r="D160" i="79"/>
  <c r="D158" i="79"/>
  <c r="D156" i="79"/>
  <c r="D154" i="79"/>
  <c r="D150" i="79"/>
  <c r="D144" i="79"/>
  <c r="D140" i="79"/>
  <c r="D136" i="79"/>
  <c r="D132" i="79"/>
  <c r="D129" i="79"/>
  <c r="D126" i="79"/>
  <c r="D123" i="79"/>
  <c r="D119" i="79"/>
  <c r="D115" i="79"/>
  <c r="D111" i="79"/>
  <c r="D107" i="79"/>
  <c r="D103" i="79"/>
  <c r="D100" i="79"/>
  <c r="D97" i="79"/>
  <c r="D91" i="79"/>
  <c r="D88" i="79"/>
  <c r="D85" i="79"/>
  <c r="D82" i="79"/>
  <c r="D78" i="79"/>
  <c r="D75" i="79"/>
  <c r="D71" i="79"/>
  <c r="D68" i="79"/>
  <c r="D64" i="79"/>
  <c r="D61" i="79"/>
  <c r="D58" i="79"/>
  <c r="D56" i="79"/>
  <c r="D54" i="79"/>
  <c r="D51" i="79"/>
  <c r="D49" i="79"/>
  <c r="D46" i="79"/>
  <c r="D44" i="79"/>
  <c r="D41" i="79"/>
  <c r="D35" i="79"/>
  <c r="D31" i="79"/>
  <c r="D25" i="79"/>
  <c r="D21" i="79"/>
  <c r="D14" i="79"/>
  <c r="D12" i="79"/>
  <c r="D10" i="79"/>
  <c r="D5" i="79"/>
  <c r="E19" i="78"/>
  <c r="D19" i="78"/>
  <c r="C19" i="78"/>
  <c r="F18" i="78"/>
  <c r="F17" i="78"/>
  <c r="F16" i="78"/>
  <c r="F15" i="78"/>
  <c r="F13" i="78"/>
  <c r="F12" i="78"/>
  <c r="F11" i="78"/>
  <c r="F10" i="78"/>
  <c r="F9" i="78"/>
  <c r="F8" i="78"/>
  <c r="F7" i="78"/>
  <c r="F6" i="78"/>
  <c r="C11" i="72"/>
  <c r="D11" i="72"/>
  <c r="B11" i="72"/>
  <c r="C18" i="71"/>
  <c r="D18" i="71"/>
  <c r="E18" i="71"/>
  <c r="B18" i="71"/>
  <c r="C37" i="69"/>
  <c r="C34" i="69"/>
  <c r="C30" i="69"/>
  <c r="C20" i="69"/>
  <c r="C4" i="69"/>
  <c r="D6" i="68"/>
  <c r="C6" i="68"/>
  <c r="D4" i="68"/>
  <c r="C4" i="68"/>
  <c r="C17" i="67"/>
  <c r="D17" i="67"/>
  <c r="E17" i="67"/>
  <c r="F17" i="67"/>
  <c r="B17" i="67"/>
  <c r="F10" i="70"/>
  <c r="C8" i="66"/>
  <c r="D8" i="66"/>
  <c r="E8" i="66"/>
  <c r="B8" i="66"/>
  <c r="C18" i="65"/>
  <c r="D18" i="65"/>
  <c r="E18" i="65"/>
  <c r="B18" i="65"/>
  <c r="B18" i="64"/>
  <c r="D18" i="64"/>
  <c r="E18" i="64"/>
  <c r="G18" i="64"/>
  <c r="H18" i="64"/>
  <c r="C18" i="64"/>
  <c r="C18" i="63"/>
  <c r="D18" i="63"/>
  <c r="E18" i="63"/>
  <c r="B18" i="63"/>
  <c r="C31" i="62"/>
  <c r="C29" i="62"/>
  <c r="C26" i="62"/>
  <c r="C23" i="62"/>
  <c r="C19" i="62"/>
  <c r="C17" i="62"/>
  <c r="C15" i="62"/>
  <c r="C10" i="62"/>
  <c r="C4" i="62"/>
  <c r="F6" i="61"/>
  <c r="F7" i="61"/>
  <c r="F8" i="61"/>
  <c r="F9" i="61"/>
  <c r="F10" i="61"/>
  <c r="F11" i="61"/>
  <c r="F12" i="61"/>
  <c r="F13" i="61"/>
  <c r="F14" i="61"/>
  <c r="F15" i="61"/>
  <c r="F16" i="61"/>
  <c r="F17" i="61"/>
  <c r="F18" i="61"/>
  <c r="F19" i="61"/>
  <c r="F20" i="61"/>
  <c r="F21" i="61"/>
  <c r="F22" i="61"/>
  <c r="F23" i="61"/>
  <c r="F24" i="61"/>
  <c r="F5" i="61"/>
  <c r="C25" i="61"/>
  <c r="D25" i="61"/>
  <c r="E25" i="61"/>
  <c r="B25" i="61"/>
  <c r="C24" i="60"/>
  <c r="B24" i="60"/>
  <c r="B13" i="59"/>
  <c r="F19" i="78" l="1"/>
  <c r="D168" i="79"/>
  <c r="C39" i="69"/>
  <c r="C11" i="68"/>
  <c r="D11" i="68"/>
  <c r="C34" i="62"/>
  <c r="F25" i="61"/>
  <c r="E25" i="53"/>
  <c r="C18" i="52" l="1"/>
  <c r="D18" i="52"/>
  <c r="E18" i="52"/>
  <c r="F18" i="52"/>
  <c r="G18" i="52"/>
  <c r="B18" i="52"/>
  <c r="I10" i="51"/>
  <c r="I5" i="51"/>
  <c r="I6" i="51"/>
  <c r="I7" i="51"/>
  <c r="I8" i="51"/>
  <c r="I9" i="51"/>
  <c r="I4" i="51"/>
  <c r="H5" i="51"/>
  <c r="H6" i="51"/>
  <c r="H7" i="51"/>
  <c r="H8" i="51"/>
  <c r="H9" i="51"/>
  <c r="H10" i="51"/>
  <c r="H4" i="51"/>
  <c r="C11" i="51"/>
  <c r="D11" i="51"/>
  <c r="E11" i="51"/>
  <c r="F11" i="51"/>
  <c r="G11" i="51"/>
  <c r="B11" i="51"/>
  <c r="I18" i="52" l="1"/>
  <c r="H18" i="52"/>
  <c r="I11" i="51"/>
  <c r="H11" i="51"/>
  <c r="I4" i="25"/>
  <c r="D5" i="8"/>
  <c r="E18" i="6"/>
  <c r="I5" i="49"/>
  <c r="I6" i="49"/>
  <c r="I7" i="49"/>
  <c r="I8" i="49"/>
  <c r="I9" i="49"/>
  <c r="I10" i="49"/>
  <c r="I11" i="49"/>
  <c r="I12" i="49"/>
  <c r="I13" i="49"/>
  <c r="I14" i="49"/>
  <c r="I15" i="49"/>
  <c r="I16" i="49"/>
  <c r="I17" i="49"/>
  <c r="I18" i="49"/>
  <c r="I4" i="49"/>
  <c r="H5" i="49"/>
  <c r="H6" i="49"/>
  <c r="H7" i="49"/>
  <c r="H8" i="49"/>
  <c r="H9" i="49"/>
  <c r="H10" i="49"/>
  <c r="H11" i="49"/>
  <c r="H12" i="49"/>
  <c r="H13" i="49"/>
  <c r="H14" i="49"/>
  <c r="H15" i="49"/>
  <c r="H16" i="49"/>
  <c r="H17" i="49"/>
  <c r="H18" i="49"/>
  <c r="H4" i="49"/>
  <c r="I5" i="50"/>
  <c r="I6" i="50"/>
  <c r="I7" i="50"/>
  <c r="I8" i="50"/>
  <c r="I9" i="50"/>
  <c r="I10" i="50"/>
  <c r="I4" i="50"/>
  <c r="C11" i="50"/>
  <c r="D11" i="50"/>
  <c r="E11" i="50"/>
  <c r="F11" i="50"/>
  <c r="G11" i="50"/>
  <c r="H11" i="50"/>
  <c r="B11" i="50"/>
  <c r="C19" i="49"/>
  <c r="D19" i="49"/>
  <c r="E19" i="49"/>
  <c r="F19" i="49"/>
  <c r="G19" i="49"/>
  <c r="B19" i="49"/>
  <c r="C15" i="47"/>
  <c r="D15" i="47"/>
  <c r="B15" i="47"/>
  <c r="C15" i="46"/>
  <c r="D15" i="46"/>
  <c r="B15" i="46"/>
  <c r="C21" i="45"/>
  <c r="D21" i="45"/>
  <c r="E21" i="45"/>
  <c r="I19" i="49" l="1"/>
  <c r="H19" i="49"/>
  <c r="I11" i="50"/>
  <c r="B21" i="45"/>
  <c r="B7" i="31" l="1"/>
  <c r="B18" i="43"/>
  <c r="B9" i="42"/>
  <c r="E10" i="41"/>
  <c r="D10" i="41"/>
  <c r="C10" i="41"/>
  <c r="B10" i="41"/>
  <c r="C24" i="40"/>
  <c r="C26" i="40" s="1"/>
  <c r="B24" i="40"/>
  <c r="B26" i="40" s="1"/>
  <c r="C24" i="39"/>
  <c r="C26" i="39" s="1"/>
  <c r="B24" i="39"/>
  <c r="B26" i="39" s="1"/>
  <c r="C24" i="38"/>
  <c r="C26" i="38" s="1"/>
  <c r="B24" i="38"/>
  <c r="B26" i="38" s="1"/>
  <c r="C14" i="37"/>
  <c r="C16" i="37" s="1"/>
  <c r="B14" i="37"/>
  <c r="B16" i="37" s="1"/>
  <c r="C14" i="36"/>
  <c r="C16" i="36" s="1"/>
  <c r="B14" i="36"/>
  <c r="B16" i="36" s="1"/>
  <c r="C14" i="35"/>
  <c r="C16" i="35" s="1"/>
  <c r="B14" i="35"/>
  <c r="B16" i="35" s="1"/>
  <c r="C14" i="34"/>
  <c r="C16" i="34" s="1"/>
  <c r="B14" i="34"/>
  <c r="B16" i="34" s="1"/>
  <c r="C14" i="33"/>
  <c r="C16" i="33" s="1"/>
  <c r="B14" i="33"/>
  <c r="B16" i="33" s="1"/>
  <c r="C9" i="32"/>
  <c r="C4" i="32"/>
  <c r="D7" i="31"/>
  <c r="C7" i="31"/>
  <c r="C11" i="30"/>
  <c r="B11" i="30"/>
  <c r="D11" i="29"/>
  <c r="C11" i="29"/>
  <c r="B11" i="29"/>
  <c r="E10" i="29"/>
  <c r="E9" i="29"/>
  <c r="E8" i="29"/>
  <c r="E7" i="29"/>
  <c r="E6" i="29"/>
  <c r="E5" i="29"/>
  <c r="E4" i="29"/>
  <c r="E18" i="28"/>
  <c r="D18" i="28"/>
  <c r="C18" i="28"/>
  <c r="B17" i="28"/>
  <c r="B16" i="28"/>
  <c r="B15" i="28"/>
  <c r="B14" i="28"/>
  <c r="B13" i="28"/>
  <c r="B12" i="28"/>
  <c r="B11" i="28"/>
  <c r="B10" i="28"/>
  <c r="B9" i="28"/>
  <c r="B8" i="28"/>
  <c r="B7" i="28"/>
  <c r="B6" i="28"/>
  <c r="B5" i="28"/>
  <c r="G17" i="27"/>
  <c r="F17" i="27"/>
  <c r="E17" i="27"/>
  <c r="D17" i="27"/>
  <c r="C17" i="27"/>
  <c r="B16" i="27"/>
  <c r="B15" i="27"/>
  <c r="B14" i="27"/>
  <c r="B13" i="27"/>
  <c r="B12" i="27"/>
  <c r="B11" i="27"/>
  <c r="B10" i="27"/>
  <c r="B9" i="27"/>
  <c r="B8" i="27"/>
  <c r="B7" i="27"/>
  <c r="B6" i="27"/>
  <c r="B5" i="27"/>
  <c r="F18" i="26"/>
  <c r="E18" i="26"/>
  <c r="D18" i="26"/>
  <c r="C18" i="26"/>
  <c r="B18" i="26"/>
  <c r="I17" i="26"/>
  <c r="H17" i="26"/>
  <c r="I16" i="26"/>
  <c r="H16" i="26"/>
  <c r="I15" i="26"/>
  <c r="H15" i="26"/>
  <c r="I14" i="26"/>
  <c r="H14" i="26"/>
  <c r="I13" i="26"/>
  <c r="H13" i="26"/>
  <c r="I12" i="26"/>
  <c r="H12" i="26"/>
  <c r="I11" i="26"/>
  <c r="H11" i="26"/>
  <c r="I10" i="26"/>
  <c r="H10" i="26"/>
  <c r="I9" i="26"/>
  <c r="H9" i="26"/>
  <c r="I8" i="26"/>
  <c r="H8" i="26"/>
  <c r="I7" i="26"/>
  <c r="H7" i="26"/>
  <c r="I6" i="26"/>
  <c r="H6" i="26"/>
  <c r="I5" i="26"/>
  <c r="H5" i="26"/>
  <c r="I18" i="25"/>
  <c r="I17" i="25"/>
  <c r="I16" i="25"/>
  <c r="I15" i="25"/>
  <c r="I14" i="25"/>
  <c r="I13" i="25"/>
  <c r="I12" i="25"/>
  <c r="I11" i="25"/>
  <c r="I10" i="25"/>
  <c r="I9" i="25"/>
  <c r="I8" i="25"/>
  <c r="I7" i="25"/>
  <c r="I6" i="25"/>
  <c r="I5" i="25"/>
  <c r="J13" i="24"/>
  <c r="J12" i="24"/>
  <c r="J11" i="24"/>
  <c r="J10" i="24"/>
  <c r="J9" i="24"/>
  <c r="J8" i="24"/>
  <c r="J7" i="24"/>
  <c r="J6" i="24"/>
  <c r="J5" i="24"/>
  <c r="J17" i="23"/>
  <c r="J16" i="23"/>
  <c r="J15" i="23"/>
  <c r="J14" i="23"/>
  <c r="J13" i="23"/>
  <c r="I12" i="23"/>
  <c r="H12" i="23"/>
  <c r="G12" i="23"/>
  <c r="F12" i="23"/>
  <c r="D12" i="23"/>
  <c r="C12" i="23"/>
  <c r="B12" i="23"/>
  <c r="J11" i="23"/>
  <c r="J10" i="23"/>
  <c r="J9" i="23"/>
  <c r="J8" i="23"/>
  <c r="J7" i="23"/>
  <c r="J6" i="23"/>
  <c r="I5" i="23"/>
  <c r="H5" i="23"/>
  <c r="G5" i="23"/>
  <c r="F5" i="23"/>
  <c r="D5" i="23"/>
  <c r="C5" i="23"/>
  <c r="B5" i="23"/>
  <c r="M18" i="22"/>
  <c r="L18" i="22"/>
  <c r="K18" i="22"/>
  <c r="H18" i="22"/>
  <c r="E18" i="22"/>
  <c r="B18" i="22"/>
  <c r="B16" i="21"/>
  <c r="B16" i="20"/>
  <c r="D17" i="19"/>
  <c r="C17" i="19"/>
  <c r="B17" i="19"/>
  <c r="E17" i="18"/>
  <c r="D17" i="18"/>
  <c r="C17" i="18"/>
  <c r="B17" i="18"/>
  <c r="E17" i="17"/>
  <c r="D17" i="17"/>
  <c r="C17" i="17"/>
  <c r="B17" i="17"/>
  <c r="F5" i="16"/>
  <c r="E5" i="16"/>
  <c r="D5" i="16"/>
  <c r="C5" i="16"/>
  <c r="D6" i="15"/>
  <c r="C6" i="15"/>
  <c r="B6" i="15"/>
  <c r="E17" i="14"/>
  <c r="D17" i="14"/>
  <c r="C17" i="14"/>
  <c r="B17" i="14"/>
  <c r="H17" i="13"/>
  <c r="F17" i="13"/>
  <c r="B17" i="13"/>
  <c r="J16" i="13"/>
  <c r="J15" i="13"/>
  <c r="J14" i="13"/>
  <c r="J13" i="13"/>
  <c r="J12" i="13"/>
  <c r="J11" i="13"/>
  <c r="J10" i="13"/>
  <c r="J9" i="13"/>
  <c r="J8" i="13"/>
  <c r="J7" i="13"/>
  <c r="J6" i="13"/>
  <c r="J5" i="13"/>
  <c r="J4" i="13"/>
  <c r="G15" i="12"/>
  <c r="F15" i="12"/>
  <c r="E15" i="12"/>
  <c r="D15" i="12"/>
  <c r="C15" i="12"/>
  <c r="B15" i="12"/>
  <c r="H14" i="12"/>
  <c r="H13" i="12"/>
  <c r="H12" i="12"/>
  <c r="H11" i="12"/>
  <c r="H10" i="12"/>
  <c r="H9" i="12"/>
  <c r="H8" i="12"/>
  <c r="H7" i="12"/>
  <c r="H6" i="12"/>
  <c r="H5" i="12"/>
  <c r="H4" i="12"/>
  <c r="C17" i="11"/>
  <c r="B17" i="11"/>
  <c r="C18" i="10"/>
  <c r="D18" i="10"/>
  <c r="E18" i="10"/>
  <c r="F18" i="10"/>
  <c r="B18" i="10"/>
  <c r="G18" i="10"/>
  <c r="B13" i="9"/>
  <c r="B4" i="9"/>
  <c r="D6" i="8"/>
  <c r="D7" i="8"/>
  <c r="D8" i="8"/>
  <c r="D9" i="8"/>
  <c r="D10" i="8"/>
  <c r="B11" i="8"/>
  <c r="C11" i="8"/>
  <c r="C18" i="6"/>
  <c r="D18" i="6"/>
  <c r="B18" i="6"/>
  <c r="N6" i="5"/>
  <c r="O6" i="5"/>
  <c r="N7" i="5"/>
  <c r="O7" i="5"/>
  <c r="N8" i="5"/>
  <c r="O8" i="5"/>
  <c r="N9" i="5"/>
  <c r="O9" i="5"/>
  <c r="N10" i="5"/>
  <c r="O10" i="5"/>
  <c r="N11" i="5"/>
  <c r="O11" i="5"/>
  <c r="N12" i="5"/>
  <c r="O12" i="5"/>
  <c r="N13" i="5"/>
  <c r="O13" i="5"/>
  <c r="N14" i="5"/>
  <c r="O14" i="5"/>
  <c r="N15" i="5"/>
  <c r="O15" i="5"/>
  <c r="N16" i="5"/>
  <c r="O16" i="5"/>
  <c r="N17" i="5"/>
  <c r="O17" i="5"/>
  <c r="O5" i="5"/>
  <c r="N5" i="5"/>
  <c r="B18" i="5"/>
  <c r="C18" i="5"/>
  <c r="L18" i="5"/>
  <c r="K18" i="5"/>
  <c r="I18" i="5"/>
  <c r="H18" i="5"/>
  <c r="F18" i="5"/>
  <c r="E18" i="5"/>
  <c r="D23" i="3"/>
  <c r="E23" i="3"/>
  <c r="C23" i="3"/>
  <c r="D19" i="3"/>
  <c r="E19" i="3"/>
  <c r="C19" i="3"/>
  <c r="D9" i="3"/>
  <c r="E9" i="3"/>
  <c r="F24" i="3"/>
  <c r="F23" i="3" s="1"/>
  <c r="F21" i="3"/>
  <c r="F22" i="3"/>
  <c r="F20" i="3"/>
  <c r="F8" i="3"/>
  <c r="F10" i="3"/>
  <c r="F11" i="3"/>
  <c r="F12" i="3"/>
  <c r="F13" i="3"/>
  <c r="F14" i="3"/>
  <c r="F15" i="3"/>
  <c r="F16" i="3"/>
  <c r="F17" i="3"/>
  <c r="F7" i="3"/>
  <c r="C9" i="3"/>
  <c r="D6" i="3"/>
  <c r="E6" i="3"/>
  <c r="C6" i="3"/>
  <c r="D11" i="8" l="1"/>
  <c r="D18" i="23"/>
  <c r="F18" i="23"/>
  <c r="J5" i="23"/>
  <c r="E11" i="29"/>
  <c r="G18" i="23"/>
  <c r="H18" i="23"/>
  <c r="I18" i="23"/>
  <c r="J12" i="23"/>
  <c r="H18" i="26"/>
  <c r="I18" i="26"/>
  <c r="B18" i="23"/>
  <c r="C18" i="23"/>
  <c r="B18" i="28"/>
  <c r="B17" i="27"/>
  <c r="H15" i="12"/>
  <c r="J17" i="13"/>
  <c r="B24" i="9"/>
  <c r="N18" i="5"/>
  <c r="O18" i="5"/>
  <c r="F19" i="3"/>
  <c r="F9" i="3"/>
  <c r="F6" i="3"/>
  <c r="J18" i="23" l="1"/>
</calcChain>
</file>

<file path=xl/sharedStrings.xml><?xml version="1.0" encoding="utf-8"?>
<sst xmlns="http://schemas.openxmlformats.org/spreadsheetml/2006/main" count="2988" uniqueCount="1491">
  <si>
    <t>PROGRAMA</t>
  </si>
  <si>
    <t>INVERSIÓN  (PESOS)</t>
  </si>
  <si>
    <t>ESTATAL</t>
  </si>
  <si>
    <t>FEDERAL</t>
  </si>
  <si>
    <t>Formación Jaguar a/</t>
  </si>
  <si>
    <t>Útiles Jaguar</t>
  </si>
  <si>
    <t>Uniformes Jaguar</t>
  </si>
  <si>
    <t>Computadora Jaguar</t>
  </si>
  <si>
    <t>Inclusión Productiva</t>
  </si>
  <si>
    <t>Desarrollo y Bienestar</t>
  </si>
  <si>
    <t>¡Titúlate ya!</t>
  </si>
  <si>
    <t>Emprender Contigo b/</t>
  </si>
  <si>
    <t>Inclusión Productiva c/</t>
  </si>
  <si>
    <t>Bienestar para los Espacios Comunitarios d/</t>
  </si>
  <si>
    <t>Hogares en Bienestar e/</t>
  </si>
  <si>
    <t>Comunidad Modelo f/</t>
  </si>
  <si>
    <t>¡No estás Sola! g/</t>
  </si>
  <si>
    <t>Seguridad Alimentaria h/</t>
  </si>
  <si>
    <t>Territorio Jaguar i/</t>
  </si>
  <si>
    <t>Bienestar Social j/</t>
  </si>
  <si>
    <t>Comunidades en Transformación k/</t>
  </si>
  <si>
    <t>Bienestar para Grupos Prioritarios</t>
  </si>
  <si>
    <t>Apoyos a Grupos Prioritarios l/</t>
  </si>
  <si>
    <t>Espacios Recreativos para el Bienestar m/</t>
  </si>
  <si>
    <t>Territorio Jaguar Contigo n/</t>
  </si>
  <si>
    <t>Fuente: Gobierno del Estado de Campeche. Secretaría de Bienestar. 2026.</t>
  </si>
  <si>
    <t>Nota: Las cifras que se presentan en esta tabla Resumen de Inversión corresponde a lo reportado en el Quinto Informe de Gobierno (julio a diciembre del 2025)</t>
  </si>
  <si>
    <t>TIPO DE ATENCIÓN/PREVENCIÓN</t>
  </si>
  <si>
    <t>ACTIVIDAD</t>
  </si>
  <si>
    <t>ACCIONES</t>
  </si>
  <si>
    <t>POBLACIÓN BENEFICIADA</t>
  </si>
  <si>
    <t xml:space="preserve"> MUJER</t>
  </si>
  <si>
    <t>HOMBRE</t>
  </si>
  <si>
    <t>TOTAL</t>
  </si>
  <si>
    <t>Acciones de atención</t>
  </si>
  <si>
    <t>Atención médica</t>
  </si>
  <si>
    <t>Consulta médica</t>
  </si>
  <si>
    <t>Valoraciones médicas</t>
  </si>
  <si>
    <t>Atención psicológica</t>
  </si>
  <si>
    <t>Consulta por primera vez</t>
  </si>
  <si>
    <t>Terapia individual</t>
  </si>
  <si>
    <t>Terapia grupal</t>
  </si>
  <si>
    <t>Terapia familiar</t>
  </si>
  <si>
    <t>Talleres</t>
  </si>
  <si>
    <t>Sesiones de grupos de autoayuda</t>
  </si>
  <si>
    <t>Sesiones de prevención de recaídas</t>
  </si>
  <si>
    <t>Atención de la línea "VIVIRÉ"</t>
  </si>
  <si>
    <t>Acciones de prevención</t>
  </si>
  <si>
    <t>Acciones de población escolarizada</t>
  </si>
  <si>
    <t>Acciones de atención a la discapacidad</t>
  </si>
  <si>
    <t>Sesiones de prevención del consumo inicial</t>
  </si>
  <si>
    <t>Actividades de cultura preventiva de adicciones</t>
  </si>
  <si>
    <t>Sesiones para la salud de población adulta</t>
  </si>
  <si>
    <t>Talleres de prevención de adicciones</t>
  </si>
  <si>
    <t xml:space="preserve"> Acciones, actividades y población beneficiada de la atención y prevención contra las adicciones en el SANNAFARM Vida Nueva por tipo, 2025.</t>
  </si>
  <si>
    <t>Fuente: Gobierno del Estado de Campeche. Secretaría de Salud. Instituto de Servicios Descentralizados de Salud Pública. 2026.</t>
  </si>
  <si>
    <t>Atención brindada a personas en situación de calle y/o abandono social, 2025.</t>
  </si>
  <si>
    <t>TIPO DE ATENCIÓN/SERVICIO PROPORCIONADO</t>
  </si>
  <si>
    <t>PERSONAS BENEFICIADAS</t>
  </si>
  <si>
    <t>Servicios de alimentación en comedor comunitario</t>
  </si>
  <si>
    <t>Estancia en el albergue Ajo’olnaj (residencia, pernocta, atención médica, psicológica y trabajo social, alimentación)</t>
  </si>
  <si>
    <t>Atención en brigadas territoriales (alimentos, cobijas, atención médica)</t>
  </si>
  <si>
    <t>Reintegración al núcleo familiar / red de apoyo/  retorno a lugar de origen</t>
  </si>
  <si>
    <t>Acompañamientos/ Gestión de trámites de identidad / Canalización de servicios con otras instituciones</t>
  </si>
  <si>
    <t>MUNICIPIO</t>
  </si>
  <si>
    <t>EDUCACIÓN ESPECIAL a/</t>
  </si>
  <si>
    <t>BÁSICA b/</t>
  </si>
  <si>
    <t>MEDIA SUPERIOR c/</t>
  </si>
  <si>
    <t>SUPERIOR d/</t>
  </si>
  <si>
    <t xml:space="preserve"> BECAS OTORGADAS</t>
  </si>
  <si>
    <t>INVERSIÓN (PESOS)</t>
  </si>
  <si>
    <t>Calakmul</t>
  </si>
  <si>
    <t>Calkiní</t>
  </si>
  <si>
    <t>Campeche</t>
  </si>
  <si>
    <t>Candelaria</t>
  </si>
  <si>
    <t>Carmen</t>
  </si>
  <si>
    <t>Champotón</t>
  </si>
  <si>
    <t>Dzitbalché</t>
  </si>
  <si>
    <t>Escárcega</t>
  </si>
  <si>
    <t>Hecelchakán</t>
  </si>
  <si>
    <t>Hopelchén</t>
  </si>
  <si>
    <t>Palizada</t>
  </si>
  <si>
    <t>Seybaplaya</t>
  </si>
  <si>
    <t>Tenabo</t>
  </si>
  <si>
    <t>ESTADO</t>
  </si>
  <si>
    <t>a/ Incluye Becas para Centros de Atención Múltiple (CAM) - Unidad de Servicio de Apoyo a la Educación Regular (USAER).</t>
  </si>
  <si>
    <t>b/ Incluye Programas de apoyos económicos para la Educación Básica, Beca Jaguar Excelencia.</t>
  </si>
  <si>
    <t>c/ Incluye Programa de Becas para la Educación Media Superior.</t>
  </si>
  <si>
    <t>d/ Incluye Becas de Educación Superior (Supera), Educación Continua y los Programas de becas CONACYT, Cultura y Artes, Becas Crédito, Convenio Salud, Convenio UAC y Colegio de Postgraduados.</t>
  </si>
  <si>
    <t xml:space="preserve">Becas otorgadas por la Fundación Pablo García e inversión por municipio según nivel educativo, Ciclo Escolar 2025/2026.											</t>
  </si>
  <si>
    <t>Fuente: Secretaría de Educación. Fundación Pablo García. Dirección de Seguimiento de Becarios y Vinculación. 2026.</t>
  </si>
  <si>
    <t>Resumen de inversión  en programas de la Secretaría de Bienestar, según fuente de financiamiento, julio 2025 a junio 2026.</t>
  </si>
  <si>
    <t>BENEFICIARIOS</t>
  </si>
  <si>
    <t>Número de beneficiarios e inversión del Proyecto "Emprender Contigo" por municipio, julio 2025 a junio 2026.</t>
  </si>
  <si>
    <t>Nota: La inversión no incluye $923,033.00 de gastos de operación.</t>
  </si>
  <si>
    <t>LOCALIDADES</t>
  </si>
  <si>
    <t>MUJERES</t>
  </si>
  <si>
    <t>HOMBRES</t>
  </si>
  <si>
    <t>Servicios otorgados por las Abogadas de las Mujeres, 2025.</t>
  </si>
  <si>
    <t>SERVICIOS</t>
  </si>
  <si>
    <t>Atenciones Jurídicas</t>
  </si>
  <si>
    <t>Fuente: Gobierno del Estado de Campeche. Secretaria de Bienestar. Instituto de la Mujer del Estado de Campeche. 2026.</t>
  </si>
  <si>
    <t>TIPO DE EQUIPAMIENTO</t>
  </si>
  <si>
    <t>Equipo médico</t>
  </si>
  <si>
    <t>Maquinaria</t>
  </si>
  <si>
    <t>Mobiliario y equipo de oficina</t>
  </si>
  <si>
    <t>Otros mobiliarios y equipos administrativos</t>
  </si>
  <si>
    <t>Tecnologías</t>
  </si>
  <si>
    <t>Vehículos terrestres</t>
  </si>
  <si>
    <t>Fuente: Gobierno del estado de Campeche. Secretaría de Salud del Poder Ejecutivo. Instituto de Servicios Descentralizados de Salud Pública. 2026.</t>
  </si>
  <si>
    <t>Inversión en equipamiento por tipo, según nivel de gobierno, julio 2025 a junio 2026.</t>
  </si>
  <si>
    <t>FUENTE DE FINANCIAMIENTO</t>
  </si>
  <si>
    <t>Estatal</t>
  </si>
  <si>
    <t>Instituto de Servicios Descentralizados de Salud Pública del Estado de Campeche</t>
  </si>
  <si>
    <t>Hospital "Dr. Manuel Campos"</t>
  </si>
  <si>
    <t>Hospital Psiquiátrico de Campeche</t>
  </si>
  <si>
    <t>Sistema de Atención a Niños, Niñas y Adolescentes Farmacodependientes del Estado de Campeche "Vida Nueva"</t>
  </si>
  <si>
    <t>Secretaría de Salud</t>
  </si>
  <si>
    <t>Comisión de Conciliación y Arbitraje Médico del Estado de Campeche</t>
  </si>
  <si>
    <t>Administración de la Beneficiencia Pública del Estado de Campeche</t>
  </si>
  <si>
    <t>Comisión para la Protección Contra Riesgos Sanitarios del Estado de Campeche</t>
  </si>
  <si>
    <t>Federal</t>
  </si>
  <si>
    <t>U013 Prestación Gratuita de Servicios de Salud, Medicamentos y demás Insumos Asociados para las Personas Sin Seguridad Social</t>
  </si>
  <si>
    <t>Convenio Específico en Materia de Transferencias de Insumos y Ministración de Recursos SANAS</t>
  </si>
  <si>
    <t>Presupuesto ejercido en salud por fuente de financiamiento, julio 2025 a junio 2026.</t>
  </si>
  <si>
    <t>NORMAL</t>
  </si>
  <si>
    <t>DESNUTRICIÓN</t>
  </si>
  <si>
    <t>OBESIDAD Y SOBREPESO</t>
  </si>
  <si>
    <t>LEVE</t>
  </si>
  <si>
    <t>MODERADA</t>
  </si>
  <si>
    <t>SEVERA</t>
  </si>
  <si>
    <t>Niños menores de 5 años en control nutricional por municipio, 2025.</t>
  </si>
  <si>
    <t>U013 Prestación Gratuita de Servicios de Salud, Medicamentos y demás Insumos Asociados para las Personas Sin Seguridad Social ESPECIE</t>
  </si>
  <si>
    <t xml:space="preserve">CRESCA E025-CONASAMA-Campeche 2025 </t>
  </si>
  <si>
    <t xml:space="preserve">S200 Fortalecimiento a la Atencion Medica </t>
  </si>
  <si>
    <t>Fondo de Aportaciones para los Servicios de Salud (FASSA)</t>
  </si>
  <si>
    <t>Atender Compromisos para la Nómina del Personal de Contrato del CRUM</t>
  </si>
  <si>
    <t>Prevencion y Control del Dengue en el Estado de Campeche</t>
  </si>
  <si>
    <t>Renta de Inmuebles para Garantizar Espacios Adecuados para Funciones Administrativas</t>
  </si>
  <si>
    <t>Fortalecimiento a las Finanzas de Salud en el ejercicio 2025.</t>
  </si>
  <si>
    <t xml:space="preserve"> META</t>
  </si>
  <si>
    <t>DOSIS APLICADAS</t>
  </si>
  <si>
    <t>PORCENTAJE</t>
  </si>
  <si>
    <t>Cobertura sectorial de vacunación por Virus de Papiloma Humano por municipio, 2025.</t>
  </si>
  <si>
    <t>Dosis aplicadas de vacuna Influenza por grupo blanco por municipio, durante temporada invernal, sectorial, 2025.</t>
  </si>
  <si>
    <t>MENORES DE 5 AÑOS</t>
  </si>
  <si>
    <t>EMBARAZADAS</t>
  </si>
  <si>
    <t>PERSONAL DE SALUD</t>
  </si>
  <si>
    <t>MAYORES DE 60 AÑOS</t>
  </si>
  <si>
    <t>DE 20 AÑOS Y MÁS CON COMORBILIDADES</t>
  </si>
  <si>
    <t>OTROS</t>
  </si>
  <si>
    <t>Cobertura sectorial de vacunación en niños de 0 a 6 años por municipio, 2025.</t>
  </si>
  <si>
    <t>POBLACIÓN  MENOR A 1 AÑO</t>
  </si>
  <si>
    <t>COBERTURA</t>
  </si>
  <si>
    <t>POBLACIÓN DE 1 AÑO</t>
  </si>
  <si>
    <t>POBLACIÓN DE 4 AÑOS</t>
  </si>
  <si>
    <t>POBLACIÓN DE 6 AÑOS</t>
  </si>
  <si>
    <t>Acciones para el diagnóstico oportuno del cáncer de la mujer por municipio, 2025.</t>
  </si>
  <si>
    <t>EXPLORACIONES</t>
  </si>
  <si>
    <t>MASTOGRAFÍAS</t>
  </si>
  <si>
    <t>CITOLOGÍA VAGINAL</t>
  </si>
  <si>
    <t>VIRUS DEL PAPILOMA HUMANO</t>
  </si>
  <si>
    <t>Detección oportuna del VIH SIDA e ITS por CAPASITS, 2025.</t>
  </si>
  <si>
    <t>CAPASITS</t>
  </si>
  <si>
    <t>DETECCIONES (VIH)</t>
  </si>
  <si>
    <t>DETECCIONES (SÍFILIS)</t>
  </si>
  <si>
    <t>DETECCIONES (HEPATITIS C)</t>
  </si>
  <si>
    <t>Población beneficiada a través de las Acciones de Cuidado de la Salud Mental y la Prevención de Consumo de Sustancias Psicoactivas, 2025.</t>
  </si>
  <si>
    <t>TIPO DE ACCIÓN</t>
  </si>
  <si>
    <t>ACCIÓN</t>
  </si>
  <si>
    <t>NÚMERO DE ACCIONES</t>
  </si>
  <si>
    <t>Actividades de Prevención del consumo de sustancias y promoción de la salud mental</t>
  </si>
  <si>
    <t>Lugares reconocidos como espacios 100% libres de humo de tabaco y emisiones</t>
  </si>
  <si>
    <t>Organizaciones comunitarias</t>
  </si>
  <si>
    <t>Supervisiones a establecimientos residenciales registrados</t>
  </si>
  <si>
    <t>Tamizaje de Salud Mental a personal en formación</t>
  </si>
  <si>
    <t>Tamizaje para la detección oportuna del consumo de sustancias psicoactivas y diversas condiciones de salud mental</t>
  </si>
  <si>
    <t>Principales acciones para el control del dengue, zika y chikunguya por municipio, 2025.</t>
  </si>
  <si>
    <t>CASAS TRABAJADAS a/</t>
  </si>
  <si>
    <t>DEPÓSITOS ELIMINADOS</t>
  </si>
  <si>
    <t>HECTÁREAS NEBULIZADAS</t>
  </si>
  <si>
    <t>CASAS ROCIADAS b/</t>
  </si>
  <si>
    <t>a/ Casa visitada por el personal del programa específico para realizar acciones preventivas de control del mosquito, según el nivel de riesgo epidemiológico o entomológico identificado.</t>
  </si>
  <si>
    <t>b/ Casa intervenida  como respuesta a la notificación de un caso probable de dengue u otra arbovirosis, conforme al protocolo de vigilancia reactiva.</t>
  </si>
  <si>
    <t xml:space="preserve">
</t>
  </si>
  <si>
    <t>Principales acciones para el control del paludismo por municipio. 2025.</t>
  </si>
  <si>
    <t>GOTAS GRUESAS</t>
  </si>
  <si>
    <t>PUESTOS DE NOTIFICACIÓN PROMOVIDAS</t>
  </si>
  <si>
    <t>SISTEMAS ACUÁTICOS TRATADOS</t>
  </si>
  <si>
    <t>CASAS ROCIADAS</t>
  </si>
  <si>
    <t xml:space="preserve">Calakmul  </t>
  </si>
  <si>
    <t xml:space="preserve">Campeche </t>
  </si>
  <si>
    <t xml:space="preserve">Dzitbalché                          </t>
  </si>
  <si>
    <t>Acciones para el control de la rabia por municipio, 2025.</t>
  </si>
  <si>
    <t>VACUNACIÓN A MASCOTAS</t>
  </si>
  <si>
    <t>ESTERILIZACIÓN A MASCOTAS</t>
  </si>
  <si>
    <t>PERSONAS AGREDIDAS ATENDIDAS</t>
  </si>
  <si>
    <t>Nota: La esterilización canina y felina forma parte del programa de rabia y tiene como objetivo principal controlar la sobrepoblación de animales para reducir el riesgo de agresiones y, con ello, prevenir posibles contagios de rabia.</t>
  </si>
  <si>
    <t>Número de acciones de prevención para la salud por tipo, "Salud en tu barrio", acciones en territorio, 2025.</t>
  </si>
  <si>
    <t>Localidades nebulizadas para prevención del dengue</t>
  </si>
  <si>
    <t>Atención médica y gestión ciudadana</t>
  </si>
  <si>
    <t>Detecciones de enfermedades crónicas, de cáncer cervicouterino y de salud bucal</t>
  </si>
  <si>
    <t>Determinación de peso y talla</t>
  </si>
  <si>
    <t>Dosis aplicadas de vacuna antirrábica en caninos y felinos</t>
  </si>
  <si>
    <t>Dosis aplicadas de vacunas en menores de 8 años, adolescentes y adultos mayores</t>
  </si>
  <si>
    <t>Exploraciones clínicas de mama</t>
  </si>
  <si>
    <t>Número de personas participantes en activación física</t>
  </si>
  <si>
    <t>Número de personas sensibilizadas en programas prioritarios en Salud</t>
  </si>
  <si>
    <t>Número de personas orientadas en salud sexual y reproductiva</t>
  </si>
  <si>
    <t>Número de personas orientadas en temas de salud mental</t>
  </si>
  <si>
    <t>Pruebas de VIH, Sífilis y Hepatitis "C"</t>
  </si>
  <si>
    <t>Atenciones médicas prehospitalarias por mes, 2025.</t>
  </si>
  <si>
    <t>MES</t>
  </si>
  <si>
    <t>ATENCIONES</t>
  </si>
  <si>
    <t>Enero</t>
  </si>
  <si>
    <t>Febrero</t>
  </si>
  <si>
    <t>Marzo</t>
  </si>
  <si>
    <t>Abril</t>
  </si>
  <si>
    <t>Mayo</t>
  </si>
  <si>
    <t>Junio</t>
  </si>
  <si>
    <t>Julio</t>
  </si>
  <si>
    <t>Agosto</t>
  </si>
  <si>
    <t>Septiembre</t>
  </si>
  <si>
    <t>Octubre</t>
  </si>
  <si>
    <t>Noviembre</t>
  </si>
  <si>
    <t>Diciembre</t>
  </si>
  <si>
    <t>Recursos para la atención de la salud por municipio, según tipo, 2025.</t>
  </si>
  <si>
    <t>MÉDICOS</t>
  </si>
  <si>
    <t>ENFERMERAS</t>
  </si>
  <si>
    <t>ODONTÓLOGOS</t>
  </si>
  <si>
    <t>CAMAS HOSPITALARIAS</t>
  </si>
  <si>
    <t>NÚMERO</t>
  </si>
  <si>
    <t>POR MIL HABITANTES</t>
  </si>
  <si>
    <t xml:space="preserve"> CENSABLES</t>
  </si>
  <si>
    <t>NO CENSABLES</t>
  </si>
  <si>
    <t>Recursos humanos para la atención de la población, por tipo de personal, según derechohabiencia e institución, 2025.</t>
  </si>
  <si>
    <t>RECURSOS HUMANOS</t>
  </si>
  <si>
    <t>Con derechohabiencia</t>
  </si>
  <si>
    <t>Sin derechohabiencia</t>
  </si>
  <si>
    <t>IMSS</t>
  </si>
  <si>
    <t>ISSSTE</t>
  </si>
  <si>
    <t>PEMEX</t>
  </si>
  <si>
    <t>DIF</t>
  </si>
  <si>
    <t>INDESALUD</t>
  </si>
  <si>
    <t>PROGRAMA IMSS BIENESTAR</t>
  </si>
  <si>
    <t>SERVICIOS DE SALUD IMSS BIENESTAR</t>
  </si>
  <si>
    <t>Personal Médico</t>
  </si>
  <si>
    <t>Generales</t>
  </si>
  <si>
    <t xml:space="preserve">Especialistas </t>
  </si>
  <si>
    <t>Pasantes de medicina en servicio social</t>
  </si>
  <si>
    <t xml:space="preserve">Odontólogos </t>
  </si>
  <si>
    <t xml:space="preserve">Residentes </t>
  </si>
  <si>
    <t xml:space="preserve">En otras labores </t>
  </si>
  <si>
    <t>Personal de Enfermería</t>
  </si>
  <si>
    <t xml:space="preserve">Auxiliar </t>
  </si>
  <si>
    <t xml:space="preserve">General </t>
  </si>
  <si>
    <t xml:space="preserve">Especializado </t>
  </si>
  <si>
    <t xml:space="preserve">Pasantes </t>
  </si>
  <si>
    <t>Servicios otorgados por tipo, según derechohabiencia e institución, 2025.</t>
  </si>
  <si>
    <t>SERVICIO</t>
  </si>
  <si>
    <t>Atenciones odontológicas</t>
  </si>
  <si>
    <t>Atendidos en urgencias</t>
  </si>
  <si>
    <t>Consultas de planificación familiar</t>
  </si>
  <si>
    <t>Consultas generales</t>
  </si>
  <si>
    <t>Egresos hospitalarios</t>
  </si>
  <si>
    <t>Estudios de diagnóstico</t>
  </si>
  <si>
    <t>Intervenciones quirúrgicas</t>
  </si>
  <si>
    <t>Partos atendidos</t>
  </si>
  <si>
    <t>Pláticas de educación para la salud</t>
  </si>
  <si>
    <t>Infraestructura de salud por recurso, según institución, 2025.</t>
  </si>
  <si>
    <t>RECURSOS MATERIALES</t>
  </si>
  <si>
    <t>Ambulancias</t>
  </si>
  <si>
    <t>Áreas de rehabilitación</t>
  </si>
  <si>
    <t>Áreas de urgencias</t>
  </si>
  <si>
    <t xml:space="preserve">Banco de Sangre </t>
  </si>
  <si>
    <t>Camas censables</t>
  </si>
  <si>
    <t>Camas no censables</t>
  </si>
  <si>
    <t>Consultorios</t>
  </si>
  <si>
    <t>Farmacias</t>
  </si>
  <si>
    <t>Gabinetes radiológicos</t>
  </si>
  <si>
    <t>Incubadoras</t>
  </si>
  <si>
    <t>Laboratorios clínicos</t>
  </si>
  <si>
    <t>Quirófanos</t>
  </si>
  <si>
    <t>Salas de expulsión</t>
  </si>
  <si>
    <t>Terapia intensiva</t>
  </si>
  <si>
    <t>Unidades médicas</t>
  </si>
  <si>
    <t>Localidades, promotores y asistentes rurales de salud por municipio, según institución, 2025.</t>
  </si>
  <si>
    <t>SECRETARÍA DE SALUD</t>
  </si>
  <si>
    <t xml:space="preserve">TOTAL </t>
  </si>
  <si>
    <t xml:space="preserve"> PARS a/</t>
  </si>
  <si>
    <t>LOCALIDADES ATENDIDAS</t>
  </si>
  <si>
    <t>VOLUNTARIOS DE SALUD b/</t>
  </si>
  <si>
    <t>PARS Y ARS</t>
  </si>
  <si>
    <t>a/ Promotores Asistentes Rurales de Salud.</t>
  </si>
  <si>
    <t>b/ Voluntarios de Salud.</t>
  </si>
  <si>
    <t>Número de Unidades Médicas Móviles (UMM), localidades y beneficiados por municipio, 2025</t>
  </si>
  <si>
    <t>UMM</t>
  </si>
  <si>
    <t>LOCALIDADES BENEFICIADAS</t>
  </si>
  <si>
    <t>SECRETARIA DE SALUD</t>
  </si>
  <si>
    <t>PROGRAMA IMSS  BIENESTAR</t>
  </si>
  <si>
    <t>Número de casas de salud por municipio, según programa, 2025.</t>
  </si>
  <si>
    <t>CASAS DE SALUD</t>
  </si>
  <si>
    <t>Servicios de salud a personas privadas de la libertad, 2025.</t>
  </si>
  <si>
    <t xml:space="preserve">SERVICIOS  </t>
  </si>
  <si>
    <t>CE.PE. KOBÉN</t>
  </si>
  <si>
    <t>CE.PE. CARMEN</t>
  </si>
  <si>
    <t>UNIDAD ADMINISTRATIVA KILA</t>
  </si>
  <si>
    <t>Consultas de medicina general</t>
  </si>
  <si>
    <t>Atenciones de psiquiatría</t>
  </si>
  <si>
    <t>Atenciones de odontología</t>
  </si>
  <si>
    <t>Estudios de laboratorio</t>
  </si>
  <si>
    <t>Estudios de gabinete</t>
  </si>
  <si>
    <t>Pacientes referidos</t>
  </si>
  <si>
    <t>Acciones de promoción a la salud</t>
  </si>
  <si>
    <t>Acciones de la Estrategia de Cirugía Extramuros, 2025.</t>
  </si>
  <si>
    <t>ACCIÓN QUIRÚRGICA</t>
  </si>
  <si>
    <t>PACIENTES VALORADOS</t>
  </si>
  <si>
    <t>PACIENTES OPERADOS</t>
  </si>
  <si>
    <t>Cirugía de túnel del carpo</t>
  </si>
  <si>
    <t>Labio y paladar hendido UNAM</t>
  </si>
  <si>
    <t>Labio y paladar hendido "Médicos por una sonrisa"</t>
  </si>
  <si>
    <t>Cirugía de Cataratas</t>
  </si>
  <si>
    <t>Trasplante de córnea</t>
  </si>
  <si>
    <t>Cirugía de nariz</t>
  </si>
  <si>
    <t>Cirugías ortognáticas</t>
  </si>
  <si>
    <t>Avisos de funcionamiento, licencias y permisos sanitarios por coordinación regional, 2025.</t>
  </si>
  <si>
    <t>COORDINACIÓN REGIONAL</t>
  </si>
  <si>
    <t>AVISOS</t>
  </si>
  <si>
    <t>LICENCIAS</t>
  </si>
  <si>
    <t>PERMISOS</t>
  </si>
  <si>
    <t>Campeche a/</t>
  </si>
  <si>
    <t>a/ Municipios de Calkiní, Campeche, Champotón, Dzitbalché,  Hecelchakán, Hopelchén, Seybaplaya y Tenabo.</t>
  </si>
  <si>
    <t>Acciones de fomento, difusión y verificación para la protección de riesgos sanitarios por tipo, 2025.</t>
  </si>
  <si>
    <t>NÚMERO DE ACTIVIDADES</t>
  </si>
  <si>
    <t>Acciones de fomento y difusión</t>
  </si>
  <si>
    <t>Cursos</t>
  </si>
  <si>
    <t>Pláticas</t>
  </si>
  <si>
    <t>Material impreso</t>
  </si>
  <si>
    <t>Material utilitario</t>
  </si>
  <si>
    <t>Acciones de verificación</t>
  </si>
  <si>
    <t>Insumos para la salud</t>
  </si>
  <si>
    <t>Productos y servicios</t>
  </si>
  <si>
    <t>Salud ambiental</t>
  </si>
  <si>
    <t>Servicios de salud</t>
  </si>
  <si>
    <t>10 principales causas de enfermedad en la población de 0 a 9 años, 2025.</t>
  </si>
  <si>
    <t>PRINCIPALES CAUSAS</t>
  </si>
  <si>
    <t>CASOS</t>
  </si>
  <si>
    <t>TASA</t>
  </si>
  <si>
    <t>Infecciones respiratorias agudas</t>
  </si>
  <si>
    <t>Infecciones intestinales por otros organismos y las mal definidas</t>
  </si>
  <si>
    <t>Infección de vías urinarias</t>
  </si>
  <si>
    <t>Conjuntivitis</t>
  </si>
  <si>
    <t>Otitis media aguda</t>
  </si>
  <si>
    <t>Amebiasis intestinal</t>
  </si>
  <si>
    <t>Asma</t>
  </si>
  <si>
    <t>Desnutrición leve</t>
  </si>
  <si>
    <t>Obesidad</t>
  </si>
  <si>
    <t>Otras helmintiasis</t>
  </si>
  <si>
    <t>Subtotal</t>
  </si>
  <si>
    <t>Las demás causas</t>
  </si>
  <si>
    <t>Nota: Datos calculados por 100,000 habitantes y con la proyección de la población del Consejo Nacional de Población 2025.</t>
  </si>
  <si>
    <t>10 principales causas de enfermedad en la población de 10 a 19 años, 2025.</t>
  </si>
  <si>
    <t>Vulvovaginitis</t>
  </si>
  <si>
    <t>Úlceras, gastritis y duodenitis</t>
  </si>
  <si>
    <t>Gingivitis, y enfermedad periodontal</t>
  </si>
  <si>
    <t>Accidentes de transporte en vehículos con motor</t>
  </si>
  <si>
    <t>10 principales causas de enfermedad en la población de 20 a 59 años, 2025.</t>
  </si>
  <si>
    <t>Diabetes mellitus</t>
  </si>
  <si>
    <t>Hipertensión arterial</t>
  </si>
  <si>
    <t>10 principales causas de enfermedad en la población de 60 y más años, 2025.</t>
  </si>
  <si>
    <t>Diabetes mellitus  tipo 2</t>
  </si>
  <si>
    <t>Gingivitis y enfermedad periodontal</t>
  </si>
  <si>
    <t xml:space="preserve">Hiperplasia de la próstata </t>
  </si>
  <si>
    <t>10 principales causas de enfermedad general, 2025.</t>
  </si>
  <si>
    <t xml:space="preserve">Diabetes mellitus tipo 2 </t>
  </si>
  <si>
    <t>20 principales causas de mortalidad en mujeres, 2025.</t>
  </si>
  <si>
    <t>DEFUNCIONES</t>
  </si>
  <si>
    <t>Enfermedades del corazón</t>
  </si>
  <si>
    <t>Tumores malignos</t>
  </si>
  <si>
    <t>Enfermedades del hígado</t>
  </si>
  <si>
    <t>Enfermedades cerebrovasculares</t>
  </si>
  <si>
    <t>Neumonía e influenza</t>
  </si>
  <si>
    <t>Accidentes</t>
  </si>
  <si>
    <t>Insuficiencia renal</t>
  </si>
  <si>
    <t>Enfermedades pulmonares obstructivas crónicas</t>
  </si>
  <si>
    <t>Ciertas afecciones originadas en el período perinatal</t>
  </si>
  <si>
    <t>Desnutrición y otras deficiencias nutricionales</t>
  </si>
  <si>
    <t>Lesiones autoinfligidas intencionalmente (suicidios)</t>
  </si>
  <si>
    <t>Sepsis</t>
  </si>
  <si>
    <t>Malformaciones congénitas, deformidades y anomalías cromosómicas</t>
  </si>
  <si>
    <t>Enfermedades infecciosas intestinales</t>
  </si>
  <si>
    <t>Anemias</t>
  </si>
  <si>
    <t>Colelitiasis y colecistitis</t>
  </si>
  <si>
    <t>Enfermedad por virus de la inmunodeficiencia humana</t>
  </si>
  <si>
    <t>Agresiones (homicidios)</t>
  </si>
  <si>
    <t>Poliartropatías inflamatorias</t>
  </si>
  <si>
    <t xml:space="preserve">Las demás causas </t>
  </si>
  <si>
    <t>Nota: Datos calculados por 100,000 habitantes (mujeres) y con la proyección de la población (mujeres) del Consejo Nacional de Población 2025.</t>
  </si>
  <si>
    <t>20 principales causas de mortalidad en hombres, 2025.</t>
  </si>
  <si>
    <t>Tuberculosis pulmonar</t>
  </si>
  <si>
    <t>Íleo paralítico y obstrucción intestinal sin hernia</t>
  </si>
  <si>
    <t>Bronquitis crónica, enfisema y asma</t>
  </si>
  <si>
    <t>Nota: Datos calculados por 100,000 habitantes (hombres) y con la proyección de la población (hombres) del Consejo Nacional de Población 2025.</t>
  </si>
  <si>
    <t>20 principales causas de mortalidad general, 2025.</t>
  </si>
  <si>
    <t>Desnutrición y otras defunciones nutricionales</t>
  </si>
  <si>
    <t>Fuente: Gobierno del Estado de Campeche. Secretaría de Salud. Instituto de Servicios Descentralizados de Salud Pública. 2025.</t>
  </si>
  <si>
    <t>Número de acciones de capacitación en salud por eje temático, según sexo, 2025.</t>
  </si>
  <si>
    <t>EJE TEMÁTICO</t>
  </si>
  <si>
    <t>CAPACITACIONES</t>
  </si>
  <si>
    <t>PARTICIPANTES</t>
  </si>
  <si>
    <t>Administración y gerencia</t>
  </si>
  <si>
    <t>Calidad y desarrollo humano</t>
  </si>
  <si>
    <t>Riesgos Sanitarios</t>
  </si>
  <si>
    <t>Salud pública</t>
  </si>
  <si>
    <t>Soporte avanzado de vida</t>
  </si>
  <si>
    <t>Número de asuntos atendidos por la Comisión de Conciliación de Arbitraje Médico de Campeche por tipo de asunto, 2025.</t>
  </si>
  <si>
    <t>TIPO DE ASUNTO</t>
  </si>
  <si>
    <t>NÚMEROS DE ASUNTOS ATENDIDOS</t>
  </si>
  <si>
    <t>Asesoría</t>
  </si>
  <si>
    <t>Dictamen</t>
  </si>
  <si>
    <t>Gestión inmediata</t>
  </si>
  <si>
    <t>Orientación</t>
  </si>
  <si>
    <t>Queja</t>
  </si>
  <si>
    <t>Número de personas capacitadas en temas de Conciliación y Arbitraje Médico, 2025.</t>
  </si>
  <si>
    <t>EVENTO</t>
  </si>
  <si>
    <t>NÚMERO DE CAPACITADOS</t>
  </si>
  <si>
    <t>Plática "Responsabilidad Jurídica de los prestadores de Servicios de Salud"</t>
  </si>
  <si>
    <t>Plática "NOM-004-SSA3-2012 del Expediente Clínico"</t>
  </si>
  <si>
    <t>Plática "Qué es la CCAMECAM"</t>
  </si>
  <si>
    <t>Plática "Dudas frecuentes y sus recomendaciones jurídicas"</t>
  </si>
  <si>
    <t>Plática "Calidad en los servicios de salud"</t>
  </si>
  <si>
    <t>Plática "Derechos y obligaciones de los prestadores de servicios de salud y los pacientes"</t>
  </si>
  <si>
    <t>Plática "Políticas estatales y federales sobre el aborto"</t>
  </si>
  <si>
    <t>Plática "Elaboración del dictamen en materia de responsabilidad médica"</t>
  </si>
  <si>
    <t>Plática "Importancia de un dictamen"</t>
  </si>
  <si>
    <t>Plática "Procedimiento arbitral y el dictamen"</t>
  </si>
  <si>
    <t>Plática "Implicaciones legales del expediente clínico"</t>
  </si>
  <si>
    <t>Plática "Trato digno. Comunicación respetuosa y empática"</t>
  </si>
  <si>
    <t>Plática "Conflicto médico"</t>
  </si>
  <si>
    <t>Plática "Consentimiento informado"</t>
  </si>
  <si>
    <t>b/ Municipios de Carmen y Palizada.</t>
  </si>
  <si>
    <t>c/ Municipios de Calakmul, Candelaria y Escárcega.</t>
  </si>
  <si>
    <t>Carmen b/</t>
  </si>
  <si>
    <t>Escárcega c/</t>
  </si>
  <si>
    <t xml:space="preserve">ABANDONO </t>
  </si>
  <si>
    <t>EFICIENCIA TERMINAL</t>
  </si>
  <si>
    <t>REPROBACIÓN</t>
  </si>
  <si>
    <t>NIVEL Y TIPO EDUCATIVO</t>
  </si>
  <si>
    <t>ALUMNOS</t>
  </si>
  <si>
    <t>DOCENTES</t>
  </si>
  <si>
    <t>GRUPOS</t>
  </si>
  <si>
    <t>ESCUELAS</t>
  </si>
  <si>
    <t>Básica</t>
  </si>
  <si>
    <t>Inicial</t>
  </si>
  <si>
    <t>Preescolar</t>
  </si>
  <si>
    <t>Primaria</t>
  </si>
  <si>
    <t>Secundaria</t>
  </si>
  <si>
    <t>Otros</t>
  </si>
  <si>
    <t>Especial</t>
  </si>
  <si>
    <t>Para Adultos</t>
  </si>
  <si>
    <t>Formación para el trabajo</t>
  </si>
  <si>
    <t>Media superior</t>
  </si>
  <si>
    <t>Bachillerato General</t>
  </si>
  <si>
    <t>Bachillerato Tecnológico</t>
  </si>
  <si>
    <t>Profecional Técnico</t>
  </si>
  <si>
    <t>Superior a/</t>
  </si>
  <si>
    <t>NA</t>
  </si>
  <si>
    <t>Técnico Superior Universitario</t>
  </si>
  <si>
    <t>Licenciatura</t>
  </si>
  <si>
    <t>Posgrado</t>
  </si>
  <si>
    <t>a/ El nivel de licenciatura incluye la educación normal; posgrado incluye especialidad, maestría y doctorado.  La suma de docentes y escuelas de técnico superior, licenciatura y posgrado no coincide con el total reportado en el nivel superior, pues existen docentes que imparten clases en diversas instituciones y escuelas que abarcan más de una modalidad educativa.</t>
  </si>
  <si>
    <t xml:space="preserve">NA: No aplica. </t>
  </si>
  <si>
    <t>CARRERAS</t>
  </si>
  <si>
    <t xml:space="preserve"> INSCRITOS</t>
  </si>
  <si>
    <t>EGRESADOS</t>
  </si>
  <si>
    <t>TITULADOS</t>
  </si>
  <si>
    <t>Licenciatura en Derecho</t>
  </si>
  <si>
    <t>Licenciatura en Psicología</t>
  </si>
  <si>
    <t>Licenciatura en Enfermería</t>
  </si>
  <si>
    <t>Licenciatura en Contaduría</t>
  </si>
  <si>
    <t>Ingeniería en Sistemas Computacionales</t>
  </si>
  <si>
    <t>Licenciatura en Administración</t>
  </si>
  <si>
    <t>Licenciatura en Administración de Empresas</t>
  </si>
  <si>
    <t>Ingeniería en Administración</t>
  </si>
  <si>
    <t>Otras a/</t>
  </si>
  <si>
    <t>POSGRADOS</t>
  </si>
  <si>
    <t>Maestría en Educación</t>
  </si>
  <si>
    <t>Doctorado en Educación</t>
  </si>
  <si>
    <t>Doctorado en Proyectos</t>
  </si>
  <si>
    <t>Maestría en Docencia Universitaria</t>
  </si>
  <si>
    <t>Maestría en Diseño, Gestión y Dirección de Proyectos</t>
  </si>
  <si>
    <t>Maestría en Administración y Dirección de Empresas</t>
  </si>
  <si>
    <t>Maestría en Psicología de la Salud</t>
  </si>
  <si>
    <t>Maestría en Salud Pública</t>
  </si>
  <si>
    <t>Otros a/</t>
  </si>
  <si>
    <t xml:space="preserve">
</t>
  </si>
  <si>
    <t>EDAD 3 AÑOS</t>
  </si>
  <si>
    <t>EDAD 4 AÑOS</t>
  </si>
  <si>
    <t xml:space="preserve">EDAD 5 AÑOS </t>
  </si>
  <si>
    <t>EDAD 3, 4 Y 5 AÑOS</t>
  </si>
  <si>
    <t xml:space="preserve">ESTADO </t>
  </si>
  <si>
    <t>Nota: La atención se define como la relación porcentual entre el número programado de alumnos y la demanda existente. Datos calculados con proyecciones de población del Consejo Nacional de Población.</t>
  </si>
  <si>
    <t>DEPENDENCIA</t>
  </si>
  <si>
    <t>OBRAS DE CONSTRUCCIÓN</t>
  </si>
  <si>
    <t xml:space="preserve"> INVERSIÓN (PESOS)-CONSTRUCCIÓN</t>
  </si>
  <si>
    <t>OBRAS DE REHABILITACIÓN</t>
  </si>
  <si>
    <t xml:space="preserve"> INVERSIÓN (PESOS)-REHABILITACIÓN</t>
  </si>
  <si>
    <t xml:space="preserve"> LOTES DE MOBILIARIO</t>
  </si>
  <si>
    <t xml:space="preserve"> INVERSIÓN (PESOS)-MOBILIARIO</t>
  </si>
  <si>
    <t>TOTAL DE ACCIONES</t>
  </si>
  <si>
    <t>TOTAL INVERSIÓN</t>
  </si>
  <si>
    <t>Instituto de Infraestrcutura Física Educativa del Estado de Campeche (INIFEEC)</t>
  </si>
  <si>
    <t>Secretaría de Educación Pública (SEP)</t>
  </si>
  <si>
    <t>Secretaría de Educación del Estado de Campeche (SEDUC)</t>
  </si>
  <si>
    <t>Colegio Nacional de Educación Profesional Técnica (CONALEP)</t>
  </si>
  <si>
    <t>Colegio de Estudios Científicos y Tecnológicos del Estado de Campeche (CECyTEC)</t>
  </si>
  <si>
    <t>Colegio de Bachilleres del Estado de Campeche (COBACAM)</t>
  </si>
  <si>
    <t>Instituto Campechano (IC)</t>
  </si>
  <si>
    <t>Universidad Autónoma de Campeche (UAC)</t>
  </si>
  <si>
    <t>Universidad Autónoma del Carmen (UNACAR)</t>
  </si>
  <si>
    <t>Universidad Tecnológica de Campeche (UTCAM)</t>
  </si>
  <si>
    <t>Universidad Tecnológica de Candelaria (UTECAN)</t>
  </si>
  <si>
    <t>Universidad Intercultural de Campeche (UICAM)</t>
  </si>
  <si>
    <t>Universidad Tecnológica de Calakmul (UTCALAKMUL)</t>
  </si>
  <si>
    <t>Instituto Tecnológico Superior de Calkiní (ITESCAM)</t>
  </si>
  <si>
    <t>Instituto Tecnológico Superior de Champotón (ITESCHAM)</t>
  </si>
  <si>
    <t>Instituto Tecnológico Superior de Escárcega (ITSE)</t>
  </si>
  <si>
    <t>Instituto Tecnológico Superior de Hopelchén (ITSHOPELCHÉN)</t>
  </si>
  <si>
    <t>TOTAL DE INVERSIÓN</t>
  </si>
  <si>
    <t>Escuelas al CIEN</t>
  </si>
  <si>
    <t>Fondo de Aportaciones Múltiples a la Educación Básica (FAM - EB)</t>
  </si>
  <si>
    <t>Fondo de Aportaciones Múltiples a la Educación Media Superior (FAM - EMS)</t>
  </si>
  <si>
    <t>Fondo de Aportaciones Múltiples a la Educación Superior (FAM - ES)</t>
  </si>
  <si>
    <t>Nota: El Fondo de Aportaciones Múltiples (FAM) incluye remanentes y productos financieros.</t>
  </si>
  <si>
    <t>NIVEL EDUCATIVO</t>
  </si>
  <si>
    <t>Media Superior</t>
  </si>
  <si>
    <t>Superior</t>
  </si>
  <si>
    <t>LOCALIDAD</t>
  </si>
  <si>
    <t>INSTITUCIÓN</t>
  </si>
  <si>
    <t>OBRA</t>
  </si>
  <si>
    <t>CAMPECHE</t>
  </si>
  <si>
    <t>San Francisco de Campeche</t>
  </si>
  <si>
    <t>Indicadores educativos del nivel primaria por municipio, según tipo de indicador, ciclo escolar 2024/2025.</t>
  </si>
  <si>
    <t>Fuente: Secretaría de Educación del Estado de Campeche. Subsecretaría de Planeación, Programación y Estadística. Dirección de Planeación y Programación. Departamento de Sistemas de Información Estadística. 2026.</t>
  </si>
  <si>
    <t>ABANDONO</t>
  </si>
  <si>
    <t>ABSORCIÓN</t>
  </si>
  <si>
    <t xml:space="preserve"> PREESCOLAR</t>
  </si>
  <si>
    <t>PRIMARIA</t>
  </si>
  <si>
    <t>SECUNDARIA</t>
  </si>
  <si>
    <t>MEDIA SUPERIOR</t>
  </si>
  <si>
    <t>SUPERIOR</t>
  </si>
  <si>
    <t>Nota: El porcentaje de cobertura puede ser superior al 100 por ciento, ya que hay estudiantes que cursan el nivel fuera de la edad típica.</t>
  </si>
  <si>
    <t>POBLACIÓN DE 15 AÑOS Y MÁS CON REZAGO EDUCATIVO 2023</t>
  </si>
  <si>
    <t>USUARIOS QUE CONCLUYEN NIVEL 2024</t>
  </si>
  <si>
    <t>IMPACTO AL REZAGO (%)</t>
  </si>
  <si>
    <t>Dzitbalché a/</t>
  </si>
  <si>
    <t>ND</t>
  </si>
  <si>
    <t>a/ Para el caso del municipio de Dzitbalché, no es posible definir la población en rezago, ya que INEA no tiene el dato actualizado, los logros y rezago de ese municipio se encuentran contabilizados en el municipio de Calkiní.</t>
  </si>
  <si>
    <t>ND: No disponible.</t>
  </si>
  <si>
    <t>Indicadores educativos del nivel secundaria por municipio, según tipo de indicador, ciclo escolar 2024/2025.</t>
  </si>
  <si>
    <t>Indicadores educativos del nivel medio superior por municipio, según tipo de indicador, ciclo escolar 2024/2025.</t>
  </si>
  <si>
    <t>Indicadores educativos del nivel superior por municipio, según tipo de indicador, ciclo escolar 2024/2025.</t>
  </si>
  <si>
    <t xml:space="preserve">Porcentaje de cobertura educativa por municipio, según nivel educativo, ciclo escolar 2025/2026.					</t>
  </si>
  <si>
    <t>Porcentaje de avance en el combate al rezago educativo por municipio, 2025.</t>
  </si>
  <si>
    <t>Nota: Para dimensionar el impacto al rezago, se compara la población en dicha situación en el año 2024 con la población que concluyó su nivel en el año 2025.</t>
  </si>
  <si>
    <t>Fuente: Instituto Estatal de la Educación para los Adultos (IEEA). Departamento de Planeación y Seguimiento Operativo. Sistema Automatizado de Seguimiento y Acreditación (SASA) 2024/2025. 2026.</t>
  </si>
  <si>
    <t>Fuente: Secretaría de Educación del Estado de Campeche. Subsecretaría de Planeación, Programación y Estadística. Dirección de Planeación y Programación. Departamento de Sistemas de Información Estadística.Ciclo escolar 2024-2025. 2026.</t>
  </si>
  <si>
    <t>Fuente: Secretaría de Educación del Estado de Campeche. Subsecretaría de Planeación, Programación y Estadística. Dirección de Planeación y Programación. Departamento de Sistemas de Información Estadística. Ciclo escolar 2024-2025. 2026.</t>
  </si>
  <si>
    <t>Fuente: Secretaría de Educación del Estado de Campeche. Subsecretaría de Planeación, Programación y Estadística. Dirección de Planeación y Programación. Departamento de Sistemas de Información Estadística. Ciclo escolar 2025-2026. 2026.</t>
  </si>
  <si>
    <t xml:space="preserve">Número de alumnos, docentes, grupos y escuelas por nivel educativo, Ciclo Escolar 2025/2026.				</t>
  </si>
  <si>
    <t>Fuente: Secretaría de Educación del Estado de Campeche. Subsecretaría de Planeación, Programación y Estadística. Dirección de Planeación y Programación. Departamento de Sistemas de Información Estadística. Cuestionario 911 del ciclo escolar 2025/2026. 2026.</t>
  </si>
  <si>
    <t xml:space="preserve">Número de alumnos inscritos, egresados y titulados por carreras con mayor demanda, ciclo escolar 2025/2026.				</t>
  </si>
  <si>
    <t>a/ Se contemplan 253 carreras.</t>
  </si>
  <si>
    <t>Médico Cirujano</t>
  </si>
  <si>
    <t xml:space="preserve">Número de alumnos inscritos, egresados y titulados de los posgrados con mayor demanda, ciclo escolar 2025/2026.				</t>
  </si>
  <si>
    <t>a/ Se contemplan 273 posgrados.</t>
  </si>
  <si>
    <t>Maestría en Intervención Psicológica en el Desarrollo y la Educación</t>
  </si>
  <si>
    <t xml:space="preserve">Porcentaje de atención de nivel preescolar por municipio, según edad, ciclo escolar 2025/2026.				</t>
  </si>
  <si>
    <t xml:space="preserve">Inversión de Infraestructura Educativa por Dependencia Ejecutora, según tipo de acción, julio de 2025 a junio de 2026.							</t>
  </si>
  <si>
    <t xml:space="preserve">Instituto Tecnológico de Chiná (ITCHINÁ)
</t>
  </si>
  <si>
    <t xml:space="preserve">Instituto Tecnológico de Campeche (ITCAMPECHE)
</t>
  </si>
  <si>
    <t>Fuente: Secretaría de Educación del Estado de Campeche. Coordinación de Infraestructura Física Educativa - Instituto de la Infraestructura Física Educativa del Estado de Campeche. 2026.</t>
  </si>
  <si>
    <t xml:space="preserve">Inversión de Infraestructura Educativa por Fuente de Financiamiento, según tipo de acción, julio de 2025 a junio de 2026.							</t>
  </si>
  <si>
    <t>Fondo de Aportaciones a la Nómina Educativa y Gasto Operativo (FONE) 2025</t>
  </si>
  <si>
    <t>Programa Expansión de la Educación Media Superior y Superior (Tipo Superior) 2025</t>
  </si>
  <si>
    <t>La Escuela es Nuestra 2025 (LEEN)</t>
  </si>
  <si>
    <t xml:space="preserve">Inversión de Infraestructura Educativa por nivel educativo, según tipo de acción, julio de 2025 a junio de 2026.							</t>
  </si>
  <si>
    <t>Fuente: Gobierno del Estado de Campeche. Secretaría de Educación del Estado de Campeche. Coordinación de Infraestructura Física Educativa. Instituto de la Infraestructura Física Educativa del Estado de Campeche. 2026.</t>
  </si>
  <si>
    <t xml:space="preserve">Inversión del programa de Infraestructura Educativa por municipio, según tipo de acción, julio de 2025 a junio de 2026.							</t>
  </si>
  <si>
    <t>Inversión en Infraestructura Educativa realizadas con recursos propios de las instituciones educativas por tipo de obra, julio 2025 a junio 2026.</t>
  </si>
  <si>
    <t>Fuente: Secretaría de Educación del Estado de Campeche. Universidad Autónoma de Campeche. Dirección General de Planeación y Calidad. Dirección General de Obras. 2026.</t>
  </si>
  <si>
    <t>CARMEN</t>
  </si>
  <si>
    <t xml:space="preserve">San Antonio Cárdenas 
</t>
  </si>
  <si>
    <t xml:space="preserve">Universidad Tecnológica de Campeche (UTCAM)
</t>
  </si>
  <si>
    <t xml:space="preserve"> Suministro e instalación de transformador 500 KVA, cableado, conexiones ,derivadores, sistema de tierra física y mantenimiento a tablero y suministro de equipamiento  informático para laboratorios de computo 
</t>
  </si>
  <si>
    <t xml:space="preserve">San Antonio Cárdenas 
</t>
  </si>
  <si>
    <t xml:space="preserve"> Suministro de Equipamiento  Informático para laboratorios de computo para los Programas Educativos de TIC y Mecatrónica nivel de TSU y Lic.  
</t>
  </si>
  <si>
    <t xml:space="preserve">San Francisco de Campeche
</t>
  </si>
  <si>
    <t xml:space="preserve">Centro de Bachillerato Tecnológico, Industrial y de Servicios Número 9 (CBTIS número 9)
</t>
  </si>
  <si>
    <t xml:space="preserve">Ampliación del taller de alimentos y bebidas
</t>
  </si>
  <si>
    <t xml:space="preserve">Colegio de Educación Profesional Técnica del Estado de Campeche (CONALEP)
</t>
  </si>
  <si>
    <t xml:space="preserve">Pintura y mantenimiento preventivo de la infraestructura del plantel
</t>
  </si>
  <si>
    <t>Cd. del Carmen</t>
  </si>
  <si>
    <t xml:space="preserve">Pintura y mantenimiento preventivo de la infraestructura del plantel, incluye rehabilitación de sala audiovisual
</t>
  </si>
  <si>
    <t xml:space="preserve">Pintura y mantenimiento preventivo de la infraestructura del plantel, incluye mantenimiento de biblioteca y sala audiovisual
</t>
  </si>
  <si>
    <t xml:space="preserve">Mantenimiento correctivo a la nevería del plantel Carmen
</t>
  </si>
  <si>
    <t xml:space="preserve">Rehabilitación de baños, del laboratorio de alimentos y bebidas, piso de laboratorio de informática, entrada de plantel y mantenimiento de subestación (1ra etapa)
</t>
  </si>
  <si>
    <t xml:space="preserve">Universidad Autónoma de Campeche (UACAM)
</t>
  </si>
  <si>
    <t xml:space="preserve">Trabajos de albañilería e impermeabilización en los edificios de la Escuela Preparatoria “Dr. Nazario Víctor  Montejo Godoy.”
</t>
  </si>
  <si>
    <t xml:space="preserve">Rehabilitación de sanitarios en el edificio "I" de la Escuela Preparatoria “Dr. Nazario Víctor  Montejo Godoy.”
</t>
  </si>
  <si>
    <t xml:space="preserve">Trabajos de impermeabilización y albañilería  del Centro de Investigaciones Biomédicas.
</t>
  </si>
  <si>
    <t>Universidad Autónoma de Campeche (UACAM)</t>
  </si>
  <si>
    <t xml:space="preserve">Construcción del paradero Campus V Facultad de Ciencias Químico Biológicas.
</t>
  </si>
  <si>
    <t xml:space="preserve">Trabajos de impermeabilización y albañilería del edificio de la Facultad de Enfermería, Campus VII Tenabo.
</t>
  </si>
  <si>
    <t xml:space="preserve">Construcción del paradero Campus V Facultad de Ingeniería.
</t>
  </si>
  <si>
    <t xml:space="preserve"> Rehabilitación de la azotea del Centro Universitario de Exposiciones Campus I.
</t>
  </si>
  <si>
    <t xml:space="preserve">Rehabilitación de la red de alimentación hidráulica de la Facultad de Medicina.
</t>
  </si>
  <si>
    <t xml:space="preserve">Trabajos complementarios a la impermeabilización del Centro de Investigaciones Biomédicas.
</t>
  </si>
  <si>
    <t xml:space="preserve">Rehabilitación de la Coordinación General de Vinculación.
</t>
  </si>
  <si>
    <t xml:space="preserve">Construcción de barda en el Estadio Universitario, Campus I.
</t>
  </si>
  <si>
    <t xml:space="preserve">Trabajos de rehabilitación exterior del Museo Universitario de la Vida (MUVI)
</t>
  </si>
  <si>
    <t xml:space="preserve">Construcción de cancha de pádel en el Centro Deportivo Universitario Multifuncional (CDUM).
</t>
  </si>
  <si>
    <t>DZITBALCHÉ</t>
  </si>
  <si>
    <t>Educación preescolar</t>
  </si>
  <si>
    <t>Educación primaria</t>
  </si>
  <si>
    <t>Educación secundaria</t>
  </si>
  <si>
    <t>General</t>
  </si>
  <si>
    <t>Técnica</t>
  </si>
  <si>
    <t>Telesecundaria</t>
  </si>
  <si>
    <t>Educación física</t>
  </si>
  <si>
    <t>Educación especial</t>
  </si>
  <si>
    <t>Educación indígena</t>
  </si>
  <si>
    <t>Número de docentes incorporados al Programa de Promoción Horizontal por Niveles con Incentivos en Educación Básica 2025/2026.</t>
  </si>
  <si>
    <t>Fuente: Gobierno del Estado de Campeche. Secretaría de Educación del Estado de Campeche. Dirección Estatal de la Unidad del Sistema para la Carrera de las Maestras y los Maestros. Ciclo escolar 2025/2026. 2026.</t>
  </si>
  <si>
    <t>Número de prestadores de servicio social y prácticas profesionales por institución, ciclo escolar 2024/2025.</t>
  </si>
  <si>
    <t>PRESTADORES DE SERVICIO SOCIAL</t>
  </si>
  <si>
    <t>PRESTADORES DE PRÁCTICAS PROFESIONALES</t>
  </si>
  <si>
    <t>Educación Media Superior</t>
  </si>
  <si>
    <t>Colegio de Estudios Científicos y Tecnológicos del Estado de Campeche (CECYTEC)</t>
  </si>
  <si>
    <t>Colegio de Educación Profesional Técnica del Estado de Campeche (CONALEP)</t>
  </si>
  <si>
    <t>Dirección General de Educación Tecnológica Agropecuaria y Ciencias del Mar (DGETAyCM)</t>
  </si>
  <si>
    <t>Dirección General de Educación Tecnológica Industrial y de Servicios (DGETI)</t>
  </si>
  <si>
    <t>Educación Superior</t>
  </si>
  <si>
    <t>Instituto Tecnológico de Campeche (ITCampeche)</t>
  </si>
  <si>
    <t>Instituto Tecnológico de Chiná (ITChiná)</t>
  </si>
  <si>
    <t>Instituto Tecnológico de Lerma (ITLerma)</t>
  </si>
  <si>
    <t xml:space="preserve">NIVEL </t>
  </si>
  <si>
    <t xml:space="preserve">CANDIDATOS </t>
  </si>
  <si>
    <t xml:space="preserve">Nota: A mayor valor de nivel, mejor posición en el Sistema Nacional de Investigadoras e Investigadores.
</t>
  </si>
  <si>
    <t>Número de programas educativos acreditados vigentes en educación superior, por institución, según área de conocimiento, ciclo escolar 2024/2025.</t>
  </si>
  <si>
    <t>ÁREA DE CONOCIMIENTO</t>
  </si>
  <si>
    <t>NÚMERO DE PROGRAMAS ACREDITADOS</t>
  </si>
  <si>
    <t>Ciencias de la Salud</t>
  </si>
  <si>
    <t>Ciencias Naturales y Exactas</t>
  </si>
  <si>
    <t>Ciencias Sociales y Administrativas</t>
  </si>
  <si>
    <t>Ingeniería y Tecnología</t>
  </si>
  <si>
    <t>Artes, Educación y Humanidades</t>
  </si>
  <si>
    <t>Centro de Estudios de Bachillerato (CEB) 6/2 "Jerónimo Baquiero Foster"</t>
  </si>
  <si>
    <t>Fuente: Secretaría de Educación del Estado de Campeche. Subsecretaría de Planeación, Programación y Estadística. Dirección de Planeación y Programación. 2026.</t>
  </si>
  <si>
    <t>Número de investigadores y candidatos del Sistema Nacional de Investigadoras e Investigadores por institución según nivel, al 31 de diciembre de 2025.</t>
  </si>
  <si>
    <t>Fuente: Secretaria de Educación del estado de Campeche. Consejo Nacional de Humanidades, Ciencias y Tecnologías (CONAHCYT). Sistema Nacional de Investigadoras e Investigadores (SNII). 2026.</t>
  </si>
  <si>
    <t xml:space="preserve">Colegio de Postgraduados Campus Campeche
</t>
  </si>
  <si>
    <t xml:space="preserve">El Colegio de la Frontera Sur (ECOSUR) Unidad Campeche
</t>
  </si>
  <si>
    <t xml:space="preserve">Instituto Campechano (IC)
</t>
  </si>
  <si>
    <t xml:space="preserve">Instituto Nacional de Investigaciones Forestales, Agrícolas y Pecuarias
</t>
  </si>
  <si>
    <t xml:space="preserve">Instituto Mexicano de Investigación en Pesca y Acuacultura Sustentables (IMIPAS)
</t>
  </si>
  <si>
    <t xml:space="preserve">Instituto Tecnológico de Campeche (ITCampeche)
</t>
  </si>
  <si>
    <t xml:space="preserve">Instituto Tecnológico de Chiná (ITChiná)
</t>
  </si>
  <si>
    <t xml:space="preserve">Instituto Tecnológico Superior de Calkiní (ITESCAM)
</t>
  </si>
  <si>
    <t xml:space="preserve">Universidad Autónoma de Campeche (UAC)
</t>
  </si>
  <si>
    <t xml:space="preserve">Universidad Autónoma del Carmen (UNACAR)
</t>
  </si>
  <si>
    <t xml:space="preserve">Universidad Intercultural de Campeche (UICAM)
</t>
  </si>
  <si>
    <t xml:space="preserve">Universidad Internacional Iberoamericana(UNINI)
</t>
  </si>
  <si>
    <t xml:space="preserve">Universidad Nacional Autónoma de México (UNAM)
</t>
  </si>
  <si>
    <t xml:space="preserve">Universidad Pedagógica Nacional (UPN)
</t>
  </si>
  <si>
    <t>Escuela Normal Superior Federal del Estado de Campeche</t>
  </si>
  <si>
    <t>Petróleos Mexicanos</t>
  </si>
  <si>
    <t>Fuente: Secretaría de Educación del estado de Campeche. Subsecretaría de Educación Media Superior y Superior. Registros de las Instituciones Educativas. 2026.</t>
  </si>
  <si>
    <t xml:space="preserve">BENEFICIARIOS </t>
  </si>
  <si>
    <t>NIÑAS</t>
  </si>
  <si>
    <t>NIÑOS</t>
  </si>
  <si>
    <t>EQUIPOS ENTREGADOS</t>
  </si>
  <si>
    <t xml:space="preserve"> HOMBRES</t>
  </si>
  <si>
    <t>JOVEN</t>
  </si>
  <si>
    <t>Número de localidades, escuelas y beneficiarios por el Proyecto "Útiles Jaguar" por municipio, 2025.</t>
  </si>
  <si>
    <t>BÁSICA (SECUNDARIA)</t>
  </si>
  <si>
    <t>Número de equipos, instituciones y beneficiarios del Proyecto "Computadora Jaguar" por municipio, 2025.</t>
  </si>
  <si>
    <t>Número de localidades, escuelas y beneficiarios por el Proyecto "Uniformes Jaguar" por municipio, 2025.</t>
  </si>
  <si>
    <t>Número de beneficiarios e inversión del Proyecto "Inclusión Productiva" por municipio, Julio 2025 a Junio 2026.</t>
  </si>
  <si>
    <t>Nota: La inversión no incluye $395,400.00 de gastos de operación.</t>
  </si>
  <si>
    <t>CUARTOS ADICIONALES</t>
  </si>
  <si>
    <t>CUARTOS PARA BAÑO</t>
  </si>
  <si>
    <t>TECHOS FIRMES</t>
  </si>
  <si>
    <t>PISOS FIRMES</t>
  </si>
  <si>
    <t>ESTUFAS ECOLÓGICAS</t>
  </si>
  <si>
    <t>ESTRATEGIA</t>
  </si>
  <si>
    <t>PROGRAMAS</t>
  </si>
  <si>
    <t>Ampliación</t>
  </si>
  <si>
    <t>Cuartos Adicionales</t>
  </si>
  <si>
    <t>Mejoramiento</t>
  </si>
  <si>
    <t>Baños</t>
  </si>
  <si>
    <t>Techo Firme</t>
  </si>
  <si>
    <t>Piso Firme</t>
  </si>
  <si>
    <t>Estufas Ecológicas</t>
  </si>
  <si>
    <t>UBICACIÓN O COLONIA</t>
  </si>
  <si>
    <t>ESCRITURACIONES</t>
  </si>
  <si>
    <t>20 de Noviembre</t>
  </si>
  <si>
    <t>Siglo XXI</t>
  </si>
  <si>
    <t>San Caralampio</t>
  </si>
  <si>
    <t>Cumbres</t>
  </si>
  <si>
    <t>Concordia</t>
  </si>
  <si>
    <t>Ex Cooperativa Kalá</t>
  </si>
  <si>
    <t>Minas</t>
  </si>
  <si>
    <t>Solidaridad Urbana</t>
  </si>
  <si>
    <t>Urbano Ambiental Ex Hacienda Kalá</t>
  </si>
  <si>
    <t>Ampliación Esperanza (Kalá 1)</t>
  </si>
  <si>
    <t>Solidaridad Nacional</t>
  </si>
  <si>
    <t>Santa Ana</t>
  </si>
  <si>
    <t>Reforma 57</t>
  </si>
  <si>
    <t>Orizaba</t>
  </si>
  <si>
    <t>Restito de las Pilas</t>
  </si>
  <si>
    <t>Renovación III</t>
  </si>
  <si>
    <t>Volcanes</t>
  </si>
  <si>
    <t>Renovación VII</t>
  </si>
  <si>
    <t>Isla de Tris</t>
  </si>
  <si>
    <t>Mirador I</t>
  </si>
  <si>
    <t>Mirador II</t>
  </si>
  <si>
    <t>Potonchán</t>
  </si>
  <si>
    <t>Sal si Puedes</t>
  </si>
  <si>
    <t>Fundadores I y II</t>
  </si>
  <si>
    <t>Frutales</t>
  </si>
  <si>
    <t>ORGANISMO</t>
  </si>
  <si>
    <t>INFONAVIT</t>
  </si>
  <si>
    <t>CODESVI</t>
  </si>
  <si>
    <t>FOVISSSTE</t>
  </si>
  <si>
    <t>BANCA</t>
  </si>
  <si>
    <t>CONAVI</t>
  </si>
  <si>
    <t>BANJERCITO</t>
  </si>
  <si>
    <t>Acciones del programa de mejoramiento de vivienda por municipio según el tipo de ampliación o mejoramiento, 2025.</t>
  </si>
  <si>
    <t>Fuente: Gobierno del Estado de Campeche. Secretaría de Bienestar. Comisión Estatal de Desarrollo de Suelo y Vivienda (CODESVI). 2026.</t>
  </si>
  <si>
    <t xml:space="preserve">Acciones e inversión en programas de vivienda por tipo de estrategia y programa, julio 2025 a junio 2026.	</t>
  </si>
  <si>
    <t>Nota: La fuente de los recursos son del Fondo de Infraestructura Social para Entidades (FISE) e incluyen 4,045,516.49 pesos correspondientes a productos financieros.</t>
  </si>
  <si>
    <t>Predios escriturados en el estado de Campeche como parte del Programa de vivienda por municipio y ubicación o colonia, 2025.</t>
  </si>
  <si>
    <t>Eduardo Lavalle Urbina</t>
  </si>
  <si>
    <t>Héroes de la Revolución</t>
  </si>
  <si>
    <t>Planchac</t>
  </si>
  <si>
    <t>Ampliación 23 de Julio</t>
  </si>
  <si>
    <t xml:space="preserve">Viviendas edificadas en el Estado por organismo que otorga el financiamiento, 2021-2025.			 			</t>
  </si>
  <si>
    <t>Fuente: Secretaría de Desarrollo Agrario, Territorial y Urbano. Sistema Nacional de Información de Indicadores de Vivienda (SNIIV). 2026.</t>
  </si>
  <si>
    <t>Número de acciones de mejora, beneficiarios e inversión de los proyectos de infraestructura social básica por municipio, julio 2024 a junio 2025.</t>
  </si>
  <si>
    <t>Número de localidades, acciones, beneficiarios del Programa Hogares en Bienestar por municipio, 2025.</t>
  </si>
  <si>
    <t>Nota: La totalidad de los recursos FISE destinados a estos proyectos, se pagó al 31 de diciembre del 2025 la suma $12,868,228, quedando pendiente por ejercer la cantidad de $3,639,210 en el primer trimestre del 2026, cantidad correspondiente al 50% de inversión de los proyectos de los municipios de Carmen y Candelaria.</t>
  </si>
  <si>
    <t>Judo</t>
  </si>
  <si>
    <t>Taekwondo</t>
  </si>
  <si>
    <t>Karate</t>
  </si>
  <si>
    <t>Triatlón</t>
  </si>
  <si>
    <t>Atletismo</t>
  </si>
  <si>
    <t>Paranatación</t>
  </si>
  <si>
    <t>Paratletismo</t>
  </si>
  <si>
    <t>Campeche, Campeche</t>
  </si>
  <si>
    <t>Gimnasia Rítmica</t>
  </si>
  <si>
    <t>Mérida, Yucatán</t>
  </si>
  <si>
    <t>Puebla, Puebla</t>
  </si>
  <si>
    <t>Carmen, Campeche</t>
  </si>
  <si>
    <t>Baloncesto</t>
  </si>
  <si>
    <t>Centro, Tabasco</t>
  </si>
  <si>
    <t>Handball</t>
  </si>
  <si>
    <t>Calkiní, Campeche</t>
  </si>
  <si>
    <t>Voleibol</t>
  </si>
  <si>
    <t>Aguas abiertas</t>
  </si>
  <si>
    <t>Ajedrez</t>
  </si>
  <si>
    <t>Guadalajara, Jalisco</t>
  </si>
  <si>
    <t>Xalapa, Veracruz</t>
  </si>
  <si>
    <t>Basquetbol 3x3</t>
  </si>
  <si>
    <t>Boxeo</t>
  </si>
  <si>
    <t>Ciclismo</t>
  </si>
  <si>
    <t>Pachuca, Hidalgo</t>
  </si>
  <si>
    <t>Futbol asociación</t>
  </si>
  <si>
    <t>Gimnasia Trampolín</t>
  </si>
  <si>
    <t>Golf</t>
  </si>
  <si>
    <t>Tlaxcala, Tlaxcala</t>
  </si>
  <si>
    <t>Oaxaca, Oaxaca</t>
  </si>
  <si>
    <t>Paratriatlón</t>
  </si>
  <si>
    <t>Softbol</t>
  </si>
  <si>
    <t>Tae Kwon Do</t>
  </si>
  <si>
    <t>Tenis</t>
  </si>
  <si>
    <t>Voleibol de playa</t>
  </si>
  <si>
    <t>CLASIFICACIÓN DEPORTIVA</t>
  </si>
  <si>
    <t>ASOCIACIONES, LIGAS Y/O CLUBES</t>
  </si>
  <si>
    <t>AFILIADOS</t>
  </si>
  <si>
    <t>Acuático</t>
  </si>
  <si>
    <t>Arte</t>
  </si>
  <si>
    <t>Campo</t>
  </si>
  <si>
    <t>Cancha</t>
  </si>
  <si>
    <t>Combate</t>
  </si>
  <si>
    <t>Mesa</t>
  </si>
  <si>
    <t>Pista</t>
  </si>
  <si>
    <t>Natación</t>
  </si>
  <si>
    <t>Beisbol</t>
  </si>
  <si>
    <t>Levantamiento de pesas</t>
  </si>
  <si>
    <t>Luchas asociadas</t>
  </si>
  <si>
    <t>Kick Boxing</t>
  </si>
  <si>
    <t>Motociclismo</t>
  </si>
  <si>
    <t>Patinaje</t>
  </si>
  <si>
    <t>Deporte Escolar</t>
  </si>
  <si>
    <t>Nota: Información con base en el Sistema de Registro del Deporte de la Confederación Deportiva Mexicana.</t>
  </si>
  <si>
    <t>Gimnasia</t>
  </si>
  <si>
    <t>Medallas obtenidas en Nacionales y Paranacionales CONADE, por tipo de deporte, según tipo de medalla, 2025.</t>
  </si>
  <si>
    <t>Puebla</t>
  </si>
  <si>
    <t>Gimnasiada Nacional 2025</t>
  </si>
  <si>
    <t>Futbol</t>
  </si>
  <si>
    <t>Campeonato Nacional Sub 15 y Sub 17</t>
  </si>
  <si>
    <t>Irapuato, Guanajuato</t>
  </si>
  <si>
    <t>Campeonato Centroamericano de Levantamiento de pesas</t>
  </si>
  <si>
    <t>Republica Dominicana</t>
  </si>
  <si>
    <t>Gimnasia de trampolín</t>
  </si>
  <si>
    <t>Copa AGEPAC 2025</t>
  </si>
  <si>
    <t>Campeonato Iberoamericano de Triatlón</t>
  </si>
  <si>
    <t>Maldonado, Urugay</t>
  </si>
  <si>
    <t xml:space="preserve">Etapa Estatal de la Olimpiada Nacional </t>
  </si>
  <si>
    <t xml:space="preserve">Etapa Nacional de la Olimpiada Nacional </t>
  </si>
  <si>
    <t>Telchac Puerto, Yucatán</t>
  </si>
  <si>
    <t>Etapa Estatal de la Olimpiada Nacional</t>
  </si>
  <si>
    <t>Etapa Macroregional de la Olimpiada Nacional</t>
  </si>
  <si>
    <t>Etapa Nacional de la Olimpiada Nacional</t>
  </si>
  <si>
    <t>Apizaco, Tlaxcala</t>
  </si>
  <si>
    <t>Basquetbol</t>
  </si>
  <si>
    <t>Tuxtla Gutiérrez, Chiapas</t>
  </si>
  <si>
    <t>Breaking</t>
  </si>
  <si>
    <t>Clavados</t>
  </si>
  <si>
    <t>Manzanillo, Colima</t>
  </si>
  <si>
    <t>Proceso Estatal Selectivo del Encuentro Nacional Deportivo Indígena</t>
  </si>
  <si>
    <t>Fase Nacional del Encuentro Nacional Deportivo Indígena</t>
  </si>
  <si>
    <t>Othón P. Blanco, Quintana Roo</t>
  </si>
  <si>
    <t>Patinaje Artístico</t>
  </si>
  <si>
    <t>Skateboarding</t>
  </si>
  <si>
    <t>Etapa Regional de la Olimpiada Nacional</t>
  </si>
  <si>
    <t>Huamantla, Tlaxcala</t>
  </si>
  <si>
    <t>Puerto Progreso, Yucatán</t>
  </si>
  <si>
    <t>Voleibol de sala</t>
  </si>
  <si>
    <t>Etapa Nancional de la Paralímpiada Nacional</t>
  </si>
  <si>
    <t>Aguascalientes, Aguascalientes</t>
  </si>
  <si>
    <t>Para Powerlifting</t>
  </si>
  <si>
    <t>Etapa Nacional de la Paralímpiada Nacional</t>
  </si>
  <si>
    <t>Etapa Nacional del Encuentro Nacional Deportivo Indígena</t>
  </si>
  <si>
    <t>Fuente: Gobierno del Estado de Campeche, Secretaría de Bienestar, Instituto del Deporte del Estado de Campeche, 2026.</t>
  </si>
  <si>
    <t>Sede y participantes de los principales eventos deportivos de preparación, por deportes individuales y de conjunto y tipo de evento, 2025.</t>
  </si>
  <si>
    <t xml:space="preserve">Asociaciones, ligas, clubes y afiliados por clasificación deportiva, 2025.		</t>
  </si>
  <si>
    <t>Fuente: Gobierno del Estado de Campeche. Secretaría de Bienestar. Instituto del Deporte del Estado de Campeche. 2026.</t>
  </si>
  <si>
    <t xml:space="preserve">Inventario deportivo por municipio, según tipo, 2025.											</t>
  </si>
  <si>
    <t>Béisbol</t>
  </si>
  <si>
    <t>Artes marciales mixtas</t>
  </si>
  <si>
    <t>Jiu Jit Su</t>
  </si>
  <si>
    <t>Lima lama y deportes de contacto</t>
  </si>
  <si>
    <t>Juegos y Deportes Autoctonos y Tradicionales</t>
  </si>
  <si>
    <t>Silla de ruedas</t>
  </si>
  <si>
    <t>Triatlon</t>
  </si>
  <si>
    <t>CATEGORÍA</t>
  </si>
  <si>
    <t>DEPORTE</t>
  </si>
  <si>
    <t xml:space="preserve">TIPO DE MEDALLA </t>
  </si>
  <si>
    <t>ORO</t>
  </si>
  <si>
    <t>PLATA</t>
  </si>
  <si>
    <t>BRONCE</t>
  </si>
  <si>
    <t>Nacionales</t>
  </si>
  <si>
    <t xml:space="preserve">Paranacionales </t>
  </si>
  <si>
    <t>Parapowerlifting</t>
  </si>
  <si>
    <t>Fuente: Gobierno del Estado de Campeche. Secretaria de Bienestar. Instituto del Deporte del Estado de Campeche. 2026.</t>
  </si>
  <si>
    <t>SEDE</t>
  </si>
  <si>
    <t>Campeonato Invernal Pista y Campo 2025</t>
  </si>
  <si>
    <t>2da Copa Titanes Mérida</t>
  </si>
  <si>
    <t>7mo Festival Atlético</t>
  </si>
  <si>
    <t>Festival de Lanzamientos de Atletismo</t>
  </si>
  <si>
    <t>Nayarit</t>
  </si>
  <si>
    <t>Gimnasia de Trampolín</t>
  </si>
  <si>
    <t>Campeonato Nacional de Gimnasia de Trampolín</t>
  </si>
  <si>
    <t>Gimnasia Ritmica</t>
  </si>
  <si>
    <t>Torneo Nacional de Fundamentos de Gimnasia Ritmica</t>
  </si>
  <si>
    <t>Torneo Nacional "PRof. Tomoyoshi, Yamaguchi"</t>
  </si>
  <si>
    <t>Torneo Nacional "Prof. Tomoyoshi Yamaguchi"</t>
  </si>
  <si>
    <t>Ciudad de México</t>
  </si>
  <si>
    <t>Torneo Nacional "Prof. Manuel Larrañaga"</t>
  </si>
  <si>
    <t>CDMX</t>
  </si>
  <si>
    <t>Torneo Nacional "Daniel Flores"</t>
  </si>
  <si>
    <t>Morelia, Michoacán</t>
  </si>
  <si>
    <t>Campeonato Panamericano</t>
  </si>
  <si>
    <t>Lima, Perú</t>
  </si>
  <si>
    <t>VII Juegos Deportivos Escolares Centroamericanos y del Caribe 2025</t>
  </si>
  <si>
    <t>Córdoba, Montería, Colombia.</t>
  </si>
  <si>
    <t>Campeonato de la Copa Jaguar de Teran</t>
  </si>
  <si>
    <t>Campeonato Panamericano Juvenil</t>
  </si>
  <si>
    <t>Asunción, Paraguay</t>
  </si>
  <si>
    <t>Copa Mabuni de Karate</t>
  </si>
  <si>
    <t>Levantamiento de Pesas</t>
  </si>
  <si>
    <t>Campeonato Panamericano U17</t>
  </si>
  <si>
    <t>Campeonato Nacional de Pesas de Mayores</t>
  </si>
  <si>
    <t>Juegos Panamericanos Junior</t>
  </si>
  <si>
    <t>Campeonato Mundial de Mayores</t>
  </si>
  <si>
    <t>Forde, Noruega</t>
  </si>
  <si>
    <t>Torneo Nacional del Pavo</t>
  </si>
  <si>
    <t>San Luis Potosí</t>
  </si>
  <si>
    <t>Luchas Asociadas</t>
  </si>
  <si>
    <t>Abierto Mexicano de Lucha</t>
  </si>
  <si>
    <t>Oaxaca de Juárez, Oaxaca</t>
  </si>
  <si>
    <t>Campeonato Nacional de Luchas</t>
  </si>
  <si>
    <t>Gran Prix "Todos Estrellas"</t>
  </si>
  <si>
    <t>Selectivo Panamericano Champioship 2025</t>
  </si>
  <si>
    <t>Abierto Mexicano de Tae Kwon Do</t>
  </si>
  <si>
    <t>Aguascalientes</t>
  </si>
  <si>
    <t>Torneo G-2 de Taekwondo</t>
  </si>
  <si>
    <t>Coahuila</t>
  </si>
  <si>
    <t>Torneo Gran Slam Taekwondo</t>
  </si>
  <si>
    <t>Puerto Vallarta, Nayarit</t>
  </si>
  <si>
    <t>Torneo Internacional President´s Cup</t>
  </si>
  <si>
    <t>Para powerlifting</t>
  </si>
  <si>
    <t>Abierto Nacional de Para powerlifting</t>
  </si>
  <si>
    <t>Cuernavaca, Morelos</t>
  </si>
  <si>
    <t>Campeonato Mundial de Para powerlifting El Cairo 2025</t>
  </si>
  <si>
    <t>Egipto</t>
  </si>
  <si>
    <t>Taek Won Do</t>
  </si>
  <si>
    <t>Festival Mexicano de Taekwondo</t>
  </si>
  <si>
    <t>Tampico, Tamaulipas</t>
  </si>
  <si>
    <t>UNIDAD DEPORTIVA a/</t>
  </si>
  <si>
    <t>CENTRO DEPORTIVO b/</t>
  </si>
  <si>
    <t>ESTADIO DE BÉISBOL</t>
  </si>
  <si>
    <t>GIMNASIO</t>
  </si>
  <si>
    <t>CAMPO</t>
  </si>
  <si>
    <t>CANCHA</t>
  </si>
  <si>
    <t>FÚTBOL</t>
  </si>
  <si>
    <t>BÉISBOL</t>
  </si>
  <si>
    <t>FÚTBOL Y BÉISBOL</t>
  </si>
  <si>
    <t>BÁSQUETBOL</t>
  </si>
  <si>
    <t>VÓLEIBOL</t>
  </si>
  <si>
    <t>USOS MÚLTIPLES</t>
  </si>
  <si>
    <t xml:space="preserve">Calakmul </t>
  </si>
  <si>
    <t xml:space="preserve">Calkiní </t>
  </si>
  <si>
    <t xml:space="preserve">Candelaria </t>
  </si>
  <si>
    <t xml:space="preserve">Carmen </t>
  </si>
  <si>
    <t xml:space="preserve">Champotón </t>
  </si>
  <si>
    <t xml:space="preserve">Escárcega </t>
  </si>
  <si>
    <t xml:space="preserve">Hecelchakán </t>
  </si>
  <si>
    <t xml:space="preserve">Hopelchén </t>
  </si>
  <si>
    <t xml:space="preserve">Palizada </t>
  </si>
  <si>
    <t xml:space="preserve">Tenabo </t>
  </si>
  <si>
    <t>a/ Espacio conformado por un conjunto de instalaciones deportivas cubierto o descubierto, destinadas a la práctica organizada del deporte y competencias deportivas.</t>
  </si>
  <si>
    <t>b/ Lugar constituido por 3, 6 o 10 canchas descubiertas con instalaciones complementarias y de apoyo, destinadas a la práctica organizada de los deportes, así como de espacios acondicionados para el esparcimiento de los niños.</t>
  </si>
  <si>
    <t>BENEFICIARIAS</t>
  </si>
  <si>
    <t>Nota: La inversión total no incluye $50,000.00 pesos correspondientes a gastos de operación.</t>
  </si>
  <si>
    <t>Fondo de Infraestructura Social para las Entidades</t>
  </si>
  <si>
    <t>Número de beneficiarias e inversión por municipio del Proyecto ¡No estás sola!, julio 2025 a junio 2026.</t>
  </si>
  <si>
    <t>Sobrinos para la Transformación</t>
  </si>
  <si>
    <t>Bienestar ñ/</t>
  </si>
  <si>
    <t>Convenios de Coordinación con Municipios</t>
  </si>
  <si>
    <t>a/ La inversión total no incluye $1,128,942 de pesos correspondientes a gastos de operación del Programa Formación Jaguar del ejercicio fiscal 2025</t>
  </si>
  <si>
    <t xml:space="preserve">b/ La inversión total no incluye $923,033 pesos correspondientes a gastos de operación </t>
  </si>
  <si>
    <t>c/ La inversión total no incluye $395,400 pesos correspondientes a gastos de operación</t>
  </si>
  <si>
    <t xml:space="preserve">d/ La inversión total no incluye $106,693 pesos correspondientes a gastos de operación </t>
  </si>
  <si>
    <t>e/ La inversión total no incluye $575,611 pesos correspondientes a gastos de operación</t>
  </si>
  <si>
    <t>f/ La inversión total no incluye $383,192 pesos correspondientes a gastos de operación</t>
  </si>
  <si>
    <t xml:space="preserve">g/ La inversión total no incluye $50,000 pesos correspondientes a gastos de operación </t>
  </si>
  <si>
    <t>h/ La inversión total no incluye $450,000 pesos correspondientes a gastos de operación</t>
  </si>
  <si>
    <t>i/ La inversión total no incluye $1,467,000 pesos correspondientes a gastos de operación</t>
  </si>
  <si>
    <t>j/ La inversión total no incluye $484,741 pesos correspondientes a gastos de operación</t>
  </si>
  <si>
    <t xml:space="preserve">k/ La inversión total no incluye $456,241 pesos correspondientes a gastos de operación                                                                                                                                                                                  </t>
  </si>
  <si>
    <t xml:space="preserve">l/La inversión total no incluye $201,640 pesos correspondientes a gastos de operación                                                                                                                                                                                    </t>
  </si>
  <si>
    <t xml:space="preserve">m/La inversión total no incluye $343,673.40 pesos correspondientes a gastos de operación                                                                                                                                                                     </t>
  </si>
  <si>
    <t xml:space="preserve">n/La inversión total no incluye $716,639 pesos correspondientes a gastos de operación                                                                                            </t>
  </si>
  <si>
    <t>ñ/La totalidad de los recursos FISE destinados a estos proyectos, se pagó al 31 de diciembre del 2025 la suma $12,868,228, quedando pendiente por ejercer la cantidad de $3,639,210 en el primer trimestre del 2026, cantidad correspondiente al 50% de inversión de los proyectos de los municipios de Carmen y Candelaria.</t>
  </si>
  <si>
    <t>TIPO DE VIOLENCIA</t>
  </si>
  <si>
    <t>SEXO</t>
  </si>
  <si>
    <t>ECONÓMICA</t>
  </si>
  <si>
    <t>FÍSICA</t>
  </si>
  <si>
    <t>PSICOLÓGICA</t>
  </si>
  <si>
    <t>PATRIMONIAL</t>
  </si>
  <si>
    <t>Nota: Las personas pueden experimentar múltiples formas de violencia simultáneamente.</t>
  </si>
  <si>
    <t xml:space="preserve"> MUJERES</t>
  </si>
  <si>
    <t>USUARIOS</t>
  </si>
  <si>
    <t xml:space="preserve">Exploración mama
</t>
  </si>
  <si>
    <t xml:space="preserve">Medicina General 
</t>
  </si>
  <si>
    <t xml:space="preserve">Juridico </t>
  </si>
  <si>
    <t xml:space="preserve">Psicológico </t>
  </si>
  <si>
    <t>Ultrasonografia</t>
  </si>
  <si>
    <t xml:space="preserve">Atención ciudadana
</t>
  </si>
  <si>
    <t xml:space="preserve">Jurídico 
</t>
  </si>
  <si>
    <t xml:space="preserve">Psicológico 
</t>
  </si>
  <si>
    <t>Capacitación</t>
  </si>
  <si>
    <t xml:space="preserve">Salud visual </t>
  </si>
  <si>
    <t xml:space="preserve">Ventanilla digital </t>
  </si>
  <si>
    <t>PROGRAMA Y/O PROYECTO</t>
  </si>
  <si>
    <t>MONTO</t>
  </si>
  <si>
    <t>PERSONAS IMPACTADAS</t>
  </si>
  <si>
    <t>MUNICIPIOS</t>
  </si>
  <si>
    <t>Nota: El Refugio alterna su operación entre recursos federales y estatales, dependiendo del periodo y la fuente de financiamiento asignada.</t>
  </si>
  <si>
    <t>#</t>
  </si>
  <si>
    <t>Clave</t>
  </si>
  <si>
    <t>Título</t>
  </si>
  <si>
    <t>Dependencia</t>
  </si>
  <si>
    <t>¿Requiere segunda etapa?</t>
  </si>
  <si>
    <t>INCLUSIÓN</t>
  </si>
  <si>
    <t>Número de beneficiarios e inversión del Proyecto "Emprender Contigo" por municipio, Julio 2025 a Junio 2026.</t>
  </si>
  <si>
    <t>BIENESTAR</t>
  </si>
  <si>
    <t>IMEC</t>
  </si>
  <si>
    <t>M3-001</t>
  </si>
  <si>
    <t>Inversión en equipamiento por tipo, según nivel de gobierno, Julio 2025 a junio 2026.</t>
  </si>
  <si>
    <t>SALUD</t>
  </si>
  <si>
    <t>Sí</t>
  </si>
  <si>
    <t>M3-002</t>
  </si>
  <si>
    <t>Presupuesto ejercido en salud por fuente de financiamiento, Julio 2025 a Junio 2026.</t>
  </si>
  <si>
    <t>M3-003</t>
  </si>
  <si>
    <t>M3-004</t>
  </si>
  <si>
    <t>M3-005</t>
  </si>
  <si>
    <t>M3-006</t>
  </si>
  <si>
    <t>M3-007</t>
  </si>
  <si>
    <t>M3-008</t>
  </si>
  <si>
    <t>Detección oportuna del VIH SIDA e ITS por CAPASIT´S, 2025.</t>
  </si>
  <si>
    <t>M3-009</t>
  </si>
  <si>
    <t>Acciones, actividades y población beneficiada de la atención y prevención contra las adicciones en el SANNAFARM Vida Nueva por tipo, 2025</t>
  </si>
  <si>
    <t>M3-010</t>
  </si>
  <si>
    <t>M3-011</t>
  </si>
  <si>
    <t>M3-012</t>
  </si>
  <si>
    <t>M3-013</t>
  </si>
  <si>
    <t>M3-014</t>
  </si>
  <si>
    <t>M3-015</t>
  </si>
  <si>
    <t>M3-016</t>
  </si>
  <si>
    <t>M3-017</t>
  </si>
  <si>
    <t>M3-018</t>
  </si>
  <si>
    <t>M3-019</t>
  </si>
  <si>
    <t>M3-020</t>
  </si>
  <si>
    <t>M3-021</t>
  </si>
  <si>
    <t>Número de Unidades Médicas Móviles (UMM), localidades y beneficiados por municipio, 2025.</t>
  </si>
  <si>
    <t>M3-022</t>
  </si>
  <si>
    <t>M3-023</t>
  </si>
  <si>
    <t>M3-024</t>
  </si>
  <si>
    <t>Acciones de la estrategia de Cirugía Extramuros, 2025.</t>
  </si>
  <si>
    <t>M3-025</t>
  </si>
  <si>
    <t>M3-026</t>
  </si>
  <si>
    <t>M3-027</t>
  </si>
  <si>
    <t>M3-028</t>
  </si>
  <si>
    <t>M3-029</t>
  </si>
  <si>
    <t>M3-030</t>
  </si>
  <si>
    <t>M3-031</t>
  </si>
  <si>
    <t>M3-032</t>
  </si>
  <si>
    <t>M3-033</t>
  </si>
  <si>
    <t>M3-034</t>
  </si>
  <si>
    <t>M3-035</t>
  </si>
  <si>
    <t>M3-036</t>
  </si>
  <si>
    <t>M3-037</t>
  </si>
  <si>
    <t>M3-038</t>
  </si>
  <si>
    <t>Indicadores educativos del nivel primaria por municipio, según tipo de indicador, ciclo escolar 2024-2025.</t>
  </si>
  <si>
    <t>SEDUC</t>
  </si>
  <si>
    <t>M3-039</t>
  </si>
  <si>
    <t>Indicadores educativos del nivel secundaria por municipio, según tipo de indicador, ciclo escolar 2024-2025.</t>
  </si>
  <si>
    <t>M3-040</t>
  </si>
  <si>
    <t>Indicadores educativos del nivel medio superior por municipio, según tipo de indicador, ciclo escolar 2024-2025.</t>
  </si>
  <si>
    <t>M3-041</t>
  </si>
  <si>
    <t>Indicadores educativos del nivel superior por municipio, según tipo de indicador, ciclo escolar 2024-2025.</t>
  </si>
  <si>
    <t>M3-042</t>
  </si>
  <si>
    <t>Porcentaje de cobertura educativa por municipio, según nivel educativo, ciclo escolar 2025-2026.</t>
  </si>
  <si>
    <t>M3-043</t>
  </si>
  <si>
    <t>M3-044</t>
  </si>
  <si>
    <t>Número de alumnos, docentes, grupos y escuelas por nivel educativo, Ciclo Escolar 2025-2026.</t>
  </si>
  <si>
    <t>M3-045</t>
  </si>
  <si>
    <t>Número de alumnos inscritos, egresados y titulados por carreras con mayor demanda, ciclo escolar 2025-2026.</t>
  </si>
  <si>
    <t>M3-046</t>
  </si>
  <si>
    <t>Número de alumnos inscritos, egresados y titulados de los posgrados con mayor demanda, ciclo escolar 2025-2026.</t>
  </si>
  <si>
    <t>M3-047</t>
  </si>
  <si>
    <t>Porcentaje de atención de nivel preescolar por municipio, según edad, ciclo escolar 2025-2026.</t>
  </si>
  <si>
    <t>M3-048</t>
  </si>
  <si>
    <t>Inversión de Infraestructura Educativa por Dependencia Ejecutora, según tipo de acción, Julio 2025 a Junio 2026.</t>
  </si>
  <si>
    <t>M3-049</t>
  </si>
  <si>
    <t>Inversión de Infraestructura Educativa por Fuente de Financiamiento, según tipo de acción, Julio 2025 a Junio 2026.</t>
  </si>
  <si>
    <t>M3-050</t>
  </si>
  <si>
    <t>Inversión de Infraestructura Educativa por nivel educativo, según tipo de acción, Julio 2025 a Junio 2026.</t>
  </si>
  <si>
    <t>M3-051</t>
  </si>
  <si>
    <t>Inversión del programa de Infraestructura Educativa por municipio, según tipo de acción, Julio 2025 a Junio 2026.</t>
  </si>
  <si>
    <t>M3-052</t>
  </si>
  <si>
    <t>Inversión en Infraestructura Educativa realizadas con recursos propios de las instituciones educativas por tipo de obra, Julio 2025 a junio 2026.</t>
  </si>
  <si>
    <t>M3-053</t>
  </si>
  <si>
    <t>Becas otorgadas por la Fundación Pablo García e inversión por municipio según nivel educativo, Ciclo Escolar 2025/2026.</t>
  </si>
  <si>
    <t>M3-054</t>
  </si>
  <si>
    <t>Número de docentes incorporados al Programa de Promoción Horizontal por Niveles con Incentivos en Educación Básica 2025-2026.</t>
  </si>
  <si>
    <t>M3-055</t>
  </si>
  <si>
    <t>Número de prestadores de servicio social y prácticas profesionales por institución, ciclo escolar 2025-2026.</t>
  </si>
  <si>
    <t>M3-056</t>
  </si>
  <si>
    <t>Número de investigadores y candidatos del Sistema Nacional de Investigadoras e Investigadores por institución y área del conocimiento según nivel, al 31 de diciembre de 2025.</t>
  </si>
  <si>
    <t>M3-057</t>
  </si>
  <si>
    <t>Número de programas educativos acreditados vigentes en educación superior, por institución, según área de conocimiento, ciclo escolar 2025-2026.</t>
  </si>
  <si>
    <t>M3-058</t>
  </si>
  <si>
    <t>M3-059</t>
  </si>
  <si>
    <t>M3-060</t>
  </si>
  <si>
    <t>M3-061</t>
  </si>
  <si>
    <t>M3-062</t>
  </si>
  <si>
    <t>M3-063</t>
  </si>
  <si>
    <t xml:space="preserve">Acciones e inversión en programas de vivienda por tipo de estrategia y programa, Julio 2025 a Junio 2026.			</t>
  </si>
  <si>
    <t>M3-064</t>
  </si>
  <si>
    <t>M3-065</t>
  </si>
  <si>
    <t xml:space="preserve">Viviendas edificadas en el Estado por organismo que otorga el financiamiento, 2021-2025.	</t>
  </si>
  <si>
    <t>M3-066</t>
  </si>
  <si>
    <t>Número de localidades, acciones y beneficiarios del Programa Hogares en Bienestar por municipio, 2025.</t>
  </si>
  <si>
    <t>M3-067</t>
  </si>
  <si>
    <t>Número de acciones de mejora, beneficiarios e inversión de los proyectos de infraestructura social básica por municipio, Julio 2025 a Junio 2026.</t>
  </si>
  <si>
    <t>M3-068</t>
  </si>
  <si>
    <t>INDECAM</t>
  </si>
  <si>
    <t>M3-069</t>
  </si>
  <si>
    <t>M3-070</t>
  </si>
  <si>
    <t>M3-071</t>
  </si>
  <si>
    <t>M3-072</t>
  </si>
  <si>
    <t xml:space="preserve">Inventario deportivo por municipio, según tipo, 2025.										</t>
  </si>
  <si>
    <t>M3-073</t>
  </si>
  <si>
    <t>SE ELIMINO</t>
  </si>
  <si>
    <t>M3-074</t>
  </si>
  <si>
    <t>Número de beneficiarias e inversión por municipio del Proyecto ¡No estás sola!, Julio 2025 a Junio 2026.</t>
  </si>
  <si>
    <t>M3-075</t>
  </si>
  <si>
    <t>M3-076</t>
  </si>
  <si>
    <t>Tipos de violencia que se presentan a través de la línea telefónica TELMUJER - Campeche, según tipo de violencia y sexo del denunciante, 2025.</t>
  </si>
  <si>
    <t>M3-077</t>
  </si>
  <si>
    <t>M3-078</t>
  </si>
  <si>
    <t>Servicios otorgados por los Centros Libre, por municipio, 2025.</t>
  </si>
  <si>
    <t>M3-079</t>
  </si>
  <si>
    <t>Servicios otorgados por Unidad itinerante IMEC, 2025.</t>
  </si>
  <si>
    <t>M3-080</t>
  </si>
  <si>
    <t xml:space="preserve">Servicios por Unidad Fija IMEC, 2025.		</t>
  </si>
  <si>
    <t>M3-081</t>
  </si>
  <si>
    <t>Inversión, personas impactadas y municipios cubiertos por los programas y proyectos proporcionados por el IMEC, Julio 2025 a Junio 2026.</t>
  </si>
  <si>
    <t>M3-082</t>
  </si>
  <si>
    <t>Evolución anual de acciones, proyectos y/o mecanismos implementados para las juventudes, 2021 a 2025.</t>
  </si>
  <si>
    <t>INJUCAM</t>
  </si>
  <si>
    <t>M3-083</t>
  </si>
  <si>
    <t>Asistentes a eventos, convocatorias y/o certámenes, 2025.</t>
  </si>
  <si>
    <t>M3-084</t>
  </si>
  <si>
    <t>Asistentes a las charlas, talleres, pláticas y/o foros, 2025.</t>
  </si>
  <si>
    <t>M3-085</t>
  </si>
  <si>
    <t>Actividades de concientización, sensibilización y capacitación realizadas por sector, 2025.</t>
  </si>
  <si>
    <t>M3-086</t>
  </si>
  <si>
    <t>M3-087</t>
  </si>
  <si>
    <t>Actividades en Centros de Reinserción Social y Centro de Internamiento para Adolescentes, 2025.</t>
  </si>
  <si>
    <t>M3-088</t>
  </si>
  <si>
    <t>Personas beneficiarias del programa "Impulso a la Inclusión Social" por grupo de atención, 2025.</t>
  </si>
  <si>
    <t>M3-089</t>
  </si>
  <si>
    <t>Número de raciones alimentarias, Espacios de Alimentación, Encuentro y Desarrollo Comunitario (EAEDC) y sus beneficiarios por municipio, 2025.</t>
  </si>
  <si>
    <t>M3-090</t>
  </si>
  <si>
    <t>Número de red de comedores, centros asistenciales, raciones alimenticias y beneficiarios en Comedores del Adulto Mayor por municipio, 2025.</t>
  </si>
  <si>
    <t>M3-091</t>
  </si>
  <si>
    <t>Número de Centros de Asistencia Infantil Comunitario (CAIC) y Centros Asistenciales de Desarrollo Infantil (CADI) y beneficiados por municipio, según etapa educativa, 2025.</t>
  </si>
  <si>
    <t>M3-092</t>
  </si>
  <si>
    <t>Número de alumnos en Centros de Desarrollo y Capacitación por tipo de taller, 2025.</t>
  </si>
  <si>
    <t>M3-093</t>
  </si>
  <si>
    <t>Número de talleres y beneficiarios de los Centros de Desarrollo Comunitario (CDC) DIF PILARES por colonia, 2025.</t>
  </si>
  <si>
    <t>M3-094</t>
  </si>
  <si>
    <t>Número de kilogramos, familias, comunidades y colonias beneficiadas con el programa Cuaresma de Todos por municipio, 2026.</t>
  </si>
  <si>
    <t>M3-095</t>
  </si>
  <si>
    <t>Número de acciones y beneficiarios del Centro de Atención Psicosocial a Niñas, Niños y Adolescentes (CAPANNA) por tema, 2025.</t>
  </si>
  <si>
    <t>M3-096</t>
  </si>
  <si>
    <t>Acciones y beneficiarios de las Procuradurías de Protección a Niñas, Niños y Adolescentes por municipio, según tipo, 2025.</t>
  </si>
  <si>
    <t>M3-097</t>
  </si>
  <si>
    <t>M3-098</t>
  </si>
  <si>
    <t>Número de beneficiarios de aparatos funcionales entregados por tipo, 2025.</t>
  </si>
  <si>
    <t>M3-099</t>
  </si>
  <si>
    <t>Número de sesiones y beneficiarios de los servicios de terapia otorgados por centro y tipo de sesión, 2025.</t>
  </si>
  <si>
    <t>M3-100</t>
  </si>
  <si>
    <t>Resumen de beneficiarios de centros y programas del DIF estatal por programa-centro, 2025.</t>
  </si>
  <si>
    <t>M3-101</t>
  </si>
  <si>
    <t>Actividades de promoción y desarrollo cultural y artístico, 2025.</t>
  </si>
  <si>
    <t>CULTURA</t>
  </si>
  <si>
    <t>M3-102</t>
  </si>
  <si>
    <t>Actividades de capacitación, desarrollo y formación en materia cultural y artística, 2025.</t>
  </si>
  <si>
    <t>M3-103</t>
  </si>
  <si>
    <t>Actividades culturales realizadas por disciplina, 2025.</t>
  </si>
  <si>
    <t>M3-104</t>
  </si>
  <si>
    <t>Convenios en materia cultural, Julio 2025 a Junio 2026.</t>
  </si>
  <si>
    <t>M3-105</t>
  </si>
  <si>
    <t xml:space="preserve">Servicios bibliotecarios otorgados por la red estatal de bibliotecas, 2025.		</t>
  </si>
  <si>
    <t>Fuente: Gobierno del Estado de Campeche. Secretaria de Protección y Seguridad Ciudadana. Secretaria de Bienestar. Instituto de la Mujer del Estado de Campeche. 2026.</t>
  </si>
  <si>
    <t>Inversión, personas impactadas y municipios cubiertos por los programas y proyectos proporcionados por el IMEC, julio 2025 a junio 2026.</t>
  </si>
  <si>
    <t>Subsidios Destinados para las Acciones de Coadyuvancia para las Declaratorias de Alerta de Violencia de Género Contra las Mujeres en Estados y Municipios</t>
  </si>
  <si>
    <t xml:space="preserve">Calakmul, Calkiní, Campeche, Candelaria, Champotón, Escárcega, Hecelchakán, Hopelchén, Carmen, Seybaplaya y Tenabo. </t>
  </si>
  <si>
    <t>Programa de Apoyo para Refugios Especializados para Mujeres Víctimas de Violencia de Género, sus Hijas e Hijos</t>
  </si>
  <si>
    <t>Carmen, Champotón, Escárcega y Calakmul</t>
  </si>
  <si>
    <t>Programa de Atención Integral para el Bienestar de las Mujeres (PAIBIM)</t>
  </si>
  <si>
    <t>13 municipios</t>
  </si>
  <si>
    <t>SERVICIOS BANAVIM</t>
  </si>
  <si>
    <t>MUJERES ATENDIDAS</t>
  </si>
  <si>
    <t>SERVICIOS (NO VIOLENCIA)</t>
  </si>
  <si>
    <t>ACCIONES, PROYECTOS Y/O MECANISMOS</t>
  </si>
  <si>
    <t>Tarjeta Jaguar</t>
  </si>
  <si>
    <t>Hablemos de emociones</t>
  </si>
  <si>
    <t>Brigadas Taánkelem Báalam</t>
  </si>
  <si>
    <t>Ruta Yo Decido</t>
  </si>
  <si>
    <t>Espacios Voluntad Joven Táankelem Báalam</t>
  </si>
  <si>
    <t>Programas Voluntades TV</t>
  </si>
  <si>
    <t>Vincular a jóvenes con esquemas que apoyen la integración laboral, el autoempleo y el emprendimiento</t>
  </si>
  <si>
    <t>Convenios con instituciones públicas y privadas</t>
  </si>
  <si>
    <t>Voluntades Radio</t>
  </si>
  <si>
    <t>ACTIVIDADES</t>
  </si>
  <si>
    <t>ASISTENTES</t>
  </si>
  <si>
    <t>Premio Estatal de la Juventud</t>
  </si>
  <si>
    <t>Actividades por el Día Internacional de la Juventud</t>
  </si>
  <si>
    <t>Foro de Consulta a las Juventudes para la Construcción del Plan Nacional de Desarrollo 2025–2030</t>
  </si>
  <si>
    <t>Jornadas por la Paz y contra las Adicciones: Tequios, Murales, Carrera, Caminata y Rodada</t>
  </si>
  <si>
    <t>Jornada de Concientización del Sueño Reparador Infanto Juvenil</t>
  </si>
  <si>
    <t>Fuente: Gobierno del Estado de Campeche. Secretaría de Bienestar. Instituto de la Juventud del Estado de Campeche (INJUCAM). 2026.</t>
  </si>
  <si>
    <t>Fuente: Gobierno del Estado de Campeche. Secretaría de Bienestar. Instituto de la Juventud del Estado de Campeche (INJUCAM).2026.</t>
  </si>
  <si>
    <t xml:space="preserve">Curso de Salud Mental </t>
  </si>
  <si>
    <t>Participación en el Mercadito Jaguar</t>
  </si>
  <si>
    <t>Rodada y Carrera por la Paz y Contra las Adicciones</t>
  </si>
  <si>
    <t>Rodada y Carrera por la Paz y Contra las Adicciones "Día de Muertos"</t>
  </si>
  <si>
    <t>Caminata Campechana</t>
  </si>
  <si>
    <t>Charla: “ITS”</t>
  </si>
  <si>
    <t>Charla: “Noviazgo”</t>
  </si>
  <si>
    <t>Charla: “Prevención Sustancias Adictivas”</t>
  </si>
  <si>
    <t>Charla: “Manejo de Estrés y Ansiedad”</t>
  </si>
  <si>
    <t xml:space="preserve">Charla: "Acoso Escolar" </t>
  </si>
  <si>
    <t xml:space="preserve">Charla: “Autoestima y Motivación”
</t>
  </si>
  <si>
    <t xml:space="preserve">Charla: “Cómo Armar tu CV”
</t>
  </si>
  <si>
    <t>Charla: “Proyecto de Vida”</t>
  </si>
  <si>
    <t>Charla: “Hablemos de Salud Mental”</t>
  </si>
  <si>
    <t>Charla: “Manejo de Conflictos e Inteligencia Emocional”</t>
  </si>
  <si>
    <t>Charla: “Higiene Personal”</t>
  </si>
  <si>
    <t>Charla: “Diversidad Sexual”</t>
  </si>
  <si>
    <t>Charla “Derechos de las Mujeres”</t>
  </si>
  <si>
    <t>Charla: "Hablemos de Emociones"</t>
  </si>
  <si>
    <t xml:space="preserve">Charla: "Resiliencia"
</t>
  </si>
  <si>
    <t>Stand Informativo INJUCAM</t>
  </si>
  <si>
    <t>Charla: “Prevención de la Conducta Suicida”</t>
  </si>
  <si>
    <t>Charla: “Salud Sexual"</t>
  </si>
  <si>
    <t>SECTOR</t>
  </si>
  <si>
    <t xml:space="preserve">NÚMERO DE ACTIVIDADES </t>
  </si>
  <si>
    <t>Educativo</t>
  </si>
  <si>
    <t>Gubernamental</t>
  </si>
  <si>
    <t>Público en general</t>
  </si>
  <si>
    <t>TIPO DE CENTRO</t>
  </si>
  <si>
    <t>GRUPO DE ATENCIÓN</t>
  </si>
  <si>
    <t>Personas cuidadoras primarias</t>
  </si>
  <si>
    <t>Personas de pueblos indígenas, originarios y afromexicanos</t>
  </si>
  <si>
    <t>Personas en situación de calle</t>
  </si>
  <si>
    <t>Fuente: Gobierno del Estado de Campeche. Secretaría de Inclusión. Elaboración con datos del archivo interno. 2026.</t>
  </si>
  <si>
    <t>Centro de Readaptación Social de San Francisco Kobén, Campeche</t>
  </si>
  <si>
    <t>Unidad Administrativa para Menores en Conflicto con la Ley</t>
  </si>
  <si>
    <t>Personas con discapacidad</t>
  </si>
  <si>
    <t>Personas de la diversidad sexogenérica</t>
  </si>
  <si>
    <t>Personas en proceso de reinserción social</t>
  </si>
  <si>
    <t>RACIONES DISTRIBUIDAS</t>
  </si>
  <si>
    <t>NÚMERO DE ESPACIOS DE ALIMENTACIÓN</t>
  </si>
  <si>
    <t>NÚMERO DE BENEFICIARIOS</t>
  </si>
  <si>
    <t>37 a/</t>
  </si>
  <si>
    <t>RED DE COMEDORES</t>
  </si>
  <si>
    <t>CENTROS ASISTENCIALES a/</t>
  </si>
  <si>
    <t>NÚMERO DE RACIONES</t>
  </si>
  <si>
    <t xml:space="preserve">a/ Los Centros Asistenciales no son considerados como Comedores, pero se incluyen ya que reciben insumos para el servicio de alimentación. 
</t>
  </si>
  <si>
    <t>CENTROS a/</t>
  </si>
  <si>
    <t>LACTANTES</t>
  </si>
  <si>
    <t>MATERNAL</t>
  </si>
  <si>
    <t>PREESCOLAR</t>
  </si>
  <si>
    <t xml:space="preserve">a/ El total incluye 32 Centros de Asistencia Infantil Comunitario y 3 Centros Asistenciales de Desarrollo Infantil.
</t>
  </si>
  <si>
    <t>TALLER</t>
  </si>
  <si>
    <t>CEDECA 1</t>
  </si>
  <si>
    <t>CEDECA 2</t>
  </si>
  <si>
    <t>CEDECA 3</t>
  </si>
  <si>
    <t xml:space="preserve">Aerobics      </t>
  </si>
  <si>
    <t xml:space="preserve">Apoyo a tareas          </t>
  </si>
  <si>
    <t xml:space="preserve">Belleza  </t>
  </si>
  <si>
    <t xml:space="preserve">Cocina y repostería    </t>
  </si>
  <si>
    <t xml:space="preserve">Corte y confección     </t>
  </si>
  <si>
    <t xml:space="preserve">Danza </t>
  </si>
  <si>
    <t xml:space="preserve">Manualidades </t>
  </si>
  <si>
    <t xml:space="preserve">Tae Kwon Do             </t>
  </si>
  <si>
    <t>COLONIAS</t>
  </si>
  <si>
    <t>TALLERES a/</t>
  </si>
  <si>
    <t>KILOGRAMOS DISTRIBUIDOS a/</t>
  </si>
  <si>
    <t>FAMILIAS BENEFICIADAS</t>
  </si>
  <si>
    <t>COMUNIDADES BENEFICIADAS</t>
  </si>
  <si>
    <t>COLONIAS BENEFICIADAS</t>
  </si>
  <si>
    <t>a/ Se refiere a kilogramos distribuidos de pescado.</t>
  </si>
  <si>
    <t>TEMAS</t>
  </si>
  <si>
    <t>Atención a niñas, niños y adolescentes en adopción, reintegración y familias de acogida</t>
  </si>
  <si>
    <t>Canalizaciones</t>
  </si>
  <si>
    <t>Dictámenes psicológicos</t>
  </si>
  <si>
    <t>Dictámenes psicológicas de adopción, reintegración y familias de acogida.</t>
  </si>
  <si>
    <t>Ingresos a servicios de atención psicológica</t>
  </si>
  <si>
    <t>Niñas, Niños y Adolescentes en acogimiento familiar</t>
  </si>
  <si>
    <t>Terapia psicológica</t>
  </si>
  <si>
    <t>ASESORÍAS JURÍDICAS</t>
  </si>
  <si>
    <t>REPORTES DE VULNERACIÓN DE DERECHOS</t>
  </si>
  <si>
    <t>INTERVENCIONES EN AUDIENCIAS</t>
  </si>
  <si>
    <t xml:space="preserve">a/ Las acciones y beneficiarios del municipio de Campeche incluyen lo realizado por el SMDIF y el SEDIF. 
</t>
  </si>
  <si>
    <t xml:space="preserve">CATETERISMO </t>
  </si>
  <si>
    <t>LABIO Y PALADAR HENDIDO a/</t>
  </si>
  <si>
    <t>PRÓTESIS MAXILOFACIAL</t>
  </si>
  <si>
    <t>VALORADO</t>
  </si>
  <si>
    <t>OPERADO</t>
  </si>
  <si>
    <t xml:space="preserve">a/ Incluye las campañas encabezados por médicos de la UNAM, así como el grupo de "Médicos por una sonrisa" de la Fundación Shares Internacional. 
</t>
  </si>
  <si>
    <t>TIPO DE APARATO FUNCIONAL</t>
  </si>
  <si>
    <t xml:space="preserve">Andaderas </t>
  </si>
  <si>
    <t>Auxiliares auditivos</t>
  </si>
  <si>
    <t xml:space="preserve">Bastones </t>
  </si>
  <si>
    <t xml:space="preserve">Muletas </t>
  </si>
  <si>
    <t>Nebulizadores</t>
  </si>
  <si>
    <t>Sillas cómodo de baño</t>
  </si>
  <si>
    <t>Sillas de ruedas a/</t>
  </si>
  <si>
    <t xml:space="preserve">. </t>
  </si>
  <si>
    <t>a/ Incluye: Sillas de ruedas estándar, de sobrepeso y sillas y carriolas PCI / PCA.</t>
  </si>
  <si>
    <t>CENTRO/TIPO DE SESIÓN</t>
  </si>
  <si>
    <t>SESIONES</t>
  </si>
  <si>
    <t>Centro de Rehabilitación Acuática y Clases de Natación (CRANC)</t>
  </si>
  <si>
    <t>Natación Rehabilitatoria y Acuática</t>
  </si>
  <si>
    <t xml:space="preserve">Centro de Rehabilitación y Educación Especial (CREE) </t>
  </si>
  <si>
    <t>Física</t>
  </si>
  <si>
    <t>Lenguaje</t>
  </si>
  <si>
    <t>Ocupacional</t>
  </si>
  <si>
    <t xml:space="preserve">Estimulación Múltiple Temprana </t>
  </si>
  <si>
    <t xml:space="preserve">Unidades Básicas de Rehabilitación (UBR) </t>
  </si>
  <si>
    <t>Electroterapia</t>
  </si>
  <si>
    <t>Hidroterapia</t>
  </si>
  <si>
    <t>Mecanoterapia</t>
  </si>
  <si>
    <t>Estimulación Múltiple Temprana</t>
  </si>
  <si>
    <t>PROGRAMAS/CENTROS</t>
  </si>
  <si>
    <t>Asistencia Social Alimentaria a Personas en Situación de Emergencia o Desastre a/</t>
  </si>
  <si>
    <t xml:space="preserve">Centros Asistenciales (CAIC y CADI) </t>
  </si>
  <si>
    <t>Centros Asistenciales DIF Estatal b/</t>
  </si>
  <si>
    <t>Cuaresma de Todos</t>
  </si>
  <si>
    <t>Espacios de Alimentación, Encuentro y Desarrollo Comunitario (EAEDC) c/</t>
  </si>
  <si>
    <t xml:space="preserve">Programa de Asistencia Social a Personas en situación de Vulnerabilidad </t>
  </si>
  <si>
    <t>Programa de Asistencia Social Alimentaria en los Primeros 1000 Días</t>
  </si>
  <si>
    <t>Programa de Cirugías Extramuros</t>
  </si>
  <si>
    <t>Programa de Salud y Bienestar Comunitario (PSBC)</t>
  </si>
  <si>
    <t xml:space="preserve">a/ El dato corresponde a familias beneficiadas. </t>
  </si>
  <si>
    <t>Fuente: Gobierno del Estado de Campeche. Sistema para el Desarrollo Integral de la Familia del Estado de Campeche. 2026.</t>
  </si>
  <si>
    <t xml:space="preserve">a/ Se incluyen tres Centros de Desarrollo Comunitario DIF PILARES (Ampliación Polvorín, Kaniste y Siglo XXI) que, aunque no son considerados Espacios de Alimentación, Encuentro y Desarrollo Comunitario, reciben insumos para el servicio de alimentación. Así como el Albergue "María Palmira Lavalle" se contempla como Centro Asistencial. </t>
  </si>
  <si>
    <t>b/ El CAIC ubicado en el municipio de Calkiní, está dado de alta ante los registros de la Secretaria de Educación, sin embargo, al corte de información se encontraba en cierre temporal por permiso por adecuaciones al inmueble.</t>
  </si>
  <si>
    <t>Calkiní  b/</t>
  </si>
  <si>
    <t>Urdido de hamaca</t>
  </si>
  <si>
    <t>Ampliación 4 caminos</t>
  </si>
  <si>
    <t>Ampliación Ignacio Zaragoza</t>
  </si>
  <si>
    <t>Ampliación Polvorin</t>
  </si>
  <si>
    <t>Camino Real</t>
  </si>
  <si>
    <t>Esperanza</t>
  </si>
  <si>
    <t>Huanal</t>
  </si>
  <si>
    <t>Ampliación Revolución</t>
  </si>
  <si>
    <t>Ignacio Zaragoza</t>
  </si>
  <si>
    <t>Imi  II</t>
  </si>
  <si>
    <t>Kanisté</t>
  </si>
  <si>
    <t>Las granjas</t>
  </si>
  <si>
    <t>Linda vista</t>
  </si>
  <si>
    <t>Mártires de Río blanco</t>
  </si>
  <si>
    <t>Miguel Hidalgo</t>
  </si>
  <si>
    <t>Morelos I</t>
  </si>
  <si>
    <t>Pablo García</t>
  </si>
  <si>
    <t>Plan Chac</t>
  </si>
  <si>
    <t>San Antonio</t>
  </si>
  <si>
    <t>San Joaquín</t>
  </si>
  <si>
    <t>San José el Alto</t>
  </si>
  <si>
    <t>Sascalum</t>
  </si>
  <si>
    <t>Bellavista</t>
  </si>
  <si>
    <t>Josefa Ortíz de Domínguez</t>
  </si>
  <si>
    <t>Vicente Guerrero</t>
  </si>
  <si>
    <t>Lerma</t>
  </si>
  <si>
    <t>Hampolol</t>
  </si>
  <si>
    <t xml:space="preserve">a/ Los talleres que se imparten en los CDC DIF PILARES son los siguientes: Cocina y repostería, Bordado, Cultura y belleza, Urdido de hamaca, Cosmética artesanal, Manualidades, Elaboración de jabones artesanales, Uñas acrílicas, Dibujo creativo,  Corte y confección, Danza, Folklore,  Activación física, Inglés, Apoyo escolar, Club adulto mayor, Tae Kwon Do, Gerontología,  Fisioterapia, Comedia musical, Bisutería, Reciclado, Pintura en tela, Guitarra,  Fomento a la lectura, Braille, Danza fitness,  Apoyo pedagógico, Artes marciales, Futbol, Psicoterapia, Panadería, Cocina saludable,  Dance Fitness, Manualidades macramé, Velas aromáticas, Resina Epóxica, Lengua Maya, Ludoteca, Reparación de Celulares, Percusión y Cómputo. </t>
  </si>
  <si>
    <t>Número de kilogramos, familias, comunidades y colonias beneficiadas con el Programa "Cuaresma de Todos" por municipio, 2026.</t>
  </si>
  <si>
    <t xml:space="preserve">Nota. Los beneficiarios atendidos en el programa de “Cuaresma de Todos” es de 96,343. El dato proporcionado de los beneficiarios y kilogramos distribuidos corresponde al global estatal en coordinación con los SMDIF. </t>
  </si>
  <si>
    <t>Número de valoraciones y beneficiarios operados, resultado del Programa Cirugías Extramuros por municipio, según tipo de intervención, 2025.</t>
  </si>
  <si>
    <t>CORNEA</t>
  </si>
  <si>
    <t>NARIZ</t>
  </si>
  <si>
    <t>PTERIGIÓN</t>
  </si>
  <si>
    <t>TUNEL DEL CARPO</t>
  </si>
  <si>
    <t>Lentes pregraduados</t>
  </si>
  <si>
    <t>Centro Regional de Rehabilitación Integral (CRRI)</t>
  </si>
  <si>
    <t>Resumen de beneficiarios de centros y programas del DIF estatal por Programa/Centro, 2025.</t>
  </si>
  <si>
    <t>Centros de Rehabilitación (CREE, CRRI y CRACN)</t>
  </si>
  <si>
    <t>b/ Incluye a 78 beneficiarios del Centro Asistencial "María Palmira Lavalle"; 107 del Centro de Asistencia Social para Migrantes "In Wotoch" y 1,842 del Centro de Atención Integral al Adulto Mayor.</t>
  </si>
  <si>
    <t>c/ El total de 43,639 beneficiarios resulta de la suma de: 29,414 beneficiarios del Programa Alimentación Escolar; 1,547 del Programa de Atención Alimentaria a Personas en situación de Vulnerabilidad, Menores de 5 años en Riesgo, No Escolarizados; 11,052 de Sujetos Vulnerables y 1,626 de la Red de Comedor del Adulto Mayor.</t>
  </si>
  <si>
    <t>ASISTENTES / BENEFICIARIOS</t>
  </si>
  <si>
    <t>Festival Internacional del Centro Histórico y Magno Concierto</t>
  </si>
  <si>
    <t>Festival Internacional de Jazz</t>
  </si>
  <si>
    <t>Magna Vaquería Peninsular</t>
  </si>
  <si>
    <t>Presentaciones Artísticas de las Agrupaciones Musicales</t>
  </si>
  <si>
    <t>Presentaciones artísticas por el Día Mundial de la Danza</t>
  </si>
  <si>
    <t>Presentaciones de obras de teatro</t>
  </si>
  <si>
    <t>Actividades Culturales CDC Imi 2</t>
  </si>
  <si>
    <t>Actividades diversas en el Teatro de la Ciudad "Francisco de Paula Toro"</t>
  </si>
  <si>
    <t>Actividades diversas en el Teatro "Juan de la Cabada Vera"</t>
  </si>
  <si>
    <t>Programa Estatal de Cultura Infantil y Juvenil</t>
  </si>
  <si>
    <t xml:space="preserve"> Exposiciones permanentes e itinerantes de artistas locales, nacionales e internacionales</t>
  </si>
  <si>
    <t xml:space="preserve"> Presentaciones permanentes e itinerantes de la OSCAM</t>
  </si>
  <si>
    <t>Programa de Estimulo a la Creación y Desarrollo Artístico (PECDA)</t>
  </si>
  <si>
    <t>Apoyo a Instituciones Estatales de Cultura (AIEC)</t>
  </si>
  <si>
    <t>Programa Nacional de Salas de Lectura (PNSL)</t>
  </si>
  <si>
    <t>Museo de Arte Contemporáneo</t>
  </si>
  <si>
    <t>CURSOS</t>
  </si>
  <si>
    <t>TALLERES</t>
  </si>
  <si>
    <t>Centro de Formación y Producción de Artes Visuales "La Arrocera"</t>
  </si>
  <si>
    <t>Centro Cultural "José Narváez Márquez" (Casa de la Música)</t>
  </si>
  <si>
    <t>Centro Cultural "El Claustro"</t>
  </si>
  <si>
    <t>Centro de Cultura infantil y juvenil "La Chácara"</t>
  </si>
  <si>
    <t>DISCIPLINA</t>
  </si>
  <si>
    <t>Literatura y Fomento a la Lectura</t>
  </si>
  <si>
    <t>Música</t>
  </si>
  <si>
    <t>CONVENIOS</t>
  </si>
  <si>
    <t xml:space="preserve"> ESTATAL</t>
  </si>
  <si>
    <t xml:space="preserve">FEDERAL </t>
  </si>
  <si>
    <t>Programa de Apoyo a Festivales Culturales y Artísticos (PROFEST)</t>
  </si>
  <si>
    <t>Programa de Acciones Culturales Multilingües y Comunitarias (PACMYC)</t>
  </si>
  <si>
    <t>Programa Estimulo a la Creación y Desarrollo Artístico (PECDA)</t>
  </si>
  <si>
    <t xml:space="preserve">NÚMERO DE SERVICIOS </t>
  </si>
  <si>
    <t xml:space="preserve">USUARIOS </t>
  </si>
  <si>
    <t>Cursos del módulo de servicios digitales</t>
  </si>
  <si>
    <t>Libros consultados</t>
  </si>
  <si>
    <t>Libros entregados</t>
  </si>
  <si>
    <t>Modulo de servicios digitales</t>
  </si>
  <si>
    <t>Visitas guiadas</t>
  </si>
  <si>
    <t>SEXUAL</t>
  </si>
  <si>
    <t xml:space="preserve">Celebraciones Patrias </t>
  </si>
  <si>
    <t>Presentaciones artísticas del Ballet Folclórico Luisa María Sosa Illescas</t>
  </si>
  <si>
    <t>Festival del Día de las Madres</t>
  </si>
  <si>
    <t>Una aventura en el Centro Histórico. Festival de la Niña y el Niño 2025. Juntos por una Cultura de Paz</t>
  </si>
  <si>
    <t>Magno Evento Certamen Linda Campechana Estatal 2025</t>
  </si>
  <si>
    <t>Fiesta del Palmar y el Sarao</t>
  </si>
  <si>
    <t>Auditorio del Baluarte de San Francisco</t>
  </si>
  <si>
    <t xml:space="preserve">Auditorio Hernán Loria </t>
  </si>
  <si>
    <t>Sala Teatro Ávila Cano</t>
  </si>
  <si>
    <t>Librobús</t>
  </si>
  <si>
    <t>Programa de Apoyos a las Culturas Municipales y Comunitarias PACMyC 2025</t>
  </si>
  <si>
    <t>Programa Nacional Alas y Raíces</t>
  </si>
  <si>
    <t>Programa de Formación de Recursos Humanos de Alto Nivel en Arte y Cultura (Fundación Pablo García)</t>
  </si>
  <si>
    <t>Programa "Talleres y Actividades formativas para poblaciones prioritarias del Estado de Campeche"</t>
  </si>
  <si>
    <t>Programa impartición de Talleres en Materia de Cultura en el Estado de Campeche</t>
  </si>
  <si>
    <t>Preservación, conservación y fortalecimiento de la Lengua y la Cultura Mayenses</t>
  </si>
  <si>
    <t xml:space="preserve">Apoyo a Festivales Culturales y Artísticos (PROFEST)
</t>
  </si>
  <si>
    <t>Viernes de Recital</t>
  </si>
  <si>
    <t xml:space="preserve">Claustro Arte y Cultura en todas partes
</t>
  </si>
  <si>
    <t>"El Claustro" un acercamiento al Arte y la Cultura</t>
  </si>
  <si>
    <t>Exposición inmersiva de la galería digital “Yo Soy Frida Kahlo”</t>
  </si>
  <si>
    <t xml:space="preserve">Fondo Estatal de Promoción de la Cultura </t>
  </si>
  <si>
    <t>Actividades culturales diversas</t>
  </si>
  <si>
    <t>Fuente: Gobierno del Estado de Campeche. Instituto de Cultura y Artes del Estado de Campeche. 2026.</t>
  </si>
  <si>
    <t>Fuente: Gobierno del Estado de Campeche. Instituto de Cultura y Artes del Estado de Campeche. Centro de Formación y Producción de Artes Visuales. Centro Cultural José Narváez Márquez (Casa de la Música). Centro Cultural El Claustro. Centro Cultural Infantil y Juvenil "La Chacara". 2026.</t>
  </si>
  <si>
    <t>Fuente: Gobierno del Estado de Campeche. Instituto de Cultura y Artes del Estado de Campeche. Unidad de Artes Visuales, Unidad de Arte y Gestión, Biblioteca Publica Central “Lic. Francisco Sosa Escalante”. 2026.</t>
  </si>
  <si>
    <t>Artes Escénicas (Danza y Teatro)</t>
  </si>
  <si>
    <t>Artes Visuales y Plásticas</t>
  </si>
  <si>
    <t>Convenios en materia cultural, julio 2025 a junio 2026.</t>
  </si>
  <si>
    <t>Fuente: Gobierno del Estado de Campeche. Instituto de Cultura y Artes del Estado de Campeche. Departamento de Evaluación y Seguimiento de Programas. 2026.</t>
  </si>
  <si>
    <t>Nota: El recurso federal del Programa de Estímulo a la Creación y Desarrollo Artístico (PECDA) por un millón de pesos es ministrada por la Federación
Programa de Acciones Culturales Multilingües y Comunitarias (PACMYC) incluye $80,344.33 del convenio 2024 y $ 823,005.61 del convenio 2025.</t>
  </si>
  <si>
    <t>Actividades de Fomento al Hábito de la Lectura</t>
  </si>
  <si>
    <t>Fuente: Gobierno del Estado de Campeche. Instituto de Cultura y Artes del Estado de Campeche. Biblioteca Publica Campeche, Biblioteca Pública Central Lic. Francisco Sosa Escalante. 2026.</t>
  </si>
  <si>
    <t>Comentario</t>
  </si>
  <si>
    <t>No me la mandaron en el excel que nos mandaron de las tablas del Sistema</t>
  </si>
  <si>
    <t>Fuente: Gobierno del Estado de Campeche. Secretaría de Inclusión. 2026</t>
  </si>
  <si>
    <t>Tema vinculado</t>
  </si>
  <si>
    <t>FORMACIÓN JAGUAR</t>
  </si>
  <si>
    <t>INCLUSIÓN PRODUCTIVA</t>
  </si>
  <si>
    <t>MEJORAMIENTO</t>
  </si>
  <si>
    <t>VIVIENDA POR FUENTE DE FINANCIAMIENTO</t>
  </si>
  <si>
    <t>HOGARES EN BIENESTAR</t>
  </si>
  <si>
    <t>FONDO DE INFRAESTRUCTURA SOCIAL PARA LAS ENTIDADES</t>
  </si>
  <si>
    <t>PREPARACIÓN Y DESARROLLO DE LOS DEPORTISTAS CON MIRAS A COMPETENCIAS Y EVENTOS DE CORTO, MEDIANO Y LARGO PLAZO</t>
  </si>
  <si>
    <t>PRIORIZAR PRÁCTICAS DEPORTIVAS Y DE ACTIVACIÓN FÍSICA PARA LA POBLACIÓN</t>
  </si>
  <si>
    <t>IGUALDAD SUSTANTIVA</t>
  </si>
  <si>
    <t>PREPARACIÓN Y DESARROLLO DE LOS DEPORTISTAS CON MIRAS A COMPETENCIAS Y EVENTOS DE CORTO, MEDIANO Y LARGO PLAZO; PRIORIZAR PRÁCTICAS DEPORTIVAS Y DE ACTIVACIÓN FÍSICA PARA LA POBLACIÓN</t>
  </si>
  <si>
    <t>Índice</t>
  </si>
  <si>
    <t>RETOS DEL SISTEMA EDUCATIVO</t>
  </si>
  <si>
    <t>INVERSIÓN EN INFRAESTRUCTURA EDUCATIVA</t>
  </si>
  <si>
    <t>APOYOS Y PROGRAMAS A LA EDUCACIÓN</t>
  </si>
  <si>
    <t>VINCULACIÓN LABORAL ENTRE ESCUELAS Y SECTOR PRIVADO</t>
  </si>
  <si>
    <t>RETOS DEL SISTEMA EDUCATIVO; VINCULACIÓN LABORAL ENTRE ESCUELAS Y SECTOR PRIVADO</t>
  </si>
  <si>
    <t>CIENCIAS E INNOVACIÓN</t>
  </si>
  <si>
    <t>CIENCIA E INNOVACIÓN</t>
  </si>
  <si>
    <t>DERECHO A UNA FAMILIA DIGNA</t>
  </si>
  <si>
    <t>DERECHO A LA INCLUSIÓN DE LAS PERSONAS CON DISCAPACIDAD</t>
  </si>
  <si>
    <t>DERECHOS DE LAS NIÑAS, NIÑOS Y ADOLESCENTES</t>
  </si>
  <si>
    <t>DERECHO A LA VIDA DIGNA DE LOS ADULTOS MAYORES</t>
  </si>
  <si>
    <t>INVERSIÓN EN SALUD</t>
  </si>
  <si>
    <t>PROMOCIÓN DE LA SALUD Y PREVENCIÓN DE ENFERMEDADES</t>
  </si>
  <si>
    <t>ATENCIÓN MÉDICA</t>
  </si>
  <si>
    <t>SERVICIOS ESPECIALIZADOS EN SALUD</t>
  </si>
  <si>
    <t>CAMINO A LA EXCELENCIA</t>
  </si>
  <si>
    <t>.</t>
  </si>
  <si>
    <t>JÓVENES</t>
  </si>
  <si>
    <t>CONVENIOS CULTURALES SUSCRITOS</t>
  </si>
  <si>
    <t>CERTÁMENES LITERARIOS Y RED DE BIBLIOTECAS, ACTIVIDADES DE LITERATURA Y FOMENTO A LA LECTURA</t>
  </si>
  <si>
    <t>FORMACIÓN ESTATAL CULTURAL Y ARTÍSTICA</t>
  </si>
  <si>
    <t>PROMOCIÓN Y DESARROLLO CULTURAL</t>
  </si>
  <si>
    <t>NADIE SE QUEDA ATRÁS MIX MÁAK´P´AATAK PACHI</t>
  </si>
  <si>
    <t>ENTORNO INCLUYENTE LAAJ TLA´ANONI´</t>
  </si>
  <si>
    <t>SERVICIO DE SALUD SEGUROS Y DE CALIDAD</t>
  </si>
  <si>
    <t>2.1; 2.5</t>
  </si>
  <si>
    <t>FORMACIÓN JAGUAR; SEGURIDAD ALIMENTARIA; FONDO DE INFRAESTRUCTURA SOCIAL PARA LAS ENTIDADES; TERRITORIO JAGUAR; DESARROLLO Y BIENESTAR; BIENESTAR PARA LOS ESPACIOS COMUNITARIOS; COMUNIDAD MODELO; ESPACIOS RECREATIVOS PARA EL BIENESTAR</t>
  </si>
  <si>
    <t>VIGILANCIA EPIDEMIOLÓGICA, EMERGENCIAS EN SALUD Y PROTECCIÓN CONTRA RIESGOS SANITARIOS</t>
  </si>
  <si>
    <t>3.1; 3.3; 4.4; 7.2; 7.3; 7.6; 7.1; 7.4</t>
  </si>
  <si>
    <t>Becas deportivas otorgadas e inversión en pesos por municipio, julio 2025 a junio 2026</t>
  </si>
  <si>
    <t>M3-106</t>
  </si>
  <si>
    <t>M3-107</t>
  </si>
  <si>
    <t>M3-108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</si>
</sst>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4" formatCode="_-&quot;$&quot;* #,##0.00_-;\-&quot;$&quot;* #,##0.00_-;_-&quot;$&quot;* &quot;-&quot;??_-;_-@_-"/>
    <numFmt numFmtId="43" formatCode="_-* #,##0.00_-;\-* #,##0.00_-;_-* &quot;-&quot;??_-;_-@_-"/>
    <numFmt numFmtId="164" formatCode="#,##0_ ;\-#,##0\ "/>
    <numFmt numFmtId="165" formatCode="#,##0.0"/>
    <numFmt numFmtId="166" formatCode="0.0"/>
    <numFmt numFmtId="167" formatCode="0.0%"/>
    <numFmt numFmtId="168" formatCode="_-* #,##0_-;\-* #,##0_-;_-* &quot;-&quot;??_-;_-@_-"/>
  </numFmts>
  <fonts count="24" x14ac:knownFonts="1">
    <font>
      <sz val="11"/>
      <color theme="1"/>
      <name val="Aptos Narrow"/>
      <family val="2"/>
      <scheme val="minor"/>
    </font>
    <font>
      <sz val="11"/>
      <color rgb="FF000000"/>
      <name val="Calibri"/>
      <family val="2"/>
    </font>
    <font>
      <b/>
      <sz val="12"/>
      <color rgb="FF000000"/>
      <name val="Calibri"/>
      <family val="2"/>
    </font>
    <font>
      <sz val="12"/>
      <color rgb="FF000000"/>
      <name val="Calibri"/>
      <family val="2"/>
    </font>
    <font>
      <b/>
      <sz val="11"/>
      <name val="Calibri"/>
      <family val="2"/>
    </font>
    <font>
      <sz val="9"/>
      <color rgb="FF000000"/>
      <name val="Calibri"/>
      <family val="2"/>
    </font>
    <font>
      <sz val="11"/>
      <name val="Calibri"/>
      <family val="2"/>
    </font>
    <font>
      <b/>
      <sz val="11"/>
      <color rgb="FF000000"/>
      <name val="Calibri"/>
      <family val="2"/>
    </font>
    <font>
      <sz val="11"/>
      <color theme="1"/>
      <name val="Calibri"/>
      <family val="2"/>
    </font>
    <font>
      <b/>
      <sz val="11"/>
      <color theme="1"/>
      <name val="Calibri"/>
      <family val="2"/>
    </font>
    <font>
      <sz val="11"/>
      <color theme="1"/>
      <name val="Aptos Narrow"/>
      <family val="2"/>
      <scheme val="minor"/>
    </font>
    <font>
      <sz val="9"/>
      <name val="Calibri"/>
      <family val="2"/>
    </font>
    <font>
      <sz val="12"/>
      <color theme="1"/>
      <name val="Aptos Narrow"/>
      <family val="2"/>
      <scheme val="minor"/>
    </font>
    <font>
      <b/>
      <sz val="10"/>
      <color theme="1"/>
      <name val="Calibri"/>
      <family val="2"/>
    </font>
    <font>
      <b/>
      <sz val="11"/>
      <color theme="1"/>
      <name val="Aptos Narrow"/>
      <family val="2"/>
      <scheme val="minor"/>
    </font>
    <font>
      <sz val="12"/>
      <name val="Calibri"/>
      <family val="2"/>
    </font>
    <font>
      <sz val="12"/>
      <color theme="1"/>
      <name val="Calibri"/>
      <family val="2"/>
    </font>
    <font>
      <b/>
      <sz val="12"/>
      <name val="Calibri"/>
      <family val="2"/>
    </font>
    <font>
      <b/>
      <sz val="12"/>
      <color theme="1"/>
      <name val="Calibri"/>
      <family val="2"/>
    </font>
    <font>
      <sz val="11"/>
      <color rgb="FF000000"/>
      <name val="Aptos Narrow"/>
      <family val="2"/>
      <scheme val="minor"/>
    </font>
    <font>
      <sz val="9"/>
      <color theme="1"/>
      <name val="Calibri"/>
      <family val="2"/>
    </font>
    <font>
      <sz val="10"/>
      <color rgb="FF000000"/>
      <name val="Calibri"/>
      <family val="2"/>
    </font>
    <font>
      <b/>
      <sz val="11"/>
      <name val="Aptos Display"/>
      <family val="2"/>
      <scheme val="major"/>
    </font>
    <font>
      <sz val="11"/>
      <color rgb="FF000000"/>
      <name val="Calibri"/>
      <family val="2"/>
    </font>
  </fonts>
  <fills count="9">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theme="0"/>
      </patternFill>
    </fill>
    <fill>
      <patternFill patternType="solid">
        <fgColor theme="5" tint="0.59999389629810485"/>
        <bgColor indexed="64"/>
      </patternFill>
    </fill>
    <fill>
      <patternFill patternType="solid">
        <fgColor theme="0"/>
        <bgColor indexed="64"/>
      </patternFill>
    </fill>
    <fill>
      <patternFill patternType="solid">
        <fgColor rgb="FFFFC000"/>
        <bgColor indexed="64"/>
      </patternFill>
    </fill>
    <fill>
      <patternFill patternType="solid">
        <fgColor rgb="FF00B0F0"/>
        <bgColor indexed="64"/>
      </patternFill>
    </fill>
  </fills>
  <borders count="7">
    <border>
      <left/>
      <right/>
      <top/>
      <bottom/>
      <diagonal/>
    </border>
    <border>
      <left/>
      <right/>
      <top style="thin">
        <color auto="1"/>
      </top>
      <bottom/>
      <diagonal/>
    </border>
    <border>
      <left/>
      <right/>
      <top style="thin">
        <color auto="1"/>
      </top>
      <bottom style="thin">
        <color auto="1"/>
      </bottom>
      <diagonal/>
    </border>
    <border>
      <left/>
      <right/>
      <top/>
      <bottom style="thin">
        <color auto="1"/>
      </bottom>
      <diagonal/>
    </border>
    <border>
      <left style="thin">
        <color rgb="FF000000"/>
      </left>
      <right style="thin">
        <color rgb="FF000000"/>
      </right>
      <top style="thin">
        <color rgb="FF000000"/>
      </top>
      <bottom style="thin">
        <color rgb="FF000000"/>
      </bottom>
      <diagonal/>
    </border>
    <border>
      <left style="medium">
        <color rgb="FFCCCCCC"/>
      </left>
      <right style="medium">
        <color rgb="FFCCCCCC"/>
      </right>
      <top style="medium">
        <color rgb="FFCCCCCC"/>
      </top>
      <bottom style="medium">
        <color rgb="FFCCCCCC"/>
      </bottom>
      <diagonal/>
    </border>
    <border>
      <left style="thin">
        <color indexed="64"/>
      </left>
      <right/>
      <top style="thin">
        <color indexed="64"/>
      </top>
      <bottom style="thin">
        <color indexed="64"/>
      </bottom>
      <diagonal/>
    </border>
  </borders>
  <cellStyleXfs count="9">
    <xf numFmtId="0" fontId="0" fillId="0" borderId="0"/>
    <xf numFmtId="0" fontId="1" fillId="0" borderId="0"/>
    <xf numFmtId="43" fontId="1" fillId="0" borderId="0" applyFont="0" applyFill="0" applyBorder="0" applyAlignment="0" applyProtection="0"/>
    <xf numFmtId="44" fontId="1" fillId="0" borderId="0" applyFont="0" applyFill="0" applyBorder="0" applyAlignment="0" applyProtection="0"/>
    <xf numFmtId="0" fontId="12" fillId="0" borderId="0"/>
    <xf numFmtId="9"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23" fillId="0" borderId="0"/>
  </cellStyleXfs>
  <cellXfs count="286">
    <xf numFmtId="0" fontId="0" fillId="0" borderId="0" xfId="0"/>
    <xf numFmtId="0" fontId="2" fillId="0" borderId="0" xfId="1" applyFont="1"/>
    <xf numFmtId="0" fontId="1" fillId="0" borderId="0" xfId="1"/>
    <xf numFmtId="0" fontId="1" fillId="0" borderId="3" xfId="1" applyBorder="1" applyAlignment="1">
      <alignment horizontal="center"/>
    </xf>
    <xf numFmtId="0" fontId="4" fillId="0" borderId="0" xfId="1" applyFont="1" applyAlignment="1">
      <alignment wrapText="1"/>
    </xf>
    <xf numFmtId="0" fontId="1" fillId="0" borderId="0" xfId="1" applyAlignment="1">
      <alignment horizontal="left" indent="1"/>
    </xf>
    <xf numFmtId="0" fontId="1" fillId="0" borderId="2" xfId="1" applyBorder="1" applyAlignment="1">
      <alignment horizontal="left" indent="1"/>
    </xf>
    <xf numFmtId="3" fontId="1" fillId="0" borderId="2" xfId="1" applyNumberFormat="1" applyBorder="1"/>
    <xf numFmtId="0" fontId="5" fillId="0" borderId="0" xfId="1" applyFont="1"/>
    <xf numFmtId="4" fontId="4" fillId="0" borderId="0" xfId="1" applyNumberFormat="1" applyFont="1"/>
    <xf numFmtId="4" fontId="1" fillId="0" borderId="0" xfId="1" applyNumberFormat="1"/>
    <xf numFmtId="0" fontId="6" fillId="0" borderId="0" xfId="1" applyFont="1" applyAlignment="1">
      <alignment wrapText="1"/>
    </xf>
    <xf numFmtId="4" fontId="6" fillId="0" borderId="0" xfId="1" applyNumberFormat="1" applyFont="1"/>
    <xf numFmtId="0" fontId="1" fillId="0" borderId="2" xfId="1" applyBorder="1" applyAlignment="1">
      <alignment horizontal="center"/>
    </xf>
    <xf numFmtId="0" fontId="7" fillId="0" borderId="2" xfId="1" applyFont="1" applyBorder="1" applyAlignment="1">
      <alignment horizontal="center"/>
    </xf>
    <xf numFmtId="3" fontId="4" fillId="0" borderId="0" xfId="1" applyNumberFormat="1" applyFont="1" applyAlignment="1">
      <alignment wrapText="1"/>
    </xf>
    <xf numFmtId="0" fontId="1" fillId="0" borderId="0" xfId="1" applyAlignment="1">
      <alignment horizontal="center"/>
    </xf>
    <xf numFmtId="3" fontId="1" fillId="0" borderId="0" xfId="1" applyNumberFormat="1"/>
    <xf numFmtId="3" fontId="7" fillId="0" borderId="0" xfId="1" applyNumberFormat="1" applyFont="1"/>
    <xf numFmtId="3" fontId="4" fillId="0" borderId="0" xfId="1" applyNumberFormat="1" applyFont="1" applyAlignment="1">
      <alignment horizontal="left" wrapText="1"/>
    </xf>
    <xf numFmtId="0" fontId="1" fillId="0" borderId="2" xfId="1" applyBorder="1"/>
    <xf numFmtId="3" fontId="7" fillId="0" borderId="0" xfId="1" applyNumberFormat="1" applyFont="1" applyAlignment="1">
      <alignment horizontal="right"/>
    </xf>
    <xf numFmtId="0" fontId="3" fillId="0" borderId="1" xfId="1" applyFont="1" applyBorder="1" applyAlignment="1">
      <alignment horizontal="center"/>
    </xf>
    <xf numFmtId="0" fontId="8" fillId="0" borderId="0" xfId="0" applyFont="1"/>
    <xf numFmtId="0" fontId="8" fillId="0" borderId="2" xfId="0" applyFont="1" applyBorder="1"/>
    <xf numFmtId="0" fontId="9" fillId="0" borderId="2" xfId="0" applyFont="1" applyBorder="1"/>
    <xf numFmtId="0" fontId="8" fillId="2" borderId="0" xfId="0" applyFont="1" applyFill="1"/>
    <xf numFmtId="0" fontId="1" fillId="0" borderId="1" xfId="1" applyBorder="1" applyAlignment="1">
      <alignment horizontal="center" vertical="center"/>
    </xf>
    <xf numFmtId="0" fontId="1" fillId="0" borderId="3" xfId="1" applyBorder="1" applyAlignment="1">
      <alignment horizontal="center" vertical="center"/>
    </xf>
    <xf numFmtId="0" fontId="3" fillId="0" borderId="2" xfId="1" applyFont="1" applyBorder="1" applyAlignment="1">
      <alignment horizontal="center"/>
    </xf>
    <xf numFmtId="0" fontId="3" fillId="0" borderId="1" xfId="1" applyFont="1" applyBorder="1"/>
    <xf numFmtId="0" fontId="6" fillId="0" borderId="0" xfId="1" applyFont="1" applyAlignment="1">
      <alignment horizontal="left" vertical="center"/>
    </xf>
    <xf numFmtId="3" fontId="1" fillId="0" borderId="0" xfId="1" applyNumberFormat="1" applyAlignment="1">
      <alignment horizontal="right" wrapText="1"/>
    </xf>
    <xf numFmtId="3" fontId="10" fillId="0" borderId="0" xfId="2" applyNumberFormat="1" applyFont="1" applyAlignment="1">
      <alignment horizontal="right" wrapText="1"/>
    </xf>
    <xf numFmtId="0" fontId="4" fillId="0" borderId="2" xfId="1" applyFont="1" applyBorder="1" applyAlignment="1">
      <alignment wrapText="1"/>
    </xf>
    <xf numFmtId="3" fontId="4" fillId="0" borderId="2" xfId="3" applyNumberFormat="1" applyFont="1" applyBorder="1" applyAlignment="1">
      <alignment horizontal="right" vertical="center" wrapText="1"/>
    </xf>
    <xf numFmtId="0" fontId="3" fillId="0" borderId="2" xfId="1" applyFont="1" applyBorder="1" applyAlignment="1">
      <alignment horizontal="center" vertical="center"/>
    </xf>
    <xf numFmtId="0" fontId="4" fillId="0" borderId="2" xfId="1" applyFont="1" applyBorder="1" applyAlignment="1">
      <alignment horizontal="left" vertical="center"/>
    </xf>
    <xf numFmtId="3" fontId="4" fillId="0" borderId="2" xfId="1" applyNumberFormat="1" applyFont="1" applyBorder="1"/>
    <xf numFmtId="0" fontId="1" fillId="0" borderId="0" xfId="1" applyAlignment="1">
      <alignment horizontal="left" vertical="center" wrapText="1"/>
    </xf>
    <xf numFmtId="0" fontId="7" fillId="0" borderId="2" xfId="1" applyFont="1" applyBorder="1" applyAlignment="1">
      <alignment horizontal="left" vertical="center" wrapText="1"/>
    </xf>
    <xf numFmtId="3" fontId="13" fillId="0" borderId="2" xfId="1" applyNumberFormat="1" applyFont="1" applyBorder="1" applyAlignment="1">
      <alignment horizontal="right" vertical="center" wrapText="1"/>
    </xf>
    <xf numFmtId="0" fontId="1" fillId="0" borderId="2" xfId="1" applyBorder="1" applyAlignment="1">
      <alignment horizontal="center" vertical="center"/>
    </xf>
    <xf numFmtId="0" fontId="1" fillId="0" borderId="0" xfId="1" applyAlignment="1">
      <alignment vertical="center"/>
    </xf>
    <xf numFmtId="0" fontId="2" fillId="3" borderId="0" xfId="1" applyFont="1" applyFill="1"/>
    <xf numFmtId="0" fontId="4" fillId="0" borderId="3" xfId="1" applyFont="1" applyBorder="1" applyAlignment="1">
      <alignment horizontal="center" vertical="center"/>
    </xf>
    <xf numFmtId="0" fontId="4" fillId="0" borderId="2" xfId="1" applyFont="1" applyBorder="1"/>
    <xf numFmtId="0" fontId="1" fillId="3" borderId="0" xfId="1" applyFill="1"/>
    <xf numFmtId="4" fontId="4" fillId="0" borderId="0" xfId="1" applyNumberFormat="1" applyFont="1" applyAlignment="1">
      <alignment horizontal="right" vertical="center"/>
    </xf>
    <xf numFmtId="4" fontId="4" fillId="0" borderId="2" xfId="1" applyNumberFormat="1" applyFont="1" applyBorder="1" applyAlignment="1">
      <alignment horizontal="right"/>
    </xf>
    <xf numFmtId="0" fontId="7" fillId="0" borderId="0" xfId="1" applyFont="1" applyAlignment="1">
      <alignment horizontal="left"/>
    </xf>
    <xf numFmtId="0" fontId="9" fillId="0" borderId="2" xfId="1" applyFont="1" applyBorder="1" applyAlignment="1">
      <alignment horizontal="left" wrapText="1"/>
    </xf>
    <xf numFmtId="0" fontId="9" fillId="0" borderId="0" xfId="1" applyFont="1" applyAlignment="1">
      <alignment horizontal="left" wrapText="1"/>
    </xf>
    <xf numFmtId="164" fontId="9" fillId="0" borderId="0" xfId="3" applyNumberFormat="1" applyFont="1" applyBorder="1"/>
    <xf numFmtId="3" fontId="9" fillId="0" borderId="2" xfId="1" applyNumberFormat="1" applyFont="1" applyBorder="1" applyAlignment="1">
      <alignment horizontal="right" vertical="center" wrapText="1"/>
    </xf>
    <xf numFmtId="4" fontId="7" fillId="0" borderId="0" xfId="1" applyNumberFormat="1" applyFont="1" applyAlignment="1">
      <alignment horizontal="right"/>
    </xf>
    <xf numFmtId="4" fontId="1" fillId="0" borderId="0" xfId="1" applyNumberFormat="1" applyAlignment="1">
      <alignment horizontal="right"/>
    </xf>
    <xf numFmtId="4" fontId="9" fillId="0" borderId="2" xfId="3" applyNumberFormat="1" applyFont="1" applyBorder="1"/>
    <xf numFmtId="0" fontId="2" fillId="0" borderId="0" xfId="1" applyFont="1" applyAlignment="1">
      <alignment horizontal="left"/>
    </xf>
    <xf numFmtId="165" fontId="1" fillId="0" borderId="0" xfId="1" applyNumberFormat="1"/>
    <xf numFmtId="0" fontId="15" fillId="0" borderId="0" xfId="1" applyFont="1" applyAlignment="1">
      <alignment wrapText="1"/>
    </xf>
    <xf numFmtId="0" fontId="16" fillId="0" borderId="0" xfId="4" applyFont="1"/>
    <xf numFmtId="3" fontId="3" fillId="0" borderId="0" xfId="1" applyNumberFormat="1" applyFont="1"/>
    <xf numFmtId="0" fontId="17" fillId="0" borderId="2" xfId="1" applyFont="1" applyBorder="1" applyAlignment="1">
      <alignment wrapText="1"/>
    </xf>
    <xf numFmtId="3" fontId="18" fillId="0" borderId="2" xfId="1" applyNumberFormat="1" applyFont="1" applyBorder="1" applyAlignment="1">
      <alignment horizontal="right" vertical="center" wrapText="1"/>
    </xf>
    <xf numFmtId="0" fontId="7" fillId="0" borderId="0" xfId="1" applyFont="1"/>
    <xf numFmtId="0" fontId="8" fillId="0" borderId="0" xfId="4" applyFont="1"/>
    <xf numFmtId="3" fontId="9" fillId="0" borderId="2" xfId="1" applyNumberFormat="1" applyFont="1" applyBorder="1" applyAlignment="1">
      <alignment horizontal="right"/>
    </xf>
    <xf numFmtId="0" fontId="16" fillId="0" borderId="1" xfId="4" applyFont="1" applyBorder="1"/>
    <xf numFmtId="3" fontId="3" fillId="0" borderId="2" xfId="1" applyNumberFormat="1" applyFont="1" applyBorder="1"/>
    <xf numFmtId="0" fontId="4" fillId="0" borderId="2" xfId="1" applyFont="1" applyBorder="1" applyAlignment="1">
      <alignment horizontal="left" wrapText="1"/>
    </xf>
    <xf numFmtId="3" fontId="4" fillId="0" borderId="2" xfId="1" applyNumberFormat="1" applyFont="1" applyBorder="1" applyAlignment="1">
      <alignment horizontal="right" vertical="center"/>
    </xf>
    <xf numFmtId="0" fontId="18" fillId="0" borderId="0" xfId="1" applyFont="1" applyAlignment="1">
      <alignment wrapText="1"/>
    </xf>
    <xf numFmtId="0" fontId="3" fillId="0" borderId="0" xfId="1" applyFont="1" applyAlignment="1">
      <alignment horizontal="center" vertical="center"/>
    </xf>
    <xf numFmtId="0" fontId="2" fillId="0" borderId="0" xfId="1" applyFont="1" applyAlignment="1">
      <alignment horizontal="right" vertical="center"/>
    </xf>
    <xf numFmtId="0" fontId="3" fillId="0" borderId="0" xfId="1" applyFont="1"/>
    <xf numFmtId="0" fontId="16" fillId="0" borderId="2" xfId="1" applyFont="1" applyBorder="1" applyAlignment="1">
      <alignment horizontal="left" wrapText="1"/>
    </xf>
    <xf numFmtId="3" fontId="16" fillId="0" borderId="2" xfId="1" applyNumberFormat="1" applyFont="1" applyBorder="1"/>
    <xf numFmtId="3" fontId="18" fillId="0" borderId="2" xfId="1" applyNumberFormat="1" applyFont="1" applyBorder="1"/>
    <xf numFmtId="0" fontId="6" fillId="0" borderId="0" xfId="1" applyFont="1" applyAlignment="1">
      <alignment horizontal="left" wrapText="1"/>
    </xf>
    <xf numFmtId="0" fontId="11" fillId="0" borderId="0" xfId="1" applyFont="1" applyAlignment="1">
      <alignment horizontal="left"/>
    </xf>
    <xf numFmtId="0" fontId="1" fillId="0" borderId="1" xfId="1" applyBorder="1" applyAlignment="1">
      <alignment horizontal="center" vertical="center" wrapText="1"/>
    </xf>
    <xf numFmtId="0" fontId="6" fillId="0" borderId="0" xfId="4" applyFont="1"/>
    <xf numFmtId="0" fontId="12" fillId="0" borderId="1" xfId="4" applyBorder="1"/>
    <xf numFmtId="0" fontId="12" fillId="0" borderId="0" xfId="4"/>
    <xf numFmtId="0" fontId="8" fillId="0" borderId="0" xfId="4" applyFont="1" applyAlignment="1">
      <alignment horizontal="left"/>
    </xf>
    <xf numFmtId="0" fontId="12" fillId="0" borderId="3" xfId="4" applyBorder="1"/>
    <xf numFmtId="0" fontId="9" fillId="0" borderId="2" xfId="4" applyFont="1" applyBorder="1"/>
    <xf numFmtId="3" fontId="4" fillId="0" borderId="3" xfId="1" applyNumberFormat="1" applyFont="1" applyBorder="1" applyAlignment="1">
      <alignment horizontal="right" vertical="center"/>
    </xf>
    <xf numFmtId="0" fontId="6" fillId="0" borderId="3" xfId="1" applyFont="1" applyBorder="1" applyAlignment="1">
      <alignment horizontal="center"/>
    </xf>
    <xf numFmtId="3" fontId="4" fillId="0" borderId="2" xfId="1" applyNumberFormat="1" applyFont="1" applyBorder="1" applyAlignment="1">
      <alignment horizontal="right"/>
    </xf>
    <xf numFmtId="0" fontId="4" fillId="0" borderId="2" xfId="1" applyFont="1" applyBorder="1" applyAlignment="1">
      <alignment horizontal="right"/>
    </xf>
    <xf numFmtId="0" fontId="4" fillId="0" borderId="0" xfId="1" applyFont="1" applyAlignment="1">
      <alignment horizontal="left" wrapText="1"/>
    </xf>
    <xf numFmtId="0" fontId="4" fillId="0" borderId="0" xfId="1" applyFont="1" applyAlignment="1">
      <alignment horizontal="left"/>
    </xf>
    <xf numFmtId="3" fontId="4" fillId="0" borderId="0" xfId="1" applyNumberFormat="1" applyFont="1"/>
    <xf numFmtId="3" fontId="9" fillId="0" borderId="0" xfId="1" applyNumberFormat="1" applyFont="1"/>
    <xf numFmtId="0" fontId="4" fillId="0" borderId="2" xfId="1" applyFont="1" applyBorder="1" applyAlignment="1">
      <alignment horizontal="left"/>
    </xf>
    <xf numFmtId="0" fontId="6" fillId="0" borderId="2" xfId="1" applyFont="1" applyBorder="1" applyAlignment="1">
      <alignment horizontal="left"/>
    </xf>
    <xf numFmtId="0" fontId="4" fillId="0" borderId="2" xfId="1" applyFont="1" applyBorder="1" applyAlignment="1">
      <alignment horizontal="center"/>
    </xf>
    <xf numFmtId="0" fontId="2" fillId="0" borderId="1" xfId="1" applyFont="1" applyBorder="1" applyAlignment="1">
      <alignment horizontal="center"/>
    </xf>
    <xf numFmtId="0" fontId="6" fillId="0" borderId="0" xfId="1" applyFont="1" applyAlignment="1">
      <alignment horizontal="right"/>
    </xf>
    <xf numFmtId="0" fontId="11" fillId="0" borderId="0" xfId="1" applyFont="1"/>
    <xf numFmtId="0" fontId="1" fillId="0" borderId="2" xfId="1" applyBorder="1" applyAlignment="1">
      <alignment horizontal="center" wrapText="1"/>
    </xf>
    <xf numFmtId="0" fontId="8" fillId="0" borderId="0" xfId="1" applyFont="1" applyAlignment="1">
      <alignment wrapText="1"/>
    </xf>
    <xf numFmtId="0" fontId="9" fillId="0" borderId="2" xfId="1" applyFont="1" applyBorder="1" applyAlignment="1">
      <alignment wrapText="1"/>
    </xf>
    <xf numFmtId="0" fontId="9" fillId="0" borderId="2" xfId="1" applyFont="1" applyBorder="1" applyAlignment="1">
      <alignment horizontal="right"/>
    </xf>
    <xf numFmtId="0" fontId="9" fillId="0" borderId="0" xfId="1" applyFont="1" applyAlignment="1">
      <alignment wrapText="1"/>
    </xf>
    <xf numFmtId="3" fontId="9" fillId="0" borderId="2" xfId="1" applyNumberFormat="1" applyFont="1" applyBorder="1"/>
    <xf numFmtId="3" fontId="5" fillId="0" borderId="0" xfId="1" applyNumberFormat="1" applyFont="1"/>
    <xf numFmtId="0" fontId="19" fillId="0" borderId="2" xfId="1" applyFont="1" applyBorder="1" applyAlignment="1">
      <alignment horizontal="center"/>
    </xf>
    <xf numFmtId="3" fontId="14" fillId="0" borderId="0" xfId="1" applyNumberFormat="1" applyFont="1"/>
    <xf numFmtId="0" fontId="19" fillId="0" borderId="0" xfId="1" applyFont="1"/>
    <xf numFmtId="3" fontId="19" fillId="0" borderId="0" xfId="1" applyNumberFormat="1" applyFont="1"/>
    <xf numFmtId="3" fontId="4" fillId="0" borderId="0" xfId="1" applyNumberFormat="1" applyFont="1" applyAlignment="1">
      <alignment horizontal="right" vertical="center"/>
    </xf>
    <xf numFmtId="3" fontId="11" fillId="0" borderId="0" xfId="1" applyNumberFormat="1" applyFont="1" applyAlignment="1">
      <alignment horizontal="right" vertical="center"/>
    </xf>
    <xf numFmtId="0" fontId="7" fillId="0" borderId="2" xfId="1" applyFont="1" applyBorder="1" applyAlignment="1">
      <alignment horizontal="left" vertical="center"/>
    </xf>
    <xf numFmtId="0" fontId="1" fillId="0" borderId="1" xfId="1" applyBorder="1" applyAlignment="1">
      <alignment horizontal="center"/>
    </xf>
    <xf numFmtId="0" fontId="1" fillId="0" borderId="1" xfId="1" applyBorder="1"/>
    <xf numFmtId="0" fontId="1" fillId="0" borderId="3" xfId="1" applyBorder="1"/>
    <xf numFmtId="0" fontId="4" fillId="0" borderId="3" xfId="1" applyFont="1" applyBorder="1" applyAlignment="1">
      <alignment horizontal="left" wrapText="1"/>
    </xf>
    <xf numFmtId="0" fontId="11" fillId="0" borderId="0" xfId="1" applyFont="1" applyAlignment="1">
      <alignment horizontal="left" vertical="center" wrapText="1"/>
    </xf>
    <xf numFmtId="166" fontId="1" fillId="0" borderId="0" xfId="1" applyNumberFormat="1"/>
    <xf numFmtId="166" fontId="9" fillId="0" borderId="2" xfId="1" applyNumberFormat="1" applyFont="1" applyBorder="1" applyAlignment="1">
      <alignment horizontal="right" vertical="center" wrapText="1"/>
    </xf>
    <xf numFmtId="166" fontId="9" fillId="0" borderId="2" xfId="1" applyNumberFormat="1" applyFont="1" applyBorder="1" applyAlignment="1">
      <alignment horizontal="right" vertical="center"/>
    </xf>
    <xf numFmtId="0" fontId="14" fillId="0" borderId="0" xfId="1" applyFont="1" applyAlignment="1">
      <alignment wrapText="1"/>
    </xf>
    <xf numFmtId="3" fontId="14" fillId="0" borderId="0" xfId="1" applyNumberFormat="1" applyFont="1" applyAlignment="1">
      <alignment horizontal="right" wrapText="1"/>
    </xf>
    <xf numFmtId="0" fontId="1" fillId="0" borderId="0" xfId="1" applyAlignment="1">
      <alignment horizontal="left" wrapText="1" indent="1"/>
    </xf>
    <xf numFmtId="0" fontId="1" fillId="0" borderId="0" xfId="1" applyAlignment="1">
      <alignment horizontal="right" wrapText="1"/>
    </xf>
    <xf numFmtId="0" fontId="6" fillId="0" borderId="0" xfId="1" applyFont="1" applyAlignment="1">
      <alignment horizontal="right" wrapText="1"/>
    </xf>
    <xf numFmtId="3" fontId="14" fillId="0" borderId="2" xfId="1" applyNumberFormat="1" applyFont="1" applyBorder="1"/>
    <xf numFmtId="0" fontId="20" fillId="0" borderId="0" xfId="1" applyFont="1" applyAlignment="1">
      <alignment horizontal="left" wrapText="1"/>
    </xf>
    <xf numFmtId="0" fontId="8" fillId="0" borderId="0" xfId="1" applyFont="1" applyAlignment="1">
      <alignment horizontal="left" wrapText="1"/>
    </xf>
    <xf numFmtId="3" fontId="9" fillId="0" borderId="2" xfId="1" applyNumberFormat="1" applyFont="1" applyBorder="1" applyAlignment="1">
      <alignment horizontal="right" vertical="center"/>
    </xf>
    <xf numFmtId="0" fontId="7" fillId="0" borderId="2" xfId="1" applyFont="1" applyBorder="1"/>
    <xf numFmtId="166" fontId="7" fillId="0" borderId="2" xfId="1" applyNumberFormat="1" applyFont="1" applyBorder="1"/>
    <xf numFmtId="0" fontId="20" fillId="0" borderId="0" xfId="1" applyFont="1"/>
    <xf numFmtId="0" fontId="9" fillId="0" borderId="2" xfId="1" applyFont="1" applyBorder="1" applyAlignment="1">
      <alignment vertical="center"/>
    </xf>
    <xf numFmtId="0" fontId="9" fillId="4" borderId="2" xfId="1" applyFont="1" applyFill="1" applyBorder="1"/>
    <xf numFmtId="0" fontId="4" fillId="0" borderId="2" xfId="1" applyFont="1" applyBorder="1" applyAlignment="1">
      <alignment vertical="center"/>
    </xf>
    <xf numFmtId="3" fontId="4" fillId="0" borderId="2" xfId="1" applyNumberFormat="1" applyFont="1" applyBorder="1" applyAlignment="1">
      <alignment vertical="center"/>
    </xf>
    <xf numFmtId="0" fontId="21" fillId="0" borderId="0" xfId="1" applyFont="1"/>
    <xf numFmtId="167" fontId="0" fillId="0" borderId="0" xfId="5" applyNumberFormat="1" applyFont="1"/>
    <xf numFmtId="167" fontId="0" fillId="0" borderId="0" xfId="5" applyNumberFormat="1" applyFont="1" applyBorder="1"/>
    <xf numFmtId="3" fontId="6" fillId="0" borderId="0" xfId="1" applyNumberFormat="1" applyFont="1" applyAlignment="1">
      <alignment horizontal="right" wrapText="1"/>
    </xf>
    <xf numFmtId="167" fontId="6" fillId="0" borderId="0" xfId="5" applyNumberFormat="1" applyFont="1" applyFill="1" applyBorder="1" applyAlignment="1">
      <alignment horizontal="right" vertical="center" wrapText="1"/>
    </xf>
    <xf numFmtId="167" fontId="7" fillId="0" borderId="2" xfId="5" applyNumberFormat="1" applyFont="1" applyBorder="1"/>
    <xf numFmtId="4" fontId="9" fillId="0" borderId="2" xfId="1" applyNumberFormat="1" applyFont="1" applyBorder="1" applyAlignment="1">
      <alignment horizontal="right"/>
    </xf>
    <xf numFmtId="4" fontId="9" fillId="0" borderId="2" xfId="1" applyNumberFormat="1" applyFont="1" applyBorder="1" applyAlignment="1">
      <alignment horizontal="right" vertical="center"/>
    </xf>
    <xf numFmtId="4" fontId="4" fillId="0" borderId="2" xfId="1" applyNumberFormat="1" applyFont="1" applyBorder="1"/>
    <xf numFmtId="3" fontId="7" fillId="0" borderId="2" xfId="1" applyNumberFormat="1" applyFont="1" applyBorder="1"/>
    <xf numFmtId="3" fontId="8" fillId="0" borderId="0" xfId="4" applyNumberFormat="1" applyFont="1"/>
    <xf numFmtId="0" fontId="10" fillId="0" borderId="0" xfId="4" applyFont="1"/>
    <xf numFmtId="4" fontId="4" fillId="0" borderId="2" xfId="1" applyNumberFormat="1" applyFont="1" applyBorder="1" applyAlignment="1">
      <alignment vertical="center"/>
    </xf>
    <xf numFmtId="0" fontId="9" fillId="0" borderId="2" xfId="1" applyFont="1" applyBorder="1" applyAlignment="1">
      <alignment horizontal="right" vertical="center"/>
    </xf>
    <xf numFmtId="0" fontId="9" fillId="0" borderId="0" xfId="1" applyFont="1" applyAlignment="1">
      <alignment horizontal="right" vertical="center"/>
    </xf>
    <xf numFmtId="3" fontId="9" fillId="0" borderId="0" xfId="1" applyNumberFormat="1" applyFont="1" applyAlignment="1">
      <alignment horizontal="right" wrapText="1"/>
    </xf>
    <xf numFmtId="0" fontId="8" fillId="0" borderId="0" xfId="1" applyFont="1" applyAlignment="1">
      <alignment horizontal="left" vertical="center" wrapText="1" indent="1"/>
    </xf>
    <xf numFmtId="0" fontId="9" fillId="0" borderId="0" xfId="1" applyFont="1" applyAlignment="1">
      <alignment vertical="center" wrapText="1"/>
    </xf>
    <xf numFmtId="3" fontId="9" fillId="0" borderId="0" xfId="1" applyNumberFormat="1" applyFont="1" applyAlignment="1">
      <alignment horizontal="right" vertical="center" wrapText="1"/>
    </xf>
    <xf numFmtId="3" fontId="8" fillId="0" borderId="0" xfId="1" applyNumberFormat="1" applyFont="1" applyAlignment="1">
      <alignment horizontal="right" vertical="center" wrapText="1"/>
    </xf>
    <xf numFmtId="0" fontId="8" fillId="0" borderId="0" xfId="1" applyFont="1" applyAlignment="1">
      <alignment horizontal="right" vertical="center" wrapText="1"/>
    </xf>
    <xf numFmtId="0" fontId="9" fillId="0" borderId="2" xfId="1" applyFont="1" applyBorder="1" applyAlignment="1">
      <alignment vertical="center" wrapText="1"/>
    </xf>
    <xf numFmtId="0" fontId="4" fillId="0" borderId="0" xfId="1" applyFont="1"/>
    <xf numFmtId="0" fontId="9" fillId="0" borderId="2" xfId="1" applyFont="1" applyBorder="1"/>
    <xf numFmtId="0" fontId="5" fillId="3" borderId="0" xfId="1" applyFont="1" applyFill="1"/>
    <xf numFmtId="0" fontId="4" fillId="0" borderId="0" xfId="1" applyFont="1" applyAlignment="1">
      <alignment horizontal="left" vertical="center" wrapText="1"/>
    </xf>
    <xf numFmtId="0" fontId="4" fillId="0" borderId="0" xfId="1" applyFont="1" applyAlignment="1">
      <alignment horizontal="left" vertical="center"/>
    </xf>
    <xf numFmtId="0" fontId="9" fillId="0" borderId="2" xfId="1" applyFont="1" applyBorder="1" applyAlignment="1">
      <alignment horizontal="center" vertical="center"/>
    </xf>
    <xf numFmtId="0" fontId="4" fillId="0" borderId="0" xfId="1" applyFont="1" applyAlignment="1">
      <alignment vertical="center"/>
    </xf>
    <xf numFmtId="0" fontId="6" fillId="0" borderId="0" xfId="1" applyFont="1" applyAlignment="1">
      <alignment horizontal="left"/>
    </xf>
    <xf numFmtId="0" fontId="22" fillId="0" borderId="2" xfId="1" applyFont="1" applyBorder="1" applyAlignment="1">
      <alignment horizontal="center" vertical="center"/>
    </xf>
    <xf numFmtId="4" fontId="4" fillId="0" borderId="2" xfId="1" applyNumberFormat="1" applyFont="1" applyBorder="1" applyAlignment="1">
      <alignment horizontal="right" vertical="center"/>
    </xf>
    <xf numFmtId="0" fontId="9" fillId="0" borderId="2" xfId="4" applyFont="1" applyBorder="1" applyAlignment="1">
      <alignment vertical="center"/>
    </xf>
    <xf numFmtId="0" fontId="9" fillId="0" borderId="0" xfId="4" applyFont="1" applyAlignment="1">
      <alignment horizontal="left"/>
    </xf>
    <xf numFmtId="0" fontId="9" fillId="0" borderId="0" xfId="1" applyFont="1"/>
    <xf numFmtId="3" fontId="9" fillId="0" borderId="0" xfId="1" applyNumberFormat="1" applyFont="1" applyAlignment="1">
      <alignment horizontal="right"/>
    </xf>
    <xf numFmtId="3" fontId="9" fillId="0" borderId="2" xfId="4" applyNumberFormat="1" applyFont="1" applyBorder="1" applyAlignment="1">
      <alignment horizontal="right"/>
    </xf>
    <xf numFmtId="3" fontId="0" fillId="0" borderId="0" xfId="0" applyNumberFormat="1"/>
    <xf numFmtId="3" fontId="9" fillId="0" borderId="2" xfId="4" applyNumberFormat="1" applyFont="1" applyBorder="1" applyAlignment="1">
      <alignment vertical="center"/>
    </xf>
    <xf numFmtId="0" fontId="5" fillId="0" borderId="0" xfId="0" applyFont="1"/>
    <xf numFmtId="0" fontId="9" fillId="0" borderId="0" xfId="4" applyFont="1" applyAlignment="1">
      <alignment horizontal="left" vertical="center"/>
    </xf>
    <xf numFmtId="0" fontId="13" fillId="0" borderId="0" xfId="4" applyFont="1" applyAlignment="1">
      <alignment horizontal="left" vertical="center"/>
    </xf>
    <xf numFmtId="0" fontId="13" fillId="0" borderId="2" xfId="4" applyFont="1" applyBorder="1" applyAlignment="1">
      <alignment horizontal="center" vertical="center"/>
    </xf>
    <xf numFmtId="0" fontId="13" fillId="0" borderId="2" xfId="4" applyFont="1" applyBorder="1" applyAlignment="1">
      <alignment vertical="center"/>
    </xf>
    <xf numFmtId="0" fontId="14" fillId="0" borderId="2" xfId="4" applyFont="1" applyBorder="1"/>
    <xf numFmtId="3" fontId="7" fillId="0" borderId="2" xfId="1" applyNumberFormat="1" applyFont="1" applyBorder="1" applyAlignment="1">
      <alignment horizontal="right"/>
    </xf>
    <xf numFmtId="0" fontId="11" fillId="0" borderId="0" xfId="1" applyFont="1" applyAlignment="1">
      <alignment horizontal="left" vertical="center"/>
    </xf>
    <xf numFmtId="0" fontId="0" fillId="0" borderId="0" xfId="1" applyFont="1"/>
    <xf numFmtId="4" fontId="7" fillId="0" borderId="2" xfId="1" applyNumberFormat="1" applyFont="1" applyBorder="1" applyAlignment="1">
      <alignment horizontal="right"/>
    </xf>
    <xf numFmtId="0" fontId="7" fillId="0" borderId="4" xfId="0" applyFont="1" applyBorder="1"/>
    <xf numFmtId="0" fontId="7" fillId="0" borderId="0" xfId="0" applyFont="1"/>
    <xf numFmtId="0" fontId="2" fillId="0" borderId="1" xfId="1" applyFont="1" applyBorder="1"/>
    <xf numFmtId="3" fontId="9" fillId="0" borderId="2" xfId="1" applyNumberFormat="1" applyFont="1" applyBorder="1" applyAlignment="1">
      <alignment wrapText="1"/>
    </xf>
    <xf numFmtId="3" fontId="9" fillId="0" borderId="0" xfId="1" applyNumberFormat="1" applyFont="1" applyAlignment="1">
      <alignment wrapText="1"/>
    </xf>
    <xf numFmtId="0" fontId="9" fillId="0" borderId="2" xfId="1" applyFont="1" applyBorder="1" applyAlignment="1">
      <alignment horizontal="left" vertical="center" wrapText="1"/>
    </xf>
    <xf numFmtId="0" fontId="1" fillId="5" borderId="2" xfId="1" applyFill="1" applyBorder="1" applyAlignment="1">
      <alignment horizontal="center"/>
    </xf>
    <xf numFmtId="0" fontId="1" fillId="0" borderId="0" xfId="1" applyAlignment="1">
      <alignment horizontal="right"/>
    </xf>
    <xf numFmtId="0" fontId="1" fillId="0" borderId="3" xfId="1" applyBorder="1" applyAlignment="1">
      <alignment horizontal="right"/>
    </xf>
    <xf numFmtId="0" fontId="7" fillId="0" borderId="0" xfId="8" applyFont="1"/>
    <xf numFmtId="0" fontId="23" fillId="0" borderId="0" xfId="8"/>
    <xf numFmtId="0" fontId="23" fillId="3" borderId="0" xfId="8" applyFill="1"/>
    <xf numFmtId="0" fontId="1" fillId="0" borderId="0" xfId="8" applyFont="1"/>
    <xf numFmtId="0" fontId="23" fillId="0" borderId="0" xfId="8" applyAlignment="1">
      <alignment horizontal="left"/>
    </xf>
    <xf numFmtId="4" fontId="1" fillId="0" borderId="3" xfId="1" applyNumberFormat="1" applyBorder="1"/>
    <xf numFmtId="0" fontId="5" fillId="0" borderId="0" xfId="1" applyFont="1" applyAlignment="1">
      <alignment wrapText="1"/>
    </xf>
    <xf numFmtId="0" fontId="14" fillId="6" borderId="2" xfId="4" applyFont="1" applyFill="1" applyBorder="1"/>
    <xf numFmtId="168" fontId="14" fillId="6" borderId="2" xfId="6" applyNumberFormat="1" applyFont="1" applyFill="1" applyBorder="1"/>
    <xf numFmtId="0" fontId="14" fillId="6" borderId="0" xfId="4" applyFont="1" applyFill="1"/>
    <xf numFmtId="3" fontId="14" fillId="6" borderId="0" xfId="4" applyNumberFormat="1" applyFont="1" applyFill="1"/>
    <xf numFmtId="0" fontId="10" fillId="6" borderId="2" xfId="4" applyFont="1" applyFill="1" applyBorder="1" applyAlignment="1">
      <alignment horizontal="center" vertical="center"/>
    </xf>
    <xf numFmtId="0" fontId="14" fillId="6" borderId="2" xfId="4" applyFont="1" applyFill="1" applyBorder="1" applyAlignment="1">
      <alignment horizontal="left" wrapText="1"/>
    </xf>
    <xf numFmtId="168" fontId="14" fillId="0" borderId="2" xfId="6" applyNumberFormat="1" applyFont="1" applyFill="1" applyBorder="1" applyAlignment="1">
      <alignment horizontal="right"/>
    </xf>
    <xf numFmtId="0" fontId="14" fillId="6" borderId="0" xfId="4" applyFont="1" applyFill="1" applyAlignment="1">
      <alignment horizontal="left" wrapText="1"/>
    </xf>
    <xf numFmtId="168" fontId="14" fillId="0" borderId="0" xfId="6" applyNumberFormat="1" applyFont="1" applyFill="1" applyBorder="1" applyAlignment="1">
      <alignment horizontal="right"/>
    </xf>
    <xf numFmtId="0" fontId="14" fillId="0" borderId="2" xfId="1" applyFont="1" applyBorder="1"/>
    <xf numFmtId="0" fontId="14" fillId="0" borderId="0" xfId="1" applyFont="1"/>
    <xf numFmtId="0" fontId="1" fillId="0" borderId="0" xfId="4" applyFont="1" applyAlignment="1">
      <alignment horizontal="left" vertical="center" wrapText="1"/>
    </xf>
    <xf numFmtId="3" fontId="1" fillId="0" borderId="0" xfId="1" applyNumberFormat="1" applyAlignment="1">
      <alignment horizontal="right"/>
    </xf>
    <xf numFmtId="0" fontId="7" fillId="0" borderId="2" xfId="4" applyFont="1" applyBorder="1" applyAlignment="1">
      <alignment horizontal="left" vertical="center" wrapText="1"/>
    </xf>
    <xf numFmtId="3" fontId="9" fillId="0" borderId="2" xfId="4" applyNumberFormat="1" applyFont="1" applyBorder="1"/>
    <xf numFmtId="0" fontId="7" fillId="0" borderId="0" xfId="4" applyFont="1" applyAlignment="1">
      <alignment horizontal="left" vertical="center" wrapText="1"/>
    </xf>
    <xf numFmtId="0" fontId="5" fillId="0" borderId="0" xfId="4" applyFont="1" applyAlignment="1">
      <alignment horizontal="left" vertical="center"/>
    </xf>
    <xf numFmtId="0" fontId="6" fillId="0" borderId="0" xfId="4" applyFont="1" applyAlignment="1">
      <alignment horizontal="left"/>
    </xf>
    <xf numFmtId="0" fontId="4" fillId="0" borderId="2" xfId="4" applyFont="1" applyBorder="1" applyAlignment="1">
      <alignment horizontal="left" vertical="center"/>
    </xf>
    <xf numFmtId="0" fontId="9" fillId="0" borderId="2" xfId="4" applyFont="1" applyBorder="1" applyAlignment="1">
      <alignment horizontal="right" vertical="center"/>
    </xf>
    <xf numFmtId="0" fontId="4" fillId="0" borderId="2" xfId="4" applyFont="1" applyBorder="1"/>
    <xf numFmtId="3" fontId="4" fillId="0" borderId="2" xfId="4" applyNumberFormat="1" applyFont="1" applyBorder="1" applyAlignment="1">
      <alignment horizontal="right"/>
    </xf>
    <xf numFmtId="0" fontId="5" fillId="0" borderId="0" xfId="1" applyFont="1" applyAlignment="1">
      <alignment vertical="center"/>
    </xf>
    <xf numFmtId="0" fontId="4" fillId="0" borderId="2" xfId="4" applyFont="1" applyBorder="1" applyAlignment="1">
      <alignment horizontal="left"/>
    </xf>
    <xf numFmtId="3" fontId="9" fillId="0" borderId="2" xfId="4" applyNumberFormat="1" applyFont="1" applyBorder="1" applyAlignment="1">
      <alignment horizontal="right" vertical="center"/>
    </xf>
    <xf numFmtId="0" fontId="9" fillId="0" borderId="0" xfId="4" applyFont="1"/>
    <xf numFmtId="3" fontId="9" fillId="0" borderId="0" xfId="4" applyNumberFormat="1" applyFont="1" applyAlignment="1">
      <alignment horizontal="right" vertical="center"/>
    </xf>
    <xf numFmtId="0" fontId="9" fillId="0" borderId="2" xfId="4" applyFont="1" applyBorder="1" applyAlignment="1">
      <alignment horizontal="left"/>
    </xf>
    <xf numFmtId="0" fontId="4" fillId="0" borderId="0" xfId="4" applyFont="1"/>
    <xf numFmtId="3" fontId="4" fillId="0" borderId="0" xfId="4" applyNumberFormat="1" applyFont="1" applyAlignment="1">
      <alignment horizontal="right"/>
    </xf>
    <xf numFmtId="0" fontId="4" fillId="0" borderId="0" xfId="4" applyFont="1" applyAlignment="1">
      <alignment vertical="center"/>
    </xf>
    <xf numFmtId="0" fontId="6" fillId="0" borderId="0" xfId="4" applyFont="1" applyAlignment="1">
      <alignment horizontal="left" indent="1"/>
    </xf>
    <xf numFmtId="3" fontId="4" fillId="0" borderId="2" xfId="4" applyNumberFormat="1" applyFont="1" applyBorder="1"/>
    <xf numFmtId="0" fontId="14" fillId="0" borderId="2" xfId="1" applyFont="1" applyBorder="1" applyAlignment="1">
      <alignment horizontal="left" wrapText="1"/>
    </xf>
    <xf numFmtId="3" fontId="14" fillId="0" borderId="2" xfId="1" applyNumberFormat="1" applyFont="1" applyBorder="1" applyAlignment="1">
      <alignment horizontal="right"/>
    </xf>
    <xf numFmtId="4" fontId="4" fillId="0" borderId="2" xfId="4" applyNumberFormat="1" applyFont="1" applyBorder="1" applyAlignment="1">
      <alignment horizontal="right"/>
    </xf>
    <xf numFmtId="0" fontId="14" fillId="0" borderId="6" xfId="4" applyFont="1" applyBorder="1"/>
    <xf numFmtId="0" fontId="23" fillId="3" borderId="0" xfId="8" applyFill="1" applyAlignment="1">
      <alignment vertical="center"/>
    </xf>
    <xf numFmtId="0" fontId="23" fillId="0" borderId="0" xfId="8" applyAlignment="1">
      <alignment vertical="center"/>
    </xf>
    <xf numFmtId="0" fontId="1" fillId="3" borderId="0" xfId="8" applyFont="1" applyFill="1"/>
    <xf numFmtId="4" fontId="6" fillId="0" borderId="0" xfId="1" applyNumberFormat="1" applyFont="1" applyAlignment="1">
      <alignment horizontal="right" vertical="center"/>
    </xf>
    <xf numFmtId="3" fontId="8" fillId="0" borderId="0" xfId="1" applyNumberFormat="1" applyFont="1"/>
    <xf numFmtId="0" fontId="1" fillId="0" borderId="0" xfId="8" applyFont="1" applyAlignment="1">
      <alignment vertical="center"/>
    </xf>
    <xf numFmtId="0" fontId="1" fillId="7" borderId="0" xfId="8" applyFont="1" applyFill="1" applyAlignment="1">
      <alignment horizontal="right" vertical="center"/>
    </xf>
    <xf numFmtId="0" fontId="1" fillId="7" borderId="0" xfId="8" applyFont="1" applyFill="1"/>
    <xf numFmtId="0" fontId="1" fillId="2" borderId="0" xfId="8" applyFont="1" applyFill="1" applyAlignment="1">
      <alignment horizontal="center" wrapText="1"/>
    </xf>
    <xf numFmtId="0" fontId="23" fillId="0" borderId="5" xfId="8" applyBorder="1"/>
    <xf numFmtId="0" fontId="1" fillId="2" borderId="0" xfId="8" applyFont="1" applyFill="1" applyAlignment="1">
      <alignment wrapText="1"/>
    </xf>
    <xf numFmtId="0" fontId="2" fillId="3" borderId="0" xfId="1" applyFont="1" applyFill="1"/>
    <xf numFmtId="0" fontId="1" fillId="0" borderId="1" xfId="1" applyBorder="1" applyAlignment="1">
      <alignment horizontal="center" vertical="center"/>
    </xf>
    <xf numFmtId="0" fontId="1" fillId="0" borderId="3" xfId="1" applyBorder="1" applyAlignment="1">
      <alignment horizontal="center" vertical="center"/>
    </xf>
    <xf numFmtId="0" fontId="3" fillId="0" borderId="2" xfId="1" applyFont="1" applyBorder="1" applyAlignment="1">
      <alignment horizontal="center"/>
    </xf>
    <xf numFmtId="0" fontId="5" fillId="0" borderId="0" xfId="1" applyFont="1"/>
    <xf numFmtId="0" fontId="1" fillId="0" borderId="0" xfId="1"/>
    <xf numFmtId="0" fontId="2" fillId="0" borderId="0" xfId="1" applyFont="1"/>
    <xf numFmtId="0" fontId="6" fillId="0" borderId="1" xfId="1" applyFont="1" applyBorder="1" applyAlignment="1">
      <alignment horizontal="center"/>
    </xf>
    <xf numFmtId="0" fontId="6" fillId="0" borderId="1" xfId="1" applyFont="1" applyBorder="1"/>
    <xf numFmtId="0" fontId="1" fillId="0" borderId="2" xfId="1" applyBorder="1" applyAlignment="1">
      <alignment horizontal="center"/>
    </xf>
    <xf numFmtId="0" fontId="3" fillId="0" borderId="1" xfId="1" applyFont="1" applyBorder="1" applyAlignment="1">
      <alignment horizontal="center"/>
    </xf>
    <xf numFmtId="0" fontId="1" fillId="0" borderId="0" xfId="1" applyAlignment="1">
      <alignment wrapText="1"/>
    </xf>
    <xf numFmtId="0" fontId="5" fillId="0" borderId="0" xfId="1" applyFont="1" applyAlignment="1">
      <alignment wrapText="1"/>
    </xf>
    <xf numFmtId="0" fontId="9" fillId="0" borderId="1" xfId="1" applyFont="1" applyBorder="1" applyAlignment="1">
      <alignment horizontal="center" vertical="center"/>
    </xf>
    <xf numFmtId="0" fontId="9" fillId="0" borderId="3" xfId="1" applyFont="1" applyBorder="1" applyAlignment="1">
      <alignment horizontal="center" vertical="center"/>
    </xf>
    <xf numFmtId="0" fontId="2" fillId="0" borderId="2" xfId="1" applyFont="1" applyBorder="1" applyAlignment="1">
      <alignment horizontal="center"/>
    </xf>
    <xf numFmtId="0" fontId="3" fillId="0" borderId="2" xfId="1" applyFont="1" applyBorder="1" applyAlignment="1">
      <alignment horizontal="center" vertical="center"/>
    </xf>
    <xf numFmtId="0" fontId="14" fillId="0" borderId="0" xfId="1" applyFont="1" applyAlignment="1">
      <alignment horizontal="left"/>
    </xf>
    <xf numFmtId="0" fontId="20" fillId="0" borderId="0" xfId="1" applyFont="1" applyAlignment="1">
      <alignment horizontal="left" vertical="top" wrapText="1"/>
    </xf>
    <xf numFmtId="0" fontId="7" fillId="0" borderId="1" xfId="1" applyFont="1" applyBorder="1" applyAlignment="1">
      <alignment horizontal="center" vertical="center"/>
    </xf>
    <xf numFmtId="0" fontId="7" fillId="0" borderId="3" xfId="1" applyFont="1" applyBorder="1" applyAlignment="1">
      <alignment horizontal="center" vertical="center"/>
    </xf>
    <xf numFmtId="0" fontId="11" fillId="3" borderId="0" xfId="1" applyFont="1" applyFill="1" applyAlignment="1">
      <alignment horizontal="left" vertical="center" wrapText="1"/>
    </xf>
    <xf numFmtId="0" fontId="3" fillId="0" borderId="1" xfId="1" applyFont="1" applyBorder="1" applyAlignment="1">
      <alignment horizontal="center" vertical="center"/>
    </xf>
    <xf numFmtId="0" fontId="3" fillId="0" borderId="3" xfId="1" applyFont="1" applyBorder="1" applyAlignment="1">
      <alignment horizontal="center" vertical="center"/>
    </xf>
    <xf numFmtId="0" fontId="11" fillId="3" borderId="0" xfId="1" applyFont="1" applyFill="1" applyAlignment="1">
      <alignment vertical="center" wrapText="1"/>
    </xf>
    <xf numFmtId="0" fontId="7" fillId="0" borderId="1" xfId="1" applyFont="1" applyBorder="1" applyAlignment="1">
      <alignment horizontal="center"/>
    </xf>
    <xf numFmtId="0" fontId="0" fillId="0" borderId="0" xfId="0"/>
    <xf numFmtId="0" fontId="5" fillId="0" borderId="0" xfId="0" applyFont="1"/>
    <xf numFmtId="0" fontId="5" fillId="0" borderId="0" xfId="1" applyFont="1" applyAlignment="1">
      <alignment horizontal="left" vertical="top" wrapText="1"/>
    </xf>
    <xf numFmtId="0" fontId="1" fillId="0" borderId="1" xfId="1" applyBorder="1" applyAlignment="1">
      <alignment vertical="center"/>
    </xf>
    <xf numFmtId="0" fontId="1" fillId="0" borderId="3" xfId="1" applyBorder="1" applyAlignment="1">
      <alignment vertical="center"/>
    </xf>
    <xf numFmtId="0" fontId="23" fillId="8" borderId="0" xfId="8" applyFill="1"/>
    <xf numFmtId="0" fontId="1" fillId="8" borderId="0" xfId="8" applyFont="1" applyFill="1"/>
  </cellXfs>
  <cellStyles count="9">
    <cellStyle name="Millares 2" xfId="2" xr:uid="{00000000-0005-0000-0000-000000000000}"/>
    <cellStyle name="Millares 2 2" xfId="6" xr:uid="{00000000-0005-0000-0000-000001000000}"/>
    <cellStyle name="Millares 3" xfId="7" xr:uid="{00000000-0005-0000-0000-000002000000}"/>
    <cellStyle name="Moneda 2" xfId="3" xr:uid="{00000000-0005-0000-0000-000003000000}"/>
    <cellStyle name="Normal" xfId="0" builtinId="0"/>
    <cellStyle name="Normal 2" xfId="1" xr:uid="{00000000-0005-0000-0000-000005000000}"/>
    <cellStyle name="Normal 3" xfId="4" xr:uid="{00000000-0005-0000-0000-000006000000}"/>
    <cellStyle name="Normal 4" xfId="8" xr:uid="{00000000-0005-0000-0000-000007000000}"/>
    <cellStyle name="Porcentaje 2" xfId="5" xr:uid="{00000000-0005-0000-0000-00000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6" Type="http://schemas.openxmlformats.org/officeDocument/2006/relationships/worksheet" Target="worksheets/sheet16.xml"/><Relationship Id="rId107" Type="http://schemas.openxmlformats.org/officeDocument/2006/relationships/styles" Target="styles.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6"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calcChain" Target="calcChain.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17"/>
  <sheetViews>
    <sheetView tabSelected="1" topLeftCell="B70" zoomScaleNormal="175" workbookViewId="0">
      <selection activeCell="D88" sqref="D88"/>
    </sheetView>
  </sheetViews>
  <sheetFormatPr baseColWidth="10" defaultColWidth="8.83203125" defaultRowHeight="15" x14ac:dyDescent="0.2"/>
  <cols>
    <col min="1" max="1" width="4.5" style="199" bestFit="1" customWidth="1"/>
    <col min="2" max="2" width="7.6640625" style="199" bestFit="1" customWidth="1"/>
    <col min="3" max="3" width="40.83203125" style="199" customWidth="1"/>
    <col min="4" max="4" width="7.83203125" style="199" bestFit="1" customWidth="1"/>
    <col min="5" max="5" width="95.5" style="199" customWidth="1"/>
    <col min="6" max="6" width="11.83203125" style="199" bestFit="1" customWidth="1"/>
    <col min="7" max="7" width="23" style="199" bestFit="1" customWidth="1"/>
    <col min="8" max="8" width="104.5" style="199" customWidth="1"/>
    <col min="9" max="16384" width="8.83203125" style="199"/>
  </cols>
  <sheetData>
    <row r="1" spans="1:8" x14ac:dyDescent="0.2">
      <c r="A1" s="198" t="s">
        <v>992</v>
      </c>
      <c r="B1" s="198" t="s">
        <v>1457</v>
      </c>
      <c r="C1" s="198" t="s">
        <v>1446</v>
      </c>
      <c r="D1" s="198" t="s">
        <v>993</v>
      </c>
      <c r="E1" s="198" t="s">
        <v>994</v>
      </c>
      <c r="F1" s="198" t="s">
        <v>995</v>
      </c>
      <c r="G1" s="198" t="s">
        <v>996</v>
      </c>
      <c r="H1" s="198" t="s">
        <v>1443</v>
      </c>
    </row>
    <row r="2" spans="1:8" x14ac:dyDescent="0.2">
      <c r="A2" s="199">
        <v>1</v>
      </c>
      <c r="B2" s="199">
        <v>1.2</v>
      </c>
      <c r="C2" s="201" t="s">
        <v>1469</v>
      </c>
      <c r="D2" s="200" t="s">
        <v>1001</v>
      </c>
      <c r="E2" s="200" t="s">
        <v>1002</v>
      </c>
      <c r="F2" s="200" t="s">
        <v>1003</v>
      </c>
      <c r="G2" s="201" t="s">
        <v>1004</v>
      </c>
    </row>
    <row r="3" spans="1:8" x14ac:dyDescent="0.2">
      <c r="A3" s="199">
        <v>2</v>
      </c>
      <c r="B3" s="199">
        <v>1.2</v>
      </c>
      <c r="C3" s="201" t="s">
        <v>1469</v>
      </c>
      <c r="D3" s="200" t="s">
        <v>1005</v>
      </c>
      <c r="E3" s="200" t="s">
        <v>1006</v>
      </c>
      <c r="F3" s="200" t="s">
        <v>1003</v>
      </c>
      <c r="G3" s="201" t="s">
        <v>1004</v>
      </c>
    </row>
    <row r="4" spans="1:8" x14ac:dyDescent="0.2">
      <c r="A4" s="199">
        <v>10</v>
      </c>
      <c r="B4" s="199">
        <v>1.2</v>
      </c>
      <c r="C4" s="201" t="s">
        <v>1469</v>
      </c>
      <c r="D4" s="199" t="s">
        <v>1016</v>
      </c>
      <c r="E4" s="199" t="s">
        <v>167</v>
      </c>
      <c r="F4" s="199" t="s">
        <v>1003</v>
      </c>
    </row>
    <row r="5" spans="1:8" x14ac:dyDescent="0.2">
      <c r="A5" s="199">
        <v>3</v>
      </c>
      <c r="B5" s="199">
        <v>1.3</v>
      </c>
      <c r="C5" s="201" t="s">
        <v>1470</v>
      </c>
      <c r="D5" s="199" t="s">
        <v>1007</v>
      </c>
      <c r="E5" s="199" t="s">
        <v>131</v>
      </c>
      <c r="F5" s="199" t="s">
        <v>1003</v>
      </c>
    </row>
    <row r="6" spans="1:8" x14ac:dyDescent="0.2">
      <c r="A6" s="199">
        <v>4</v>
      </c>
      <c r="B6" s="199">
        <v>1.3</v>
      </c>
      <c r="C6" s="201" t="s">
        <v>1470</v>
      </c>
      <c r="D6" s="199" t="s">
        <v>1008</v>
      </c>
      <c r="E6" s="199" t="s">
        <v>143</v>
      </c>
      <c r="F6" s="199" t="s">
        <v>1003</v>
      </c>
    </row>
    <row r="7" spans="1:8" x14ac:dyDescent="0.2">
      <c r="A7" s="199">
        <v>5</v>
      </c>
      <c r="B7" s="199">
        <v>1.3</v>
      </c>
      <c r="C7" s="201" t="s">
        <v>1470</v>
      </c>
      <c r="D7" s="199" t="s">
        <v>1009</v>
      </c>
      <c r="E7" s="199" t="s">
        <v>144</v>
      </c>
      <c r="F7" s="199" t="s">
        <v>1003</v>
      </c>
    </row>
    <row r="8" spans="1:8" x14ac:dyDescent="0.2">
      <c r="A8" s="199">
        <v>6</v>
      </c>
      <c r="B8" s="199">
        <v>1.3</v>
      </c>
      <c r="C8" s="201" t="s">
        <v>1470</v>
      </c>
      <c r="D8" s="199" t="s">
        <v>1010</v>
      </c>
      <c r="E8" s="199" t="s">
        <v>151</v>
      </c>
      <c r="F8" s="199" t="s">
        <v>1003</v>
      </c>
    </row>
    <row r="9" spans="1:8" x14ac:dyDescent="0.2">
      <c r="A9" s="199">
        <v>7</v>
      </c>
      <c r="B9" s="199">
        <v>1.3</v>
      </c>
      <c r="C9" s="201" t="s">
        <v>1470</v>
      </c>
      <c r="D9" s="199" t="s">
        <v>1011</v>
      </c>
      <c r="E9" s="199" t="s">
        <v>157</v>
      </c>
      <c r="F9" s="199" t="s">
        <v>1003</v>
      </c>
    </row>
    <row r="10" spans="1:8" x14ac:dyDescent="0.2">
      <c r="A10" s="199">
        <v>8</v>
      </c>
      <c r="B10" s="199">
        <v>1.3</v>
      </c>
      <c r="C10" s="201" t="s">
        <v>1470</v>
      </c>
      <c r="D10" s="199" t="s">
        <v>1012</v>
      </c>
      <c r="E10" s="199" t="s">
        <v>1013</v>
      </c>
      <c r="F10" s="199" t="s">
        <v>1003</v>
      </c>
    </row>
    <row r="11" spans="1:8" x14ac:dyDescent="0.2">
      <c r="A11" s="199">
        <v>9</v>
      </c>
      <c r="B11" s="199">
        <v>1.3</v>
      </c>
      <c r="C11" s="201" t="s">
        <v>1470</v>
      </c>
      <c r="D11" s="199" t="s">
        <v>1014</v>
      </c>
      <c r="E11" s="199" t="s">
        <v>1015</v>
      </c>
      <c r="F11" s="199" t="s">
        <v>1003</v>
      </c>
    </row>
    <row r="12" spans="1:8" x14ac:dyDescent="0.2">
      <c r="A12" s="199">
        <v>11</v>
      </c>
      <c r="B12" s="199">
        <v>1.3</v>
      </c>
      <c r="C12" s="201" t="s">
        <v>1470</v>
      </c>
      <c r="D12" s="199" t="s">
        <v>1017</v>
      </c>
      <c r="E12" s="199" t="s">
        <v>177</v>
      </c>
      <c r="F12" s="199" t="s">
        <v>1003</v>
      </c>
    </row>
    <row r="13" spans="1:8" x14ac:dyDescent="0.2">
      <c r="A13" s="199">
        <v>12</v>
      </c>
      <c r="B13" s="199">
        <v>1.3</v>
      </c>
      <c r="C13" s="201" t="s">
        <v>1470</v>
      </c>
      <c r="D13" s="199" t="s">
        <v>1018</v>
      </c>
      <c r="E13" s="199" t="s">
        <v>185</v>
      </c>
      <c r="F13" s="199" t="s">
        <v>1003</v>
      </c>
    </row>
    <row r="14" spans="1:8" x14ac:dyDescent="0.2">
      <c r="A14" s="199">
        <v>13</v>
      </c>
      <c r="B14" s="199">
        <v>1.3</v>
      </c>
      <c r="C14" s="201" t="s">
        <v>1470</v>
      </c>
      <c r="D14" s="199" t="s">
        <v>1019</v>
      </c>
      <c r="E14" s="199" t="s">
        <v>193</v>
      </c>
      <c r="F14" s="199" t="s">
        <v>1003</v>
      </c>
    </row>
    <row r="15" spans="1:8" x14ac:dyDescent="0.2">
      <c r="A15" s="199">
        <v>14</v>
      </c>
      <c r="B15" s="199">
        <v>1.3</v>
      </c>
      <c r="C15" s="201" t="s">
        <v>1470</v>
      </c>
      <c r="D15" s="199" t="s">
        <v>1020</v>
      </c>
      <c r="E15" s="199" t="s">
        <v>198</v>
      </c>
      <c r="F15" s="199" t="s">
        <v>1003</v>
      </c>
    </row>
    <row r="16" spans="1:8" x14ac:dyDescent="0.2">
      <c r="A16" s="199">
        <v>15</v>
      </c>
      <c r="B16" s="199">
        <v>1.4</v>
      </c>
      <c r="C16" s="201" t="s">
        <v>1471</v>
      </c>
      <c r="D16" s="199" t="s">
        <v>1021</v>
      </c>
      <c r="E16" s="199" t="s">
        <v>211</v>
      </c>
      <c r="F16" s="199" t="s">
        <v>1003</v>
      </c>
    </row>
    <row r="17" spans="1:6" x14ac:dyDescent="0.2">
      <c r="A17" s="199">
        <v>16</v>
      </c>
      <c r="B17" s="199">
        <v>1.4</v>
      </c>
      <c r="C17" s="201" t="s">
        <v>1471</v>
      </c>
      <c r="D17" s="199" t="s">
        <v>1022</v>
      </c>
      <c r="E17" s="199" t="s">
        <v>226</v>
      </c>
      <c r="F17" s="199" t="s">
        <v>1003</v>
      </c>
    </row>
    <row r="18" spans="1:6" x14ac:dyDescent="0.2">
      <c r="A18" s="199">
        <v>17</v>
      </c>
      <c r="B18" s="199">
        <v>1.4</v>
      </c>
      <c r="C18" s="201" t="s">
        <v>1471</v>
      </c>
      <c r="D18" s="199" t="s">
        <v>1023</v>
      </c>
      <c r="E18" s="199" t="s">
        <v>235</v>
      </c>
      <c r="F18" s="199" t="s">
        <v>1003</v>
      </c>
    </row>
    <row r="19" spans="1:6" x14ac:dyDescent="0.2">
      <c r="A19" s="199">
        <v>18</v>
      </c>
      <c r="B19" s="199">
        <v>1.4</v>
      </c>
      <c r="C19" s="201" t="s">
        <v>1471</v>
      </c>
      <c r="D19" s="199" t="s">
        <v>1024</v>
      </c>
      <c r="E19" s="199" t="s">
        <v>258</v>
      </c>
      <c r="F19" s="199" t="s">
        <v>1003</v>
      </c>
    </row>
    <row r="20" spans="1:6" x14ac:dyDescent="0.2">
      <c r="A20" s="199">
        <v>19</v>
      </c>
      <c r="B20" s="199">
        <v>1.4</v>
      </c>
      <c r="C20" s="201" t="s">
        <v>1471</v>
      </c>
      <c r="D20" s="199" t="s">
        <v>1025</v>
      </c>
      <c r="E20" s="199" t="s">
        <v>269</v>
      </c>
      <c r="F20" s="199" t="s">
        <v>1003</v>
      </c>
    </row>
    <row r="21" spans="1:6" x14ac:dyDescent="0.2">
      <c r="A21" s="199">
        <v>20</v>
      </c>
      <c r="B21" s="199">
        <v>1.4</v>
      </c>
      <c r="C21" s="201" t="s">
        <v>1471</v>
      </c>
      <c r="D21" s="199" t="s">
        <v>1026</v>
      </c>
      <c r="E21" s="199" t="s">
        <v>286</v>
      </c>
      <c r="F21" s="199" t="s">
        <v>1003</v>
      </c>
    </row>
    <row r="22" spans="1:6" x14ac:dyDescent="0.2">
      <c r="A22" s="199">
        <v>21</v>
      </c>
      <c r="B22" s="199">
        <v>1.4</v>
      </c>
      <c r="C22" s="201" t="s">
        <v>1471</v>
      </c>
      <c r="D22" s="199" t="s">
        <v>1027</v>
      </c>
      <c r="E22" s="199" t="s">
        <v>1028</v>
      </c>
      <c r="F22" s="199" t="s">
        <v>1003</v>
      </c>
    </row>
    <row r="23" spans="1:6" x14ac:dyDescent="0.2">
      <c r="A23" s="199">
        <v>22</v>
      </c>
      <c r="B23" s="199">
        <v>1.4</v>
      </c>
      <c r="C23" s="201" t="s">
        <v>1471</v>
      </c>
      <c r="D23" s="199" t="s">
        <v>1029</v>
      </c>
      <c r="E23" s="199" t="s">
        <v>300</v>
      </c>
      <c r="F23" s="199" t="s">
        <v>1003</v>
      </c>
    </row>
    <row r="24" spans="1:6" x14ac:dyDescent="0.2">
      <c r="A24" s="199">
        <v>23</v>
      </c>
      <c r="B24" s="199">
        <v>1.4</v>
      </c>
      <c r="C24" s="201" t="s">
        <v>1471</v>
      </c>
      <c r="D24" s="199" t="s">
        <v>1030</v>
      </c>
      <c r="E24" s="199" t="s">
        <v>302</v>
      </c>
      <c r="F24" s="199" t="s">
        <v>1003</v>
      </c>
    </row>
    <row r="25" spans="1:6" x14ac:dyDescent="0.2">
      <c r="A25" s="199">
        <v>24</v>
      </c>
      <c r="B25" s="199">
        <v>1.4</v>
      </c>
      <c r="C25" s="201" t="s">
        <v>1471</v>
      </c>
      <c r="D25" s="199" t="s">
        <v>1031</v>
      </c>
      <c r="E25" s="199" t="s">
        <v>1032</v>
      </c>
      <c r="F25" s="199" t="s">
        <v>1003</v>
      </c>
    </row>
    <row r="26" spans="1:6" x14ac:dyDescent="0.2">
      <c r="A26" s="199">
        <v>27</v>
      </c>
      <c r="B26" s="199">
        <v>1.5</v>
      </c>
      <c r="C26" s="201" t="s">
        <v>1472</v>
      </c>
      <c r="D26" s="199" t="s">
        <v>1035</v>
      </c>
      <c r="E26" s="199" t="s">
        <v>344</v>
      </c>
      <c r="F26" s="199" t="s">
        <v>1003</v>
      </c>
    </row>
    <row r="27" spans="1:6" x14ac:dyDescent="0.2">
      <c r="A27" s="199">
        <v>28</v>
      </c>
      <c r="B27" s="199">
        <v>1.5</v>
      </c>
      <c r="C27" s="201" t="s">
        <v>1472</v>
      </c>
      <c r="D27" s="199" t="s">
        <v>1036</v>
      </c>
      <c r="E27" s="199" t="s">
        <v>361</v>
      </c>
      <c r="F27" s="199" t="s">
        <v>1003</v>
      </c>
    </row>
    <row r="28" spans="1:6" x14ac:dyDescent="0.2">
      <c r="A28" s="199">
        <v>29</v>
      </c>
      <c r="B28" s="199">
        <v>1.5</v>
      </c>
      <c r="C28" s="201" t="s">
        <v>1472</v>
      </c>
      <c r="D28" s="199" t="s">
        <v>1037</v>
      </c>
      <c r="E28" s="199" t="s">
        <v>366</v>
      </c>
      <c r="F28" s="199" t="s">
        <v>1003</v>
      </c>
    </row>
    <row r="29" spans="1:6" x14ac:dyDescent="0.2">
      <c r="A29" s="199">
        <v>30</v>
      </c>
      <c r="B29" s="199">
        <v>1.5</v>
      </c>
      <c r="C29" s="201" t="s">
        <v>1472</v>
      </c>
      <c r="D29" s="199" t="s">
        <v>1038</v>
      </c>
      <c r="E29" s="199" t="s">
        <v>369</v>
      </c>
      <c r="F29" s="199" t="s">
        <v>1003</v>
      </c>
    </row>
    <row r="30" spans="1:6" x14ac:dyDescent="0.2">
      <c r="A30" s="199">
        <v>31</v>
      </c>
      <c r="B30" s="199">
        <v>1.5</v>
      </c>
      <c r="C30" s="201" t="s">
        <v>1472</v>
      </c>
      <c r="D30" s="199" t="s">
        <v>1039</v>
      </c>
      <c r="E30" s="199" t="s">
        <v>373</v>
      </c>
      <c r="F30" s="199" t="s">
        <v>1003</v>
      </c>
    </row>
    <row r="31" spans="1:6" x14ac:dyDescent="0.2">
      <c r="A31" s="199">
        <v>32</v>
      </c>
      <c r="B31" s="199">
        <v>1.5</v>
      </c>
      <c r="C31" s="201" t="s">
        <v>1472</v>
      </c>
      <c r="D31" s="199" t="s">
        <v>1040</v>
      </c>
      <c r="E31" s="199" t="s">
        <v>375</v>
      </c>
      <c r="F31" s="199" t="s">
        <v>1003</v>
      </c>
    </row>
    <row r="32" spans="1:6" x14ac:dyDescent="0.2">
      <c r="A32" s="199">
        <v>33</v>
      </c>
      <c r="B32" s="199">
        <v>1.5</v>
      </c>
      <c r="C32" s="201" t="s">
        <v>1472</v>
      </c>
      <c r="D32" s="199" t="s">
        <v>1041</v>
      </c>
      <c r="E32" s="199" t="s">
        <v>398</v>
      </c>
      <c r="F32" s="199" t="s">
        <v>1003</v>
      </c>
    </row>
    <row r="33" spans="1:7" x14ac:dyDescent="0.2">
      <c r="A33" s="199">
        <v>34</v>
      </c>
      <c r="B33" s="199">
        <v>1.5</v>
      </c>
      <c r="C33" s="201" t="s">
        <v>1472</v>
      </c>
      <c r="D33" s="199" t="s">
        <v>1042</v>
      </c>
      <c r="E33" s="199" t="s">
        <v>403</v>
      </c>
      <c r="F33" s="199" t="s">
        <v>1003</v>
      </c>
    </row>
    <row r="34" spans="1:7" x14ac:dyDescent="0.2">
      <c r="A34" s="199">
        <v>25</v>
      </c>
      <c r="B34" s="199">
        <v>1.6</v>
      </c>
      <c r="C34" s="201" t="s">
        <v>1485</v>
      </c>
      <c r="D34" s="199" t="s">
        <v>1033</v>
      </c>
      <c r="E34" s="199" t="s">
        <v>325</v>
      </c>
      <c r="F34" s="199" t="s">
        <v>1003</v>
      </c>
    </row>
    <row r="35" spans="1:7" x14ac:dyDescent="0.2">
      <c r="A35" s="199">
        <v>26</v>
      </c>
      <c r="B35" s="199">
        <v>1.6</v>
      </c>
      <c r="C35" s="201" t="s">
        <v>1485</v>
      </c>
      <c r="D35" s="199" t="s">
        <v>1034</v>
      </c>
      <c r="E35" s="199" t="s">
        <v>332</v>
      </c>
      <c r="F35" s="199" t="s">
        <v>1003</v>
      </c>
    </row>
    <row r="36" spans="1:7" x14ac:dyDescent="0.2">
      <c r="A36" s="199">
        <v>35</v>
      </c>
      <c r="B36" s="199">
        <v>1.7</v>
      </c>
      <c r="C36" s="201" t="s">
        <v>1482</v>
      </c>
      <c r="D36" s="199" t="s">
        <v>1043</v>
      </c>
      <c r="E36" s="199" t="s">
        <v>406</v>
      </c>
      <c r="F36" s="199" t="s">
        <v>1003</v>
      </c>
    </row>
    <row r="37" spans="1:7" x14ac:dyDescent="0.2">
      <c r="A37" s="199">
        <v>36</v>
      </c>
      <c r="B37" s="199">
        <v>1.7</v>
      </c>
      <c r="C37" s="201" t="s">
        <v>1482</v>
      </c>
      <c r="D37" s="199" t="s">
        <v>1044</v>
      </c>
      <c r="E37" s="199" t="s">
        <v>415</v>
      </c>
      <c r="F37" s="199" t="s">
        <v>1003</v>
      </c>
    </row>
    <row r="38" spans="1:7" x14ac:dyDescent="0.2">
      <c r="A38" s="199">
        <v>37</v>
      </c>
      <c r="B38" s="199">
        <v>1.7</v>
      </c>
      <c r="C38" s="201" t="s">
        <v>1482</v>
      </c>
      <c r="D38" s="199" t="s">
        <v>1045</v>
      </c>
      <c r="E38" s="199" t="s">
        <v>423</v>
      </c>
      <c r="F38" s="199" t="s">
        <v>1003</v>
      </c>
    </row>
    <row r="39" spans="1:7" x14ac:dyDescent="0.2">
      <c r="A39" s="199">
        <v>44</v>
      </c>
      <c r="B39" s="248" t="s">
        <v>1483</v>
      </c>
      <c r="C39" s="201" t="s">
        <v>1462</v>
      </c>
      <c r="D39" s="199" t="s">
        <v>1058</v>
      </c>
      <c r="E39" s="199" t="s">
        <v>1059</v>
      </c>
      <c r="F39" s="199" t="s">
        <v>1048</v>
      </c>
    </row>
    <row r="40" spans="1:7" x14ac:dyDescent="0.2">
      <c r="A40" s="199">
        <v>38</v>
      </c>
      <c r="B40" s="199">
        <v>2.1</v>
      </c>
      <c r="C40" s="201" t="s">
        <v>1458</v>
      </c>
      <c r="D40" s="199" t="s">
        <v>1046</v>
      </c>
      <c r="E40" s="199" t="s">
        <v>1047</v>
      </c>
      <c r="F40" s="199" t="s">
        <v>1048</v>
      </c>
    </row>
    <row r="41" spans="1:7" x14ac:dyDescent="0.2">
      <c r="A41" s="199">
        <v>39</v>
      </c>
      <c r="B41" s="199">
        <v>2.1</v>
      </c>
      <c r="C41" s="201" t="s">
        <v>1458</v>
      </c>
      <c r="D41" s="199" t="s">
        <v>1049</v>
      </c>
      <c r="E41" s="199" t="s">
        <v>1050</v>
      </c>
      <c r="F41" s="199" t="s">
        <v>1048</v>
      </c>
    </row>
    <row r="42" spans="1:7" x14ac:dyDescent="0.2">
      <c r="A42" s="199">
        <v>40</v>
      </c>
      <c r="B42" s="199">
        <v>2.1</v>
      </c>
      <c r="C42" s="201" t="s">
        <v>1458</v>
      </c>
      <c r="D42" s="199" t="s">
        <v>1051</v>
      </c>
      <c r="E42" s="199" t="s">
        <v>1052</v>
      </c>
      <c r="F42" s="199" t="s">
        <v>1048</v>
      </c>
    </row>
    <row r="43" spans="1:7" x14ac:dyDescent="0.2">
      <c r="A43" s="199">
        <v>41</v>
      </c>
      <c r="B43" s="199">
        <v>2.1</v>
      </c>
      <c r="C43" s="201" t="s">
        <v>1458</v>
      </c>
      <c r="D43" s="199" t="s">
        <v>1053</v>
      </c>
      <c r="E43" s="199" t="s">
        <v>1054</v>
      </c>
      <c r="F43" s="199" t="s">
        <v>1048</v>
      </c>
    </row>
    <row r="44" spans="1:7" x14ac:dyDescent="0.2">
      <c r="A44" s="199">
        <v>42</v>
      </c>
      <c r="B44" s="199">
        <v>2.1</v>
      </c>
      <c r="C44" s="201" t="s">
        <v>1458</v>
      </c>
      <c r="D44" s="199" t="s">
        <v>1055</v>
      </c>
      <c r="E44" s="199" t="s">
        <v>1056</v>
      </c>
      <c r="F44" s="199" t="s">
        <v>1048</v>
      </c>
    </row>
    <row r="45" spans="1:7" x14ac:dyDescent="0.2">
      <c r="A45" s="199">
        <v>43</v>
      </c>
      <c r="B45" s="199">
        <v>2.1</v>
      </c>
      <c r="C45" s="201" t="s">
        <v>1458</v>
      </c>
      <c r="D45" s="199" t="s">
        <v>1057</v>
      </c>
      <c r="E45" s="199" t="s">
        <v>563</v>
      </c>
      <c r="F45" s="199" t="s">
        <v>1048</v>
      </c>
    </row>
    <row r="46" spans="1:7" x14ac:dyDescent="0.2">
      <c r="A46" s="199">
        <v>47</v>
      </c>
      <c r="B46" s="199">
        <v>2.1</v>
      </c>
      <c r="C46" s="201" t="s">
        <v>1458</v>
      </c>
      <c r="D46" s="199" t="s">
        <v>1064</v>
      </c>
      <c r="E46" s="199" t="s">
        <v>1065</v>
      </c>
      <c r="F46" s="199" t="s">
        <v>1048</v>
      </c>
    </row>
    <row r="47" spans="1:7" x14ac:dyDescent="0.2">
      <c r="A47" s="199">
        <v>48</v>
      </c>
      <c r="B47" s="199">
        <v>2.2000000000000002</v>
      </c>
      <c r="C47" s="201" t="s">
        <v>1459</v>
      </c>
      <c r="D47" s="200" t="s">
        <v>1066</v>
      </c>
      <c r="E47" s="200" t="s">
        <v>1067</v>
      </c>
      <c r="F47" s="200" t="s">
        <v>1048</v>
      </c>
      <c r="G47" s="199" t="s">
        <v>1004</v>
      </c>
    </row>
    <row r="48" spans="1:7" x14ac:dyDescent="0.2">
      <c r="A48" s="199">
        <v>49</v>
      </c>
      <c r="B48" s="199">
        <v>2.2000000000000002</v>
      </c>
      <c r="C48" s="201" t="s">
        <v>1459</v>
      </c>
      <c r="D48" s="200" t="s">
        <v>1068</v>
      </c>
      <c r="E48" s="200" t="s">
        <v>1069</v>
      </c>
      <c r="F48" s="200" t="s">
        <v>1048</v>
      </c>
      <c r="G48" s="199" t="s">
        <v>1004</v>
      </c>
    </row>
    <row r="49" spans="1:8" x14ac:dyDescent="0.2">
      <c r="A49" s="199">
        <v>50</v>
      </c>
      <c r="B49" s="199">
        <v>2.2000000000000002</v>
      </c>
      <c r="C49" s="201" t="s">
        <v>1459</v>
      </c>
      <c r="D49" s="200" t="s">
        <v>1070</v>
      </c>
      <c r="E49" s="200" t="s">
        <v>1071</v>
      </c>
      <c r="F49" s="200" t="s">
        <v>1048</v>
      </c>
      <c r="G49" s="199" t="s">
        <v>1004</v>
      </c>
    </row>
    <row r="50" spans="1:8" x14ac:dyDescent="0.2">
      <c r="A50" s="199">
        <v>51</v>
      </c>
      <c r="B50" s="199">
        <v>2.2000000000000002</v>
      </c>
      <c r="C50" s="201" t="s">
        <v>1459</v>
      </c>
      <c r="D50" s="244" t="s">
        <v>1072</v>
      </c>
      <c r="E50" s="200" t="s">
        <v>1073</v>
      </c>
      <c r="F50" s="200" t="s">
        <v>1048</v>
      </c>
      <c r="G50" s="199" t="s">
        <v>1004</v>
      </c>
    </row>
    <row r="51" spans="1:8" x14ac:dyDescent="0.2">
      <c r="A51" s="199">
        <v>52</v>
      </c>
      <c r="B51" s="199">
        <v>2.2000000000000002</v>
      </c>
      <c r="C51" s="201" t="s">
        <v>1459</v>
      </c>
      <c r="D51" s="200" t="s">
        <v>1074</v>
      </c>
      <c r="E51" s="200" t="s">
        <v>1075</v>
      </c>
      <c r="F51" s="200" t="s">
        <v>1048</v>
      </c>
      <c r="G51" s="199" t="s">
        <v>1004</v>
      </c>
    </row>
    <row r="52" spans="1:8" x14ac:dyDescent="0.2">
      <c r="A52" s="199">
        <v>53</v>
      </c>
      <c r="B52" s="199">
        <v>2.2999999999999998</v>
      </c>
      <c r="C52" s="201" t="s">
        <v>1460</v>
      </c>
      <c r="D52" s="199" t="s">
        <v>1076</v>
      </c>
      <c r="E52" s="199" t="s">
        <v>1077</v>
      </c>
      <c r="F52" s="199" t="s">
        <v>1048</v>
      </c>
    </row>
    <row r="53" spans="1:8" x14ac:dyDescent="0.2">
      <c r="A53" s="199">
        <v>45</v>
      </c>
      <c r="B53" s="199">
        <v>2.4</v>
      </c>
      <c r="C53" s="201" t="s">
        <v>1473</v>
      </c>
      <c r="D53" s="199" t="s">
        <v>1060</v>
      </c>
      <c r="E53" s="199" t="s">
        <v>1061</v>
      </c>
      <c r="F53" s="199" t="s">
        <v>1048</v>
      </c>
    </row>
    <row r="54" spans="1:8" x14ac:dyDescent="0.2">
      <c r="A54" s="199">
        <v>46</v>
      </c>
      <c r="B54" s="199">
        <v>2.4</v>
      </c>
      <c r="C54" s="201" t="s">
        <v>1473</v>
      </c>
      <c r="D54" s="199" t="s">
        <v>1062</v>
      </c>
      <c r="E54" s="199" t="s">
        <v>1063</v>
      </c>
      <c r="F54" s="199" t="s">
        <v>1048</v>
      </c>
    </row>
    <row r="55" spans="1:8" x14ac:dyDescent="0.2">
      <c r="A55" s="199">
        <v>54</v>
      </c>
      <c r="B55" s="199">
        <v>2.4</v>
      </c>
      <c r="C55" s="201" t="s">
        <v>1473</v>
      </c>
      <c r="D55" s="199" t="s">
        <v>1078</v>
      </c>
      <c r="E55" s="199" t="s">
        <v>1079</v>
      </c>
      <c r="F55" s="199" t="s">
        <v>1048</v>
      </c>
    </row>
    <row r="56" spans="1:8" x14ac:dyDescent="0.2">
      <c r="A56" s="199">
        <v>55</v>
      </c>
      <c r="B56" s="199">
        <v>2.5</v>
      </c>
      <c r="C56" s="201" t="s">
        <v>1461</v>
      </c>
      <c r="D56" s="199" t="s">
        <v>1080</v>
      </c>
      <c r="E56" s="199" t="s">
        <v>1081</v>
      </c>
      <c r="F56" s="199" t="s">
        <v>1048</v>
      </c>
    </row>
    <row r="57" spans="1:8" x14ac:dyDescent="0.2">
      <c r="A57" s="199">
        <v>56</v>
      </c>
      <c r="B57" s="199">
        <v>2.6</v>
      </c>
      <c r="C57" s="201" t="s">
        <v>1463</v>
      </c>
      <c r="D57" s="199" t="s">
        <v>1082</v>
      </c>
      <c r="E57" s="199" t="s">
        <v>1083</v>
      </c>
      <c r="F57" s="199" t="s">
        <v>1048</v>
      </c>
    </row>
    <row r="58" spans="1:8" x14ac:dyDescent="0.2">
      <c r="A58" s="199">
        <v>57</v>
      </c>
      <c r="B58" s="199">
        <v>2.6</v>
      </c>
      <c r="C58" s="201" t="s">
        <v>1464</v>
      </c>
      <c r="D58" s="199" t="s">
        <v>1084</v>
      </c>
      <c r="E58" s="199" t="s">
        <v>1085</v>
      </c>
      <c r="F58" s="199" t="s">
        <v>1048</v>
      </c>
    </row>
    <row r="59" spans="1:8" x14ac:dyDescent="0.2">
      <c r="A59" s="199">
        <v>58</v>
      </c>
      <c r="B59" s="199">
        <v>3.1</v>
      </c>
      <c r="C59" s="201" t="s">
        <v>1447</v>
      </c>
      <c r="D59" s="199" t="s">
        <v>1086</v>
      </c>
      <c r="E59" s="199" t="s">
        <v>684</v>
      </c>
      <c r="F59" s="199" t="s">
        <v>999</v>
      </c>
    </row>
    <row r="60" spans="1:8" x14ac:dyDescent="0.2">
      <c r="A60" s="199">
        <v>59</v>
      </c>
      <c r="B60" s="199">
        <v>3.1</v>
      </c>
      <c r="C60" s="201" t="s">
        <v>1447</v>
      </c>
      <c r="D60" s="199" t="s">
        <v>1087</v>
      </c>
      <c r="E60" s="199" t="s">
        <v>686</v>
      </c>
      <c r="F60" s="199" t="s">
        <v>999</v>
      </c>
    </row>
    <row r="61" spans="1:8" x14ac:dyDescent="0.2">
      <c r="A61" s="199">
        <v>60</v>
      </c>
      <c r="B61" s="199">
        <v>3.1</v>
      </c>
      <c r="C61" s="201" t="s">
        <v>1447</v>
      </c>
      <c r="D61" s="199" t="s">
        <v>1088</v>
      </c>
      <c r="E61" s="199" t="s">
        <v>687</v>
      </c>
      <c r="F61" s="199" t="s">
        <v>999</v>
      </c>
    </row>
    <row r="62" spans="1:8" x14ac:dyDescent="0.2">
      <c r="A62" s="199">
        <v>76</v>
      </c>
      <c r="B62" s="249" t="s">
        <v>1486</v>
      </c>
      <c r="C62" s="201" t="s">
        <v>1484</v>
      </c>
      <c r="D62" s="242" t="s">
        <v>1111</v>
      </c>
      <c r="E62" s="244" t="s">
        <v>91</v>
      </c>
      <c r="F62" s="200" t="s">
        <v>999</v>
      </c>
      <c r="G62" s="201" t="s">
        <v>1004</v>
      </c>
    </row>
    <row r="63" spans="1:8" x14ac:dyDescent="0.2">
      <c r="A63" s="199">
        <v>61</v>
      </c>
      <c r="B63" s="199">
        <v>3.2</v>
      </c>
      <c r="C63" s="201" t="s">
        <v>1448</v>
      </c>
      <c r="D63" s="200" t="s">
        <v>1089</v>
      </c>
      <c r="E63" s="200" t="s">
        <v>688</v>
      </c>
      <c r="F63" s="200" t="s">
        <v>999</v>
      </c>
      <c r="G63" s="199" t="s">
        <v>1004</v>
      </c>
      <c r="H63" s="201"/>
    </row>
    <row r="64" spans="1:8" s="284" customFormat="1" x14ac:dyDescent="0.2">
      <c r="A64" s="284">
        <v>62</v>
      </c>
      <c r="B64" s="284">
        <v>3.2</v>
      </c>
      <c r="C64" s="285" t="s">
        <v>1448</v>
      </c>
      <c r="D64" s="285" t="s">
        <v>1488</v>
      </c>
      <c r="E64" s="284" t="s">
        <v>998</v>
      </c>
      <c r="F64" s="284" t="s">
        <v>999</v>
      </c>
      <c r="H64" s="285"/>
    </row>
    <row r="65" spans="1:8" x14ac:dyDescent="0.2">
      <c r="A65" s="199">
        <v>63</v>
      </c>
      <c r="B65" s="199">
        <v>4.0999999999999996</v>
      </c>
      <c r="C65" s="201" t="s">
        <v>1449</v>
      </c>
      <c r="D65" s="199" t="s">
        <v>1090</v>
      </c>
      <c r="E65" s="199" t="s">
        <v>738</v>
      </c>
      <c r="F65" s="199" t="s">
        <v>733</v>
      </c>
    </row>
    <row r="66" spans="1:8" x14ac:dyDescent="0.2">
      <c r="A66" s="199">
        <v>64</v>
      </c>
      <c r="B66" s="199">
        <v>4.0999999999999996</v>
      </c>
      <c r="C66" s="201" t="s">
        <v>1449</v>
      </c>
      <c r="D66" s="200" t="s">
        <v>1091</v>
      </c>
      <c r="E66" s="200" t="s">
        <v>1092</v>
      </c>
      <c r="F66" s="200" t="s">
        <v>733</v>
      </c>
      <c r="G66" s="199" t="s">
        <v>1004</v>
      </c>
    </row>
    <row r="67" spans="1:8" x14ac:dyDescent="0.2">
      <c r="A67" s="199">
        <v>65</v>
      </c>
      <c r="B67" s="199">
        <v>4.2</v>
      </c>
      <c r="C67" s="201" t="s">
        <v>1450</v>
      </c>
      <c r="D67" s="199" t="s">
        <v>1093</v>
      </c>
      <c r="E67" s="199" t="s">
        <v>742</v>
      </c>
      <c r="F67" s="199" t="s">
        <v>733</v>
      </c>
    </row>
    <row r="68" spans="1:8" x14ac:dyDescent="0.2">
      <c r="A68" s="199">
        <v>66</v>
      </c>
      <c r="B68" s="199">
        <v>4.2</v>
      </c>
      <c r="C68" s="201" t="s">
        <v>1450</v>
      </c>
      <c r="D68" s="199" t="s">
        <v>1094</v>
      </c>
      <c r="E68" s="199" t="s">
        <v>1095</v>
      </c>
      <c r="F68" s="199" t="s">
        <v>733</v>
      </c>
    </row>
    <row r="69" spans="1:8" x14ac:dyDescent="0.2">
      <c r="A69" s="199">
        <v>67</v>
      </c>
      <c r="B69" s="199">
        <v>4.3</v>
      </c>
      <c r="C69" s="201" t="s">
        <v>1451</v>
      </c>
      <c r="D69" s="199" t="s">
        <v>1096</v>
      </c>
      <c r="E69" s="199" t="s">
        <v>1097</v>
      </c>
      <c r="F69" s="199" t="s">
        <v>999</v>
      </c>
    </row>
    <row r="70" spans="1:8" x14ac:dyDescent="0.2">
      <c r="A70" s="199">
        <v>68</v>
      </c>
      <c r="B70" s="199">
        <v>4.4000000000000004</v>
      </c>
      <c r="C70" s="201" t="s">
        <v>1452</v>
      </c>
      <c r="D70" s="200" t="s">
        <v>1098</v>
      </c>
      <c r="E70" s="200" t="s">
        <v>1099</v>
      </c>
      <c r="F70" s="200" t="s">
        <v>999</v>
      </c>
      <c r="G70" s="199" t="s">
        <v>1004</v>
      </c>
      <c r="H70" s="201"/>
    </row>
    <row r="71" spans="1:8" x14ac:dyDescent="0.2">
      <c r="A71" s="199">
        <v>69</v>
      </c>
      <c r="B71" s="199">
        <v>5.2</v>
      </c>
      <c r="C71" s="201" t="s">
        <v>1453</v>
      </c>
      <c r="D71" s="199" t="s">
        <v>1100</v>
      </c>
      <c r="E71" s="199" t="s">
        <v>807</v>
      </c>
      <c r="F71" s="199" t="s">
        <v>1101</v>
      </c>
    </row>
    <row r="72" spans="1:8" ht="17" thickBot="1" x14ac:dyDescent="0.25">
      <c r="A72" s="199">
        <v>70</v>
      </c>
      <c r="B72" s="199">
        <v>5.2</v>
      </c>
      <c r="C72" s="201" t="s">
        <v>1453</v>
      </c>
      <c r="D72" s="250" t="s">
        <v>1102</v>
      </c>
      <c r="E72" s="252" t="s">
        <v>1487</v>
      </c>
      <c r="F72" s="26" t="s">
        <v>1101</v>
      </c>
      <c r="H72" s="201" t="s">
        <v>1444</v>
      </c>
    </row>
    <row r="73" spans="1:8" ht="16" thickBot="1" x14ac:dyDescent="0.25">
      <c r="A73" s="199">
        <v>71</v>
      </c>
      <c r="B73" s="199">
        <v>5.2</v>
      </c>
      <c r="C73" s="201" t="s">
        <v>1456</v>
      </c>
      <c r="D73" s="251" t="s">
        <v>1103</v>
      </c>
      <c r="E73" s="251" t="s">
        <v>846</v>
      </c>
      <c r="F73" s="199" t="s">
        <v>1101</v>
      </c>
    </row>
    <row r="74" spans="1:8" x14ac:dyDescent="0.2">
      <c r="A74" s="199">
        <v>72</v>
      </c>
      <c r="B74" s="199">
        <v>5.3</v>
      </c>
      <c r="C74" s="201" t="s">
        <v>1454</v>
      </c>
      <c r="D74" s="199" t="s">
        <v>1104</v>
      </c>
      <c r="E74" s="199" t="s">
        <v>847</v>
      </c>
      <c r="F74" s="199" t="s">
        <v>1101</v>
      </c>
    </row>
    <row r="75" spans="1:8" x14ac:dyDescent="0.2">
      <c r="A75" s="199">
        <v>73</v>
      </c>
      <c r="B75" s="199">
        <v>5.3</v>
      </c>
      <c r="C75" s="201" t="s">
        <v>1454</v>
      </c>
      <c r="D75" s="199" t="s">
        <v>1105</v>
      </c>
      <c r="E75" s="199" t="s">
        <v>1106</v>
      </c>
      <c r="F75" s="199" t="s">
        <v>1101</v>
      </c>
    </row>
    <row r="76" spans="1:8" ht="16" thickBot="1" x14ac:dyDescent="0.25">
      <c r="A76" s="199">
        <v>75</v>
      </c>
      <c r="B76" s="199">
        <v>6.4</v>
      </c>
      <c r="C76" s="201" t="s">
        <v>1455</v>
      </c>
      <c r="D76" s="200" t="s">
        <v>1109</v>
      </c>
      <c r="E76" s="200" t="s">
        <v>1110</v>
      </c>
      <c r="F76" s="200" t="s">
        <v>999</v>
      </c>
      <c r="G76" s="199" t="s">
        <v>1004</v>
      </c>
    </row>
    <row r="77" spans="1:8" ht="16" thickBot="1" x14ac:dyDescent="0.25">
      <c r="A77" s="199">
        <v>77</v>
      </c>
      <c r="B77" s="199">
        <v>6.4</v>
      </c>
      <c r="C77" s="201" t="s">
        <v>1455</v>
      </c>
      <c r="D77" s="251" t="s">
        <v>1112</v>
      </c>
      <c r="E77" s="251" t="s">
        <v>1113</v>
      </c>
      <c r="F77" s="199" t="s">
        <v>1000</v>
      </c>
    </row>
    <row r="78" spans="1:8" x14ac:dyDescent="0.2">
      <c r="A78" s="199">
        <v>79</v>
      </c>
      <c r="B78" s="199">
        <v>6.4</v>
      </c>
      <c r="C78" s="201" t="s">
        <v>1455</v>
      </c>
      <c r="D78" s="199" t="s">
        <v>1115</v>
      </c>
      <c r="E78" s="199" t="s">
        <v>1116</v>
      </c>
      <c r="F78" s="199" t="s">
        <v>1000</v>
      </c>
    </row>
    <row r="79" spans="1:8" s="284" customFormat="1" x14ac:dyDescent="0.2">
      <c r="A79" s="284">
        <v>80</v>
      </c>
      <c r="B79" s="284">
        <v>6.4</v>
      </c>
      <c r="C79" s="285" t="s">
        <v>1455</v>
      </c>
      <c r="D79" s="285" t="s">
        <v>1489</v>
      </c>
      <c r="E79" s="284" t="s">
        <v>98</v>
      </c>
      <c r="F79" s="284" t="s">
        <v>1000</v>
      </c>
    </row>
    <row r="80" spans="1:8" ht="16" thickBot="1" x14ac:dyDescent="0.25">
      <c r="A80" s="199">
        <v>81</v>
      </c>
      <c r="B80" s="199">
        <v>6.4</v>
      </c>
      <c r="C80" s="201" t="s">
        <v>1455</v>
      </c>
      <c r="D80" s="199" t="s">
        <v>1117</v>
      </c>
      <c r="E80" s="199" t="s">
        <v>1118</v>
      </c>
      <c r="F80" s="199" t="s">
        <v>1000</v>
      </c>
    </row>
    <row r="81" spans="1:8" ht="16" thickBot="1" x14ac:dyDescent="0.25">
      <c r="A81" s="199">
        <v>82</v>
      </c>
      <c r="B81" s="199">
        <v>6.4</v>
      </c>
      <c r="C81" s="201" t="s">
        <v>1455</v>
      </c>
      <c r="D81" s="251" t="s">
        <v>1119</v>
      </c>
      <c r="E81" s="251" t="s">
        <v>1120</v>
      </c>
      <c r="F81" s="199" t="s">
        <v>1000</v>
      </c>
    </row>
    <row r="82" spans="1:8" x14ac:dyDescent="0.2">
      <c r="A82" s="199">
        <v>83</v>
      </c>
      <c r="B82" s="199">
        <v>6.4</v>
      </c>
      <c r="C82" s="201" t="s">
        <v>1455</v>
      </c>
      <c r="D82" s="200" t="s">
        <v>1121</v>
      </c>
      <c r="E82" s="200" t="s">
        <v>1122</v>
      </c>
      <c r="F82" s="200" t="s">
        <v>1000</v>
      </c>
      <c r="G82" s="199" t="s">
        <v>1004</v>
      </c>
    </row>
    <row r="83" spans="1:8" x14ac:dyDescent="0.2">
      <c r="A83" s="199">
        <v>84</v>
      </c>
      <c r="B83" s="199">
        <v>6.5</v>
      </c>
      <c r="C83" s="201" t="s">
        <v>1475</v>
      </c>
      <c r="D83" s="199" t="s">
        <v>1123</v>
      </c>
      <c r="E83" s="199" t="s">
        <v>1124</v>
      </c>
      <c r="F83" s="199" t="s">
        <v>1125</v>
      </c>
      <c r="H83" s="201"/>
    </row>
    <row r="84" spans="1:8" x14ac:dyDescent="0.2">
      <c r="A84" s="199">
        <v>85</v>
      </c>
      <c r="B84" s="199">
        <v>6.5</v>
      </c>
      <c r="C84" s="201" t="s">
        <v>1475</v>
      </c>
      <c r="D84" s="199" t="s">
        <v>1126</v>
      </c>
      <c r="E84" s="199" t="s">
        <v>1127</v>
      </c>
      <c r="F84" s="199" t="s">
        <v>1125</v>
      </c>
      <c r="H84" s="201"/>
    </row>
    <row r="85" spans="1:8" x14ac:dyDescent="0.2">
      <c r="A85" s="199">
        <v>86</v>
      </c>
      <c r="B85" s="199">
        <v>6.5</v>
      </c>
      <c r="C85" s="201" t="s">
        <v>1475</v>
      </c>
      <c r="D85" s="199" t="s">
        <v>1128</v>
      </c>
      <c r="E85" s="199" t="s">
        <v>1129</v>
      </c>
      <c r="F85" s="199" t="s">
        <v>1125</v>
      </c>
    </row>
    <row r="86" spans="1:8" x14ac:dyDescent="0.2">
      <c r="A86" s="199">
        <v>87</v>
      </c>
      <c r="B86" s="199">
        <v>8.1</v>
      </c>
      <c r="C86" s="201" t="s">
        <v>1481</v>
      </c>
      <c r="D86" s="199" t="s">
        <v>1130</v>
      </c>
      <c r="E86" s="199" t="s">
        <v>1131</v>
      </c>
      <c r="F86" s="199" t="s">
        <v>997</v>
      </c>
    </row>
    <row r="87" spans="1:8" x14ac:dyDescent="0.2">
      <c r="A87" s="199">
        <v>89</v>
      </c>
      <c r="B87" s="199">
        <v>8.1</v>
      </c>
      <c r="C87" s="201" t="s">
        <v>1481</v>
      </c>
      <c r="D87" s="199" t="s">
        <v>1133</v>
      </c>
      <c r="E87" s="199" t="s">
        <v>1134</v>
      </c>
      <c r="F87" s="199" t="s">
        <v>997</v>
      </c>
    </row>
    <row r="88" spans="1:8" s="284" customFormat="1" x14ac:dyDescent="0.2">
      <c r="A88" s="284">
        <v>91</v>
      </c>
      <c r="B88" s="284">
        <v>8.1</v>
      </c>
      <c r="C88" s="285" t="s">
        <v>1481</v>
      </c>
      <c r="D88" s="285" t="s">
        <v>1490</v>
      </c>
      <c r="E88" s="285" t="s">
        <v>56</v>
      </c>
      <c r="F88" s="284" t="s">
        <v>997</v>
      </c>
      <c r="H88" s="285"/>
    </row>
    <row r="89" spans="1:8" x14ac:dyDescent="0.2">
      <c r="A89" s="199">
        <v>90</v>
      </c>
      <c r="B89" s="199">
        <v>8.3000000000000007</v>
      </c>
      <c r="C89" s="201" t="s">
        <v>1480</v>
      </c>
      <c r="D89" s="199" t="s">
        <v>1135</v>
      </c>
      <c r="E89" s="199" t="s">
        <v>1136</v>
      </c>
      <c r="F89" s="199" t="s">
        <v>997</v>
      </c>
    </row>
    <row r="90" spans="1:8" x14ac:dyDescent="0.2">
      <c r="A90" s="199">
        <v>92</v>
      </c>
      <c r="B90" s="199">
        <v>9.1</v>
      </c>
      <c r="C90" s="201" t="s">
        <v>1465</v>
      </c>
      <c r="D90" s="199" t="s">
        <v>1137</v>
      </c>
      <c r="E90" s="199" t="s">
        <v>1138</v>
      </c>
      <c r="F90" s="199" t="s">
        <v>242</v>
      </c>
    </row>
    <row r="91" spans="1:8" x14ac:dyDescent="0.2">
      <c r="A91" s="199">
        <v>95</v>
      </c>
      <c r="B91" s="199">
        <v>9.1</v>
      </c>
      <c r="C91" s="201" t="s">
        <v>1465</v>
      </c>
      <c r="D91" s="199" t="s">
        <v>1143</v>
      </c>
      <c r="E91" s="199" t="s">
        <v>1144</v>
      </c>
      <c r="F91" s="199" t="s">
        <v>242</v>
      </c>
    </row>
    <row r="92" spans="1:8" x14ac:dyDescent="0.2">
      <c r="A92" s="199">
        <v>96</v>
      </c>
      <c r="B92" s="199">
        <v>9.1</v>
      </c>
      <c r="C92" s="201" t="s">
        <v>1465</v>
      </c>
      <c r="D92" s="199" t="s">
        <v>1145</v>
      </c>
      <c r="E92" s="199" t="s">
        <v>1146</v>
      </c>
      <c r="F92" s="199" t="s">
        <v>242</v>
      </c>
    </row>
    <row r="93" spans="1:8" ht="16" thickBot="1" x14ac:dyDescent="0.25">
      <c r="A93" s="199">
        <v>97</v>
      </c>
      <c r="B93" s="199">
        <v>9.1</v>
      </c>
      <c r="C93" s="201" t="s">
        <v>1465</v>
      </c>
      <c r="D93" s="199" t="s">
        <v>1147</v>
      </c>
      <c r="E93" s="199" t="s">
        <v>1148</v>
      </c>
      <c r="F93" s="199" t="s">
        <v>242</v>
      </c>
    </row>
    <row r="94" spans="1:8" ht="16" thickBot="1" x14ac:dyDescent="0.25">
      <c r="A94" s="199">
        <v>94</v>
      </c>
      <c r="B94" s="199">
        <v>9.1999999999999993</v>
      </c>
      <c r="C94" s="201" t="s">
        <v>1467</v>
      </c>
      <c r="D94" s="251" t="s">
        <v>1141</v>
      </c>
      <c r="E94" s="251" t="s">
        <v>1142</v>
      </c>
      <c r="F94" s="199" t="s">
        <v>242</v>
      </c>
    </row>
    <row r="95" spans="1:8" x14ac:dyDescent="0.2">
      <c r="A95" s="199">
        <v>98</v>
      </c>
      <c r="B95" s="199">
        <v>9.1999999999999993</v>
      </c>
      <c r="C95" s="201" t="s">
        <v>1467</v>
      </c>
      <c r="D95" s="199" t="s">
        <v>1149</v>
      </c>
      <c r="E95" s="199" t="s">
        <v>1150</v>
      </c>
      <c r="F95" s="199" t="s">
        <v>242</v>
      </c>
    </row>
    <row r="96" spans="1:8" x14ac:dyDescent="0.2">
      <c r="A96" s="199">
        <v>99</v>
      </c>
      <c r="B96" s="199">
        <v>9.1999999999999993</v>
      </c>
      <c r="C96" s="201" t="s">
        <v>1467</v>
      </c>
      <c r="D96" s="199" t="s">
        <v>1151</v>
      </c>
      <c r="E96" s="199" t="s">
        <v>1152</v>
      </c>
      <c r="F96" s="199" t="s">
        <v>242</v>
      </c>
    </row>
    <row r="97" spans="1:8" x14ac:dyDescent="0.2">
      <c r="A97" s="243">
        <v>100</v>
      </c>
      <c r="B97" s="243">
        <v>9.3000000000000007</v>
      </c>
      <c r="C97" s="247" t="s">
        <v>1466</v>
      </c>
      <c r="D97" s="243" t="s">
        <v>1153</v>
      </c>
      <c r="E97" s="201" t="s">
        <v>1359</v>
      </c>
      <c r="F97" s="199" t="s">
        <v>242</v>
      </c>
    </row>
    <row r="98" spans="1:8" x14ac:dyDescent="0.2">
      <c r="A98" s="199">
        <v>101</v>
      </c>
      <c r="B98" s="243">
        <v>9.3000000000000007</v>
      </c>
      <c r="C98" s="247" t="s">
        <v>1466</v>
      </c>
      <c r="D98" s="199" t="s">
        <v>1154</v>
      </c>
      <c r="E98" s="199" t="s">
        <v>1155</v>
      </c>
      <c r="F98" s="199" t="s">
        <v>242</v>
      </c>
    </row>
    <row r="99" spans="1:8" x14ac:dyDescent="0.2">
      <c r="A99" s="199">
        <v>102</v>
      </c>
      <c r="B99" s="243">
        <v>9.3000000000000007</v>
      </c>
      <c r="C99" s="247" t="s">
        <v>1466</v>
      </c>
      <c r="D99" s="199" t="s">
        <v>1156</v>
      </c>
      <c r="E99" s="199" t="s">
        <v>1157</v>
      </c>
      <c r="F99" s="199" t="s">
        <v>242</v>
      </c>
    </row>
    <row r="100" spans="1:8" x14ac:dyDescent="0.2">
      <c r="A100" s="199">
        <v>103</v>
      </c>
      <c r="B100" s="243">
        <v>9.3000000000000007</v>
      </c>
      <c r="C100" s="247" t="s">
        <v>1466</v>
      </c>
      <c r="D100" s="199" t="s">
        <v>1158</v>
      </c>
      <c r="E100" s="199" t="s">
        <v>1159</v>
      </c>
      <c r="F100" s="199" t="s">
        <v>242</v>
      </c>
    </row>
    <row r="101" spans="1:8" x14ac:dyDescent="0.2">
      <c r="A101" s="199">
        <v>93</v>
      </c>
      <c r="B101" s="199">
        <v>9.4</v>
      </c>
      <c r="C101" s="201" t="s">
        <v>1468</v>
      </c>
      <c r="D101" s="199" t="s">
        <v>1139</v>
      </c>
      <c r="E101" s="199" t="s">
        <v>1140</v>
      </c>
      <c r="F101" s="199" t="s">
        <v>242</v>
      </c>
    </row>
    <row r="102" spans="1:8" x14ac:dyDescent="0.2">
      <c r="A102" s="199">
        <v>104</v>
      </c>
      <c r="B102" s="199">
        <v>10.199999999999999</v>
      </c>
      <c r="C102" s="201" t="s">
        <v>1479</v>
      </c>
      <c r="D102" s="199" t="s">
        <v>1160</v>
      </c>
      <c r="E102" s="199" t="s">
        <v>1161</v>
      </c>
      <c r="F102" s="199" t="s">
        <v>1162</v>
      </c>
      <c r="H102" s="201"/>
    </row>
    <row r="103" spans="1:8" x14ac:dyDescent="0.2">
      <c r="A103" s="199">
        <v>106</v>
      </c>
      <c r="B103" s="199">
        <v>10.199999999999999</v>
      </c>
      <c r="C103" s="201" t="s">
        <v>1479</v>
      </c>
      <c r="D103" s="199" t="s">
        <v>1165</v>
      </c>
      <c r="E103" s="199" t="s">
        <v>1166</v>
      </c>
      <c r="F103" s="199" t="s">
        <v>1162</v>
      </c>
      <c r="H103" s="201"/>
    </row>
    <row r="104" spans="1:8" x14ac:dyDescent="0.2">
      <c r="A104" s="199">
        <v>107</v>
      </c>
      <c r="B104" s="199">
        <v>10.4</v>
      </c>
      <c r="C104" s="201" t="s">
        <v>1476</v>
      </c>
      <c r="D104" s="200" t="s">
        <v>1167</v>
      </c>
      <c r="E104" s="200" t="s">
        <v>1168</v>
      </c>
      <c r="F104" s="200" t="s">
        <v>1162</v>
      </c>
      <c r="G104" s="199" t="s">
        <v>1004</v>
      </c>
      <c r="H104" s="201"/>
    </row>
    <row r="105" spans="1:8" x14ac:dyDescent="0.2">
      <c r="A105" s="199">
        <v>108</v>
      </c>
      <c r="B105" s="199">
        <v>10.5</v>
      </c>
      <c r="C105" s="201" t="s">
        <v>1477</v>
      </c>
      <c r="D105" s="199" t="s">
        <v>1169</v>
      </c>
      <c r="E105" s="199" t="s">
        <v>1170</v>
      </c>
      <c r="F105" s="199" t="s">
        <v>1162</v>
      </c>
      <c r="H105" s="201"/>
    </row>
    <row r="106" spans="1:8" x14ac:dyDescent="0.2">
      <c r="A106" s="199">
        <v>105</v>
      </c>
      <c r="B106" s="199">
        <v>10.6</v>
      </c>
      <c r="C106" s="201" t="s">
        <v>1478</v>
      </c>
      <c r="D106" s="199" t="s">
        <v>1163</v>
      </c>
      <c r="E106" s="199" t="s">
        <v>1164</v>
      </c>
      <c r="F106" s="199" t="s">
        <v>1162</v>
      </c>
      <c r="H106" s="201" t="s">
        <v>1474</v>
      </c>
    </row>
    <row r="107" spans="1:8" ht="16" x14ac:dyDescent="0.2">
      <c r="A107" s="199">
        <v>74</v>
      </c>
      <c r="D107" s="250" t="s">
        <v>1107</v>
      </c>
      <c r="E107" s="252" t="s">
        <v>1108</v>
      </c>
      <c r="F107" s="26" t="s">
        <v>1101</v>
      </c>
    </row>
    <row r="108" spans="1:8" ht="16" x14ac:dyDescent="0.2">
      <c r="A108" s="199">
        <v>78</v>
      </c>
      <c r="D108" s="250" t="s">
        <v>1114</v>
      </c>
      <c r="E108" s="252" t="s">
        <v>1108</v>
      </c>
      <c r="F108" s="26" t="s">
        <v>1000</v>
      </c>
    </row>
    <row r="109" spans="1:8" ht="16" x14ac:dyDescent="0.2">
      <c r="A109" s="199">
        <v>88</v>
      </c>
      <c r="D109" s="250" t="s">
        <v>1132</v>
      </c>
      <c r="E109" s="252" t="s">
        <v>1108</v>
      </c>
      <c r="F109" s="26" t="s">
        <v>997</v>
      </c>
    </row>
    <row r="110" spans="1:8" x14ac:dyDescent="0.2">
      <c r="C110" s="201"/>
      <c r="E110" s="202"/>
    </row>
    <row r="111" spans="1:8" x14ac:dyDescent="0.2">
      <c r="E111" s="202"/>
    </row>
    <row r="115" spans="5:5" x14ac:dyDescent="0.2">
      <c r="E115" s="202"/>
    </row>
    <row r="116" spans="5:5" x14ac:dyDescent="0.2">
      <c r="E116" s="202"/>
    </row>
    <row r="117" spans="5:5" x14ac:dyDescent="0.2">
      <c r="E117" s="202"/>
    </row>
  </sheetData>
  <pageMargins left="0.7" right="0.7" top="0.75" bottom="0.75" header="0.3" footer="0.3"/>
  <pageSetup scale="45" fitToWidth="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A1:D14"/>
  <sheetViews>
    <sheetView showGridLines="0" workbookViewId="0">
      <selection activeCell="D5" sqref="D5:D10"/>
    </sheetView>
  </sheetViews>
  <sheetFormatPr baseColWidth="10" defaultColWidth="8.83203125" defaultRowHeight="15" x14ac:dyDescent="0.2"/>
  <cols>
    <col min="1" max="1" width="51.83203125" style="2" bestFit="1" customWidth="1"/>
    <col min="2" max="3" width="30.5" style="2" bestFit="1" customWidth="1"/>
    <col min="4" max="4" width="28.1640625" style="2" bestFit="1" customWidth="1"/>
    <col min="5" max="16384" width="8.83203125" style="2"/>
  </cols>
  <sheetData>
    <row r="1" spans="1:4" ht="16" x14ac:dyDescent="0.2">
      <c r="A1" s="253" t="s">
        <v>110</v>
      </c>
      <c r="B1" s="253"/>
      <c r="C1" s="253"/>
      <c r="D1" s="253"/>
    </row>
    <row r="2" spans="1:4" ht="16" x14ac:dyDescent="0.2">
      <c r="A2" s="1"/>
      <c r="B2" s="1"/>
      <c r="C2" s="1"/>
      <c r="D2" s="1"/>
    </row>
    <row r="3" spans="1:4" ht="16" x14ac:dyDescent="0.2">
      <c r="A3" s="254" t="s">
        <v>102</v>
      </c>
      <c r="B3" s="256" t="s">
        <v>70</v>
      </c>
      <c r="C3" s="256"/>
      <c r="D3" s="256"/>
    </row>
    <row r="4" spans="1:4" x14ac:dyDescent="0.2">
      <c r="A4" s="255"/>
      <c r="B4" s="3" t="s">
        <v>3</v>
      </c>
      <c r="C4" s="3" t="s">
        <v>2</v>
      </c>
      <c r="D4" s="45" t="s">
        <v>33</v>
      </c>
    </row>
    <row r="5" spans="1:4" x14ac:dyDescent="0.2">
      <c r="A5" s="2" t="s">
        <v>103</v>
      </c>
      <c r="B5" s="10">
        <v>2829137</v>
      </c>
      <c r="C5" s="10">
        <v>17454177</v>
      </c>
      <c r="D5" s="245">
        <f>SUM(B5:C5)</f>
        <v>20283314</v>
      </c>
    </row>
    <row r="6" spans="1:4" x14ac:dyDescent="0.2">
      <c r="A6" s="2" t="s">
        <v>104</v>
      </c>
      <c r="B6" s="10">
        <v>8002597.8099999996</v>
      </c>
      <c r="C6" s="10">
        <v>16157431</v>
      </c>
      <c r="D6" s="245">
        <f t="shared" ref="D6:D10" si="0">SUM(B6:C6)</f>
        <v>24160028.809999999</v>
      </c>
    </row>
    <row r="7" spans="1:4" x14ac:dyDescent="0.2">
      <c r="A7" s="2" t="s">
        <v>105</v>
      </c>
      <c r="B7" s="10">
        <v>5182792.29</v>
      </c>
      <c r="C7" s="10">
        <v>3797130.55</v>
      </c>
      <c r="D7" s="245">
        <f t="shared" si="0"/>
        <v>8979922.8399999999</v>
      </c>
    </row>
    <row r="8" spans="1:4" x14ac:dyDescent="0.2">
      <c r="A8" s="2" t="s">
        <v>106</v>
      </c>
      <c r="B8" s="10">
        <v>489916.01</v>
      </c>
      <c r="C8" s="10">
        <v>0</v>
      </c>
      <c r="D8" s="245">
        <f t="shared" si="0"/>
        <v>489916.01</v>
      </c>
    </row>
    <row r="9" spans="1:4" x14ac:dyDescent="0.2">
      <c r="A9" s="2" t="s">
        <v>107</v>
      </c>
      <c r="B9" s="10">
        <v>2980069.02</v>
      </c>
      <c r="C9" s="10">
        <v>0</v>
      </c>
      <c r="D9" s="245">
        <f t="shared" si="0"/>
        <v>2980069.02</v>
      </c>
    </row>
    <row r="10" spans="1:4" x14ac:dyDescent="0.2">
      <c r="A10" s="2" t="s">
        <v>108</v>
      </c>
      <c r="B10" s="10">
        <v>13070152</v>
      </c>
      <c r="C10" s="10">
        <v>0</v>
      </c>
      <c r="D10" s="245">
        <f t="shared" si="0"/>
        <v>13070152</v>
      </c>
    </row>
    <row r="11" spans="1:4" x14ac:dyDescent="0.2">
      <c r="A11" s="46" t="s">
        <v>33</v>
      </c>
      <c r="B11" s="49">
        <f>SUM(B5:B10)</f>
        <v>32554664.129999999</v>
      </c>
      <c r="C11" s="49">
        <f>SUM(C5:C10)</f>
        <v>37408738.549999997</v>
      </c>
      <c r="D11" s="49">
        <f>SUM(D5:D10)</f>
        <v>69963402.680000007</v>
      </c>
    </row>
    <row r="12" spans="1:4" x14ac:dyDescent="0.2">
      <c r="C12" s="17"/>
      <c r="D12" s="17"/>
    </row>
    <row r="13" spans="1:4" x14ac:dyDescent="0.2">
      <c r="A13" s="257" t="s">
        <v>109</v>
      </c>
      <c r="B13" s="257"/>
      <c r="C13" s="257"/>
      <c r="D13" s="257"/>
    </row>
    <row r="14" spans="1:4" x14ac:dyDescent="0.2">
      <c r="A14" s="258"/>
      <c r="B14" s="258"/>
      <c r="C14" s="258"/>
      <c r="D14" s="258"/>
    </row>
  </sheetData>
  <mergeCells count="5">
    <mergeCell ref="A1:D1"/>
    <mergeCell ref="A3:A4"/>
    <mergeCell ref="B3:D3"/>
    <mergeCell ref="A13:D13"/>
    <mergeCell ref="A14:D1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B26"/>
  <sheetViews>
    <sheetView showGridLines="0" topLeftCell="A8" zoomScale="80" zoomScaleNormal="80" workbookViewId="0">
      <selection activeCell="A17" sqref="A17"/>
    </sheetView>
  </sheetViews>
  <sheetFormatPr baseColWidth="10" defaultColWidth="8.83203125" defaultRowHeight="15" x14ac:dyDescent="0.2"/>
  <cols>
    <col min="1" max="1" width="125.5" style="2" customWidth="1"/>
    <col min="2" max="2" width="21.1640625" style="2" bestFit="1" customWidth="1"/>
    <col min="3" max="5" width="8.83203125" style="2"/>
    <col min="6" max="6" width="13.5" style="2" bestFit="1" customWidth="1"/>
    <col min="7" max="7" width="10.83203125" style="2" bestFit="1" customWidth="1"/>
    <col min="8" max="16384" width="8.83203125" style="2"/>
  </cols>
  <sheetData>
    <row r="1" spans="1:2" ht="16" x14ac:dyDescent="0.2">
      <c r="A1" s="44" t="s">
        <v>124</v>
      </c>
      <c r="B1" s="1"/>
    </row>
    <row r="2" spans="1:2" ht="16" x14ac:dyDescent="0.2">
      <c r="A2" s="1"/>
      <c r="B2" s="1"/>
    </row>
    <row r="3" spans="1:2" x14ac:dyDescent="0.2">
      <c r="A3" s="13" t="s">
        <v>111</v>
      </c>
      <c r="B3" s="13" t="s">
        <v>70</v>
      </c>
    </row>
    <row r="4" spans="1:2" x14ac:dyDescent="0.2">
      <c r="A4" s="50" t="s">
        <v>112</v>
      </c>
      <c r="B4" s="55">
        <f>SUM(B5:B12)</f>
        <v>444813825.05999994</v>
      </c>
    </row>
    <row r="5" spans="1:2" x14ac:dyDescent="0.2">
      <c r="A5" s="5" t="s">
        <v>113</v>
      </c>
      <c r="B5" s="10">
        <v>182061884.22999999</v>
      </c>
    </row>
    <row r="6" spans="1:2" x14ac:dyDescent="0.2">
      <c r="A6" s="5" t="s">
        <v>114</v>
      </c>
      <c r="B6" s="10">
        <v>69216203.040000007</v>
      </c>
    </row>
    <row r="7" spans="1:2" x14ac:dyDescent="0.2">
      <c r="A7" s="5" t="s">
        <v>115</v>
      </c>
      <c r="B7" s="56">
        <v>30628728</v>
      </c>
    </row>
    <row r="8" spans="1:2" x14ac:dyDescent="0.2">
      <c r="A8" s="5" t="s">
        <v>116</v>
      </c>
      <c r="B8" s="10">
        <v>15476271.689999999</v>
      </c>
    </row>
    <row r="9" spans="1:2" x14ac:dyDescent="0.2">
      <c r="A9" s="5" t="s">
        <v>117</v>
      </c>
      <c r="B9" s="10">
        <v>139177540.59</v>
      </c>
    </row>
    <row r="10" spans="1:2" x14ac:dyDescent="0.2">
      <c r="A10" s="5" t="s">
        <v>118</v>
      </c>
      <c r="B10" s="56">
        <v>2981403.88</v>
      </c>
    </row>
    <row r="11" spans="1:2" x14ac:dyDescent="0.2">
      <c r="A11" s="5" t="s">
        <v>119</v>
      </c>
      <c r="B11" s="10">
        <v>3685179</v>
      </c>
    </row>
    <row r="12" spans="1:2" x14ac:dyDescent="0.2">
      <c r="A12" s="5" t="s">
        <v>120</v>
      </c>
      <c r="B12" s="10">
        <v>1586614.63</v>
      </c>
    </row>
    <row r="13" spans="1:2" x14ac:dyDescent="0.2">
      <c r="A13" s="50" t="s">
        <v>121</v>
      </c>
      <c r="B13" s="55">
        <f>SUM(B14:B23)</f>
        <v>1042659022.8000001</v>
      </c>
    </row>
    <row r="14" spans="1:2" x14ac:dyDescent="0.2">
      <c r="A14" s="5" t="s">
        <v>122</v>
      </c>
      <c r="B14" s="10">
        <v>242381432.52000001</v>
      </c>
    </row>
    <row r="15" spans="1:2" x14ac:dyDescent="0.2">
      <c r="A15" s="5" t="s">
        <v>132</v>
      </c>
      <c r="B15" s="10">
        <v>100645952.73</v>
      </c>
    </row>
    <row r="16" spans="1:2" x14ac:dyDescent="0.2">
      <c r="A16" s="5" t="s">
        <v>123</v>
      </c>
      <c r="B16" s="10">
        <v>51724796.009999998</v>
      </c>
    </row>
    <row r="17" spans="1:2" x14ac:dyDescent="0.2">
      <c r="A17" s="5" t="s">
        <v>133</v>
      </c>
      <c r="B17" s="10">
        <v>1466280.08</v>
      </c>
    </row>
    <row r="18" spans="1:2" x14ac:dyDescent="0.2">
      <c r="A18" s="5" t="s">
        <v>134</v>
      </c>
      <c r="B18" s="10">
        <v>3476341</v>
      </c>
    </row>
    <row r="19" spans="1:2" x14ac:dyDescent="0.2">
      <c r="A19" s="5" t="s">
        <v>135</v>
      </c>
      <c r="B19" s="10">
        <v>628234974.89999998</v>
      </c>
    </row>
    <row r="20" spans="1:2" x14ac:dyDescent="0.2">
      <c r="A20" s="5" t="s">
        <v>136</v>
      </c>
      <c r="B20" s="10">
        <v>2204533.9900000002</v>
      </c>
    </row>
    <row r="21" spans="1:2" x14ac:dyDescent="0.2">
      <c r="A21" s="5" t="s">
        <v>137</v>
      </c>
      <c r="B21" s="10">
        <v>9992425.5999999996</v>
      </c>
    </row>
    <row r="22" spans="1:2" x14ac:dyDescent="0.2">
      <c r="A22" s="5" t="s">
        <v>138</v>
      </c>
      <c r="B22" s="10">
        <v>533600</v>
      </c>
    </row>
    <row r="23" spans="1:2" x14ac:dyDescent="0.2">
      <c r="A23" s="5" t="s">
        <v>139</v>
      </c>
      <c r="B23" s="10">
        <v>1998685.97</v>
      </c>
    </row>
    <row r="24" spans="1:2" ht="16" x14ac:dyDescent="0.2">
      <c r="A24" s="51" t="s">
        <v>33</v>
      </c>
      <c r="B24" s="57">
        <f>SUM(B13+B4)</f>
        <v>1487472847.8600001</v>
      </c>
    </row>
    <row r="25" spans="1:2" x14ac:dyDescent="0.2">
      <c r="A25" s="52"/>
      <c r="B25" s="53"/>
    </row>
    <row r="26" spans="1:2" x14ac:dyDescent="0.2">
      <c r="A26" s="8" t="s">
        <v>109</v>
      </c>
      <c r="B26" s="8"/>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F22"/>
  <sheetViews>
    <sheetView showGridLines="0" workbookViewId="0">
      <selection activeCell="B15" sqref="B15"/>
    </sheetView>
  </sheetViews>
  <sheetFormatPr baseColWidth="10" defaultColWidth="9.6640625" defaultRowHeight="15" x14ac:dyDescent="0.2"/>
  <cols>
    <col min="1" max="1" width="29.5" style="2" bestFit="1" customWidth="1"/>
    <col min="2" max="2" width="104.1640625" style="2" customWidth="1"/>
    <col min="3" max="3" width="22.1640625" style="2" bestFit="1" customWidth="1"/>
    <col min="4" max="6" width="19.1640625" style="2" customWidth="1"/>
    <col min="7" max="16384" width="9.6640625" style="2"/>
  </cols>
  <sheetData>
    <row r="1" spans="1:6" ht="16" x14ac:dyDescent="0.2">
      <c r="A1" s="259" t="s">
        <v>167</v>
      </c>
      <c r="B1" s="259"/>
      <c r="C1" s="259"/>
      <c r="D1" s="259"/>
      <c r="E1" s="259"/>
      <c r="F1" s="259"/>
    </row>
    <row r="2" spans="1:6" ht="16" x14ac:dyDescent="0.2">
      <c r="A2" s="1"/>
      <c r="B2" s="1"/>
      <c r="C2" s="1"/>
      <c r="D2" s="1"/>
      <c r="E2" s="1"/>
      <c r="F2" s="1"/>
    </row>
    <row r="3" spans="1:6" ht="16" x14ac:dyDescent="0.2">
      <c r="A3" s="254" t="s">
        <v>168</v>
      </c>
      <c r="B3" s="254" t="s">
        <v>169</v>
      </c>
      <c r="C3" s="254" t="s">
        <v>170</v>
      </c>
      <c r="D3" s="256" t="s">
        <v>30</v>
      </c>
      <c r="E3" s="256"/>
      <c r="F3" s="256"/>
    </row>
    <row r="4" spans="1:6" x14ac:dyDescent="0.2">
      <c r="A4" s="255"/>
      <c r="B4" s="255"/>
      <c r="C4" s="255"/>
      <c r="D4" s="3" t="s">
        <v>31</v>
      </c>
      <c r="E4" s="3" t="s">
        <v>32</v>
      </c>
      <c r="F4" s="3" t="s">
        <v>33</v>
      </c>
    </row>
    <row r="5" spans="1:6" ht="17" x14ac:dyDescent="0.2">
      <c r="A5" s="72" t="s">
        <v>47</v>
      </c>
      <c r="B5" s="73"/>
      <c r="C5" s="74">
        <f>SUM(C6:C11)</f>
        <v>1842</v>
      </c>
      <c r="D5" s="74">
        <f t="shared" ref="D5:F5" si="0">SUM(D6:D11)</f>
        <v>30913</v>
      </c>
      <c r="E5" s="74">
        <f t="shared" si="0"/>
        <v>28506</v>
      </c>
      <c r="F5" s="74">
        <f t="shared" si="0"/>
        <v>59419</v>
      </c>
    </row>
    <row r="6" spans="1:6" ht="16" x14ac:dyDescent="0.2">
      <c r="A6" s="75"/>
      <c r="B6" s="75" t="s">
        <v>171</v>
      </c>
      <c r="C6" s="61">
        <v>729</v>
      </c>
      <c r="D6" s="61">
        <v>28038</v>
      </c>
      <c r="E6" s="61">
        <v>23752</v>
      </c>
      <c r="F6" s="61">
        <v>51790</v>
      </c>
    </row>
    <row r="7" spans="1:6" ht="16" x14ac:dyDescent="0.2">
      <c r="A7" s="75"/>
      <c r="B7" s="75" t="s">
        <v>172</v>
      </c>
      <c r="C7" s="61">
        <v>88</v>
      </c>
      <c r="D7" s="61">
        <v>2288</v>
      </c>
      <c r="E7" s="61">
        <v>3795</v>
      </c>
      <c r="F7" s="61">
        <v>6083</v>
      </c>
    </row>
    <row r="8" spans="1:6" ht="16" x14ac:dyDescent="0.2">
      <c r="A8" s="75"/>
      <c r="B8" s="75" t="s">
        <v>173</v>
      </c>
      <c r="C8" s="61">
        <v>7</v>
      </c>
      <c r="D8" s="61">
        <v>49</v>
      </c>
      <c r="E8" s="61">
        <v>39</v>
      </c>
      <c r="F8" s="61">
        <v>88</v>
      </c>
    </row>
    <row r="9" spans="1:6" ht="16" x14ac:dyDescent="0.2">
      <c r="A9" s="75"/>
      <c r="B9" s="75" t="s">
        <v>174</v>
      </c>
      <c r="C9" s="61">
        <v>15</v>
      </c>
      <c r="D9" s="61">
        <v>5</v>
      </c>
      <c r="E9" s="61">
        <v>450</v>
      </c>
      <c r="F9" s="61">
        <v>455</v>
      </c>
    </row>
    <row r="10" spans="1:6" ht="16" x14ac:dyDescent="0.2">
      <c r="A10" s="75"/>
      <c r="B10" s="75" t="s">
        <v>175</v>
      </c>
      <c r="C10" s="61">
        <v>346</v>
      </c>
      <c r="D10" s="61">
        <v>200</v>
      </c>
      <c r="E10" s="61">
        <v>146</v>
      </c>
      <c r="F10" s="61">
        <v>346</v>
      </c>
    </row>
    <row r="11" spans="1:6" ht="16" x14ac:dyDescent="0.2">
      <c r="A11" s="75"/>
      <c r="B11" s="75" t="s">
        <v>176</v>
      </c>
      <c r="C11" s="61">
        <v>657</v>
      </c>
      <c r="D11" s="61">
        <v>333</v>
      </c>
      <c r="E11" s="61">
        <v>324</v>
      </c>
      <c r="F11" s="61">
        <v>657</v>
      </c>
    </row>
    <row r="12" spans="1:6" ht="16" x14ac:dyDescent="0.2">
      <c r="A12" s="76"/>
      <c r="B12" s="76"/>
      <c r="C12" s="69"/>
      <c r="D12" s="77"/>
      <c r="E12" s="77"/>
      <c r="F12" s="78"/>
    </row>
    <row r="13" spans="1:6" x14ac:dyDescent="0.2">
      <c r="D13" s="17"/>
      <c r="E13" s="17"/>
      <c r="F13" s="17"/>
    </row>
    <row r="14" spans="1:6" x14ac:dyDescent="0.2">
      <c r="A14" s="8" t="s">
        <v>55</v>
      </c>
      <c r="B14" s="8"/>
      <c r="C14" s="8"/>
      <c r="D14" s="8"/>
      <c r="E14" s="8"/>
      <c r="F14" s="8"/>
    </row>
    <row r="20" spans="4:6" x14ac:dyDescent="0.2">
      <c r="D20" s="17"/>
      <c r="E20" s="17"/>
      <c r="F20" s="17"/>
    </row>
    <row r="21" spans="4:6" x14ac:dyDescent="0.2">
      <c r="D21" s="17"/>
      <c r="E21" s="17"/>
      <c r="F21" s="17"/>
    </row>
    <row r="22" spans="4:6" x14ac:dyDescent="0.2">
      <c r="D22" s="17"/>
      <c r="E22" s="17"/>
      <c r="F22" s="17"/>
    </row>
  </sheetData>
  <mergeCells count="5">
    <mergeCell ref="A1:F1"/>
    <mergeCell ref="A3:A4"/>
    <mergeCell ref="B3:B4"/>
    <mergeCell ref="C3:C4"/>
    <mergeCell ref="D3:F3"/>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G20"/>
  <sheetViews>
    <sheetView showGridLines="0" zoomScale="90" zoomScaleNormal="90" workbookViewId="0">
      <selection activeCell="A5" sqref="A5:A17"/>
    </sheetView>
  </sheetViews>
  <sheetFormatPr baseColWidth="10" defaultColWidth="8.83203125" defaultRowHeight="15" x14ac:dyDescent="0.2"/>
  <cols>
    <col min="1" max="1" width="14" style="2" bestFit="1" customWidth="1"/>
    <col min="2" max="2" width="10.83203125" style="2" customWidth="1"/>
    <col min="3" max="3" width="23.5" style="2" bestFit="1" customWidth="1"/>
    <col min="4" max="4" width="28.1640625" style="2" bestFit="1" customWidth="1"/>
    <col min="5" max="5" width="25.83203125" style="2" bestFit="1" customWidth="1"/>
    <col min="6" max="6" width="24.5" style="2" bestFit="1" customWidth="1"/>
    <col min="7" max="8" width="7" style="2" bestFit="1" customWidth="1"/>
    <col min="9" max="16384" width="8.83203125" style="2"/>
  </cols>
  <sheetData>
    <row r="1" spans="1:7" ht="16" x14ac:dyDescent="0.2">
      <c r="A1" s="259" t="s">
        <v>131</v>
      </c>
      <c r="B1" s="259"/>
      <c r="C1" s="259"/>
      <c r="D1" s="259"/>
      <c r="E1" s="259"/>
      <c r="F1" s="259"/>
      <c r="G1" s="259"/>
    </row>
    <row r="2" spans="1:7" ht="16" x14ac:dyDescent="0.2">
      <c r="A2" s="1"/>
      <c r="B2" s="1"/>
      <c r="C2" s="1"/>
      <c r="D2" s="1"/>
      <c r="E2" s="1"/>
      <c r="F2" s="1"/>
      <c r="G2" s="1"/>
    </row>
    <row r="3" spans="1:7" x14ac:dyDescent="0.2">
      <c r="A3" s="254" t="s">
        <v>64</v>
      </c>
      <c r="B3" s="254" t="s">
        <v>125</v>
      </c>
      <c r="C3" s="260" t="s">
        <v>126</v>
      </c>
      <c r="D3" s="261"/>
      <c r="E3" s="261"/>
      <c r="F3" s="254" t="s">
        <v>127</v>
      </c>
      <c r="G3" s="254" t="s">
        <v>33</v>
      </c>
    </row>
    <row r="4" spans="1:7" x14ac:dyDescent="0.2">
      <c r="A4" s="255"/>
      <c r="B4" s="255"/>
      <c r="C4" s="13" t="s">
        <v>128</v>
      </c>
      <c r="D4" s="13" t="s">
        <v>129</v>
      </c>
      <c r="E4" s="13" t="s">
        <v>130</v>
      </c>
      <c r="F4" s="255"/>
      <c r="G4" s="255"/>
    </row>
    <row r="5" spans="1:7" ht="16" x14ac:dyDescent="0.2">
      <c r="A5" s="11" t="s">
        <v>71</v>
      </c>
      <c r="B5" s="17">
        <v>55</v>
      </c>
      <c r="C5" s="17">
        <v>2</v>
      </c>
      <c r="D5" s="17">
        <v>0</v>
      </c>
      <c r="E5" s="17">
        <v>0</v>
      </c>
      <c r="F5" s="17">
        <v>3</v>
      </c>
      <c r="G5" s="17">
        <v>60</v>
      </c>
    </row>
    <row r="6" spans="1:7" ht="16" x14ac:dyDescent="0.2">
      <c r="A6" s="11" t="s">
        <v>72</v>
      </c>
      <c r="B6" s="17">
        <v>453</v>
      </c>
      <c r="C6" s="17">
        <v>28</v>
      </c>
      <c r="D6" s="17">
        <v>1</v>
      </c>
      <c r="E6" s="17">
        <v>0</v>
      </c>
      <c r="F6" s="17">
        <v>41</v>
      </c>
      <c r="G6" s="17">
        <v>523</v>
      </c>
    </row>
    <row r="7" spans="1:7" ht="16" x14ac:dyDescent="0.2">
      <c r="A7" s="11" t="s">
        <v>73</v>
      </c>
      <c r="B7" s="17">
        <v>706</v>
      </c>
      <c r="C7" s="17">
        <v>29</v>
      </c>
      <c r="D7" s="17">
        <v>5</v>
      </c>
      <c r="E7" s="17">
        <v>1</v>
      </c>
      <c r="F7" s="17">
        <v>53</v>
      </c>
      <c r="G7" s="17">
        <v>794</v>
      </c>
    </row>
    <row r="8" spans="1:7" ht="16" x14ac:dyDescent="0.2">
      <c r="A8" s="11" t="s">
        <v>74</v>
      </c>
      <c r="B8" s="17">
        <v>535</v>
      </c>
      <c r="C8" s="17">
        <v>16</v>
      </c>
      <c r="D8" s="17">
        <v>3</v>
      </c>
      <c r="E8" s="17">
        <v>0</v>
      </c>
      <c r="F8" s="17">
        <v>28</v>
      </c>
      <c r="G8" s="17">
        <v>582</v>
      </c>
    </row>
    <row r="9" spans="1:7" ht="16" x14ac:dyDescent="0.2">
      <c r="A9" s="11" t="s">
        <v>75</v>
      </c>
      <c r="B9" s="17">
        <v>1729</v>
      </c>
      <c r="C9" s="17">
        <v>93</v>
      </c>
      <c r="D9" s="17">
        <v>11</v>
      </c>
      <c r="E9" s="17">
        <v>3</v>
      </c>
      <c r="F9" s="17">
        <v>77</v>
      </c>
      <c r="G9" s="17">
        <v>1913</v>
      </c>
    </row>
    <row r="10" spans="1:7" ht="16" x14ac:dyDescent="0.2">
      <c r="A10" s="11" t="s">
        <v>76</v>
      </c>
      <c r="B10" s="17">
        <v>688</v>
      </c>
      <c r="C10" s="17">
        <v>29</v>
      </c>
      <c r="D10" s="17">
        <v>4</v>
      </c>
      <c r="E10" s="17">
        <v>0</v>
      </c>
      <c r="F10" s="17">
        <v>28</v>
      </c>
      <c r="G10" s="17">
        <v>749</v>
      </c>
    </row>
    <row r="11" spans="1:7" ht="16" x14ac:dyDescent="0.2">
      <c r="A11" s="11" t="s">
        <v>77</v>
      </c>
      <c r="B11" s="17">
        <v>260</v>
      </c>
      <c r="C11" s="17">
        <v>13</v>
      </c>
      <c r="D11" s="17">
        <v>1</v>
      </c>
      <c r="E11" s="17">
        <v>0</v>
      </c>
      <c r="F11" s="17">
        <v>11</v>
      </c>
      <c r="G11" s="17">
        <v>285</v>
      </c>
    </row>
    <row r="12" spans="1:7" ht="16" x14ac:dyDescent="0.2">
      <c r="A12" s="11" t="s">
        <v>78</v>
      </c>
      <c r="B12" s="17">
        <v>1123</v>
      </c>
      <c r="C12" s="17">
        <v>74</v>
      </c>
      <c r="D12" s="17">
        <v>3</v>
      </c>
      <c r="E12" s="17">
        <v>1</v>
      </c>
      <c r="F12" s="17">
        <v>55</v>
      </c>
      <c r="G12" s="17">
        <v>1256</v>
      </c>
    </row>
    <row r="13" spans="1:7" ht="16" x14ac:dyDescent="0.2">
      <c r="A13" s="11" t="s">
        <v>79</v>
      </c>
      <c r="B13" s="17">
        <v>115</v>
      </c>
      <c r="C13" s="17">
        <v>8</v>
      </c>
      <c r="D13" s="17">
        <v>0</v>
      </c>
      <c r="E13" s="17">
        <v>0</v>
      </c>
      <c r="F13" s="17">
        <v>7</v>
      </c>
      <c r="G13" s="17">
        <v>130</v>
      </c>
    </row>
    <row r="14" spans="1:7" ht="16" x14ac:dyDescent="0.2">
      <c r="A14" s="11" t="s">
        <v>80</v>
      </c>
      <c r="B14" s="17">
        <v>497</v>
      </c>
      <c r="C14" s="17">
        <v>72</v>
      </c>
      <c r="D14" s="17">
        <v>8</v>
      </c>
      <c r="E14" s="17">
        <v>0</v>
      </c>
      <c r="F14" s="17">
        <v>23</v>
      </c>
      <c r="G14" s="17">
        <v>600</v>
      </c>
    </row>
    <row r="15" spans="1:7" ht="16" x14ac:dyDescent="0.2">
      <c r="A15" s="11" t="s">
        <v>81</v>
      </c>
      <c r="B15" s="17">
        <v>80</v>
      </c>
      <c r="C15" s="17">
        <v>3</v>
      </c>
      <c r="D15" s="17">
        <v>0</v>
      </c>
      <c r="E15" s="17">
        <v>0</v>
      </c>
      <c r="F15" s="17">
        <v>4</v>
      </c>
      <c r="G15" s="17">
        <v>87</v>
      </c>
    </row>
    <row r="16" spans="1:7" ht="16" x14ac:dyDescent="0.2">
      <c r="A16" s="11" t="s">
        <v>82</v>
      </c>
      <c r="B16" s="17">
        <v>137</v>
      </c>
      <c r="C16" s="17">
        <v>4</v>
      </c>
      <c r="D16" s="17">
        <v>3</v>
      </c>
      <c r="E16" s="17">
        <v>0</v>
      </c>
      <c r="F16" s="17">
        <v>64</v>
      </c>
      <c r="G16" s="17">
        <v>208</v>
      </c>
    </row>
    <row r="17" spans="1:7" ht="16" x14ac:dyDescent="0.2">
      <c r="A17" s="11" t="s">
        <v>83</v>
      </c>
      <c r="B17" s="17">
        <v>206</v>
      </c>
      <c r="C17" s="17">
        <v>4</v>
      </c>
      <c r="D17" s="17">
        <v>0</v>
      </c>
      <c r="E17" s="17">
        <v>0</v>
      </c>
      <c r="F17" s="17">
        <v>0</v>
      </c>
      <c r="G17" s="17">
        <v>210</v>
      </c>
    </row>
    <row r="18" spans="1:7" ht="16" x14ac:dyDescent="0.2">
      <c r="A18" s="34" t="s">
        <v>84</v>
      </c>
      <c r="B18" s="54">
        <f>SUM(B5:B17)</f>
        <v>6584</v>
      </c>
      <c r="C18" s="54">
        <f t="shared" ref="C18:G18" si="0">SUM(C5:C17)</f>
        <v>375</v>
      </c>
      <c r="D18" s="54">
        <f t="shared" si="0"/>
        <v>39</v>
      </c>
      <c r="E18" s="54">
        <f t="shared" si="0"/>
        <v>5</v>
      </c>
      <c r="F18" s="54">
        <f t="shared" si="0"/>
        <v>394</v>
      </c>
      <c r="G18" s="54">
        <f t="shared" si="0"/>
        <v>7397</v>
      </c>
    </row>
    <row r="20" spans="1:7" x14ac:dyDescent="0.2">
      <c r="A20" s="257" t="s">
        <v>55</v>
      </c>
      <c r="B20" s="257"/>
      <c r="C20" s="257"/>
      <c r="D20" s="257"/>
      <c r="E20" s="257"/>
      <c r="F20" s="257"/>
      <c r="G20" s="257"/>
    </row>
  </sheetData>
  <mergeCells count="7">
    <mergeCell ref="A20:G20"/>
    <mergeCell ref="A1:G1"/>
    <mergeCell ref="A3:A4"/>
    <mergeCell ref="B3:B4"/>
    <mergeCell ref="C3:E3"/>
    <mergeCell ref="F3:F4"/>
    <mergeCell ref="G3:G4"/>
  </mergeCells>
  <pageMargins left="0.7" right="0.7" top="0.75" bottom="0.75" header="0.3" footer="0.3"/>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F19"/>
  <sheetViews>
    <sheetView showGridLines="0" workbookViewId="0">
      <selection activeCell="A4" sqref="A4:A16"/>
    </sheetView>
  </sheetViews>
  <sheetFormatPr baseColWidth="10" defaultColWidth="8.83203125" defaultRowHeight="15" x14ac:dyDescent="0.2"/>
  <cols>
    <col min="1" max="1" width="14" style="2" bestFit="1" customWidth="1"/>
    <col min="2" max="2" width="7" style="2" bestFit="1" customWidth="1"/>
    <col min="3" max="3" width="18.5" style="2" bestFit="1" customWidth="1"/>
    <col min="4" max="4" width="12.83203125" style="2" bestFit="1" customWidth="1"/>
    <col min="5" max="5" width="7" style="2" bestFit="1" customWidth="1"/>
    <col min="6" max="16384" width="8.83203125" style="2"/>
  </cols>
  <sheetData>
    <row r="1" spans="1:6" ht="16" x14ac:dyDescent="0.2">
      <c r="A1" s="1" t="s">
        <v>143</v>
      </c>
      <c r="B1" s="1"/>
      <c r="C1" s="1"/>
      <c r="D1" s="1"/>
    </row>
    <row r="2" spans="1:6" ht="16" x14ac:dyDescent="0.2">
      <c r="A2" s="58"/>
      <c r="B2" s="58"/>
      <c r="C2" s="58"/>
      <c r="D2" s="58"/>
    </row>
    <row r="3" spans="1:6" x14ac:dyDescent="0.2">
      <c r="A3" s="13" t="s">
        <v>64</v>
      </c>
      <c r="B3" s="13" t="s">
        <v>140</v>
      </c>
      <c r="C3" s="13" t="s">
        <v>141</v>
      </c>
      <c r="D3" s="13" t="s">
        <v>142</v>
      </c>
    </row>
    <row r="4" spans="1:6" ht="16" x14ac:dyDescent="0.2">
      <c r="A4" s="11" t="s">
        <v>71</v>
      </c>
      <c r="B4" s="2">
        <v>759</v>
      </c>
      <c r="C4" s="2">
        <v>436</v>
      </c>
      <c r="D4" s="2">
        <v>57.5</v>
      </c>
      <c r="F4" s="59"/>
    </row>
    <row r="5" spans="1:6" ht="16" x14ac:dyDescent="0.2">
      <c r="A5" s="11" t="s">
        <v>72</v>
      </c>
      <c r="B5" s="2">
        <v>721</v>
      </c>
      <c r="C5" s="2">
        <v>1001</v>
      </c>
      <c r="D5" s="2">
        <v>138.80000000000001</v>
      </c>
      <c r="F5" s="59"/>
    </row>
    <row r="6" spans="1:6" ht="16" x14ac:dyDescent="0.2">
      <c r="A6" s="11" t="s">
        <v>73</v>
      </c>
      <c r="B6" s="17">
        <v>4950</v>
      </c>
      <c r="C6" s="17">
        <v>4184</v>
      </c>
      <c r="D6" s="2">
        <v>84.5</v>
      </c>
      <c r="F6" s="59"/>
    </row>
    <row r="7" spans="1:6" ht="16" x14ac:dyDescent="0.2">
      <c r="A7" s="11" t="s">
        <v>74</v>
      </c>
      <c r="B7" s="2">
        <v>1005</v>
      </c>
      <c r="C7" s="2">
        <v>832</v>
      </c>
      <c r="D7" s="2">
        <v>82.8</v>
      </c>
      <c r="F7" s="59"/>
    </row>
    <row r="8" spans="1:6" ht="16" x14ac:dyDescent="0.2">
      <c r="A8" s="11" t="s">
        <v>75</v>
      </c>
      <c r="B8" s="17">
        <v>4411</v>
      </c>
      <c r="C8" s="17">
        <v>3937</v>
      </c>
      <c r="D8" s="2">
        <v>89.3</v>
      </c>
      <c r="F8" s="59"/>
    </row>
    <row r="9" spans="1:6" ht="16" x14ac:dyDescent="0.2">
      <c r="A9" s="11" t="s">
        <v>76</v>
      </c>
      <c r="B9" s="2">
        <v>1371</v>
      </c>
      <c r="C9" s="2">
        <v>1371</v>
      </c>
      <c r="D9" s="2">
        <v>100</v>
      </c>
      <c r="F9" s="59"/>
    </row>
    <row r="10" spans="1:6" ht="16" x14ac:dyDescent="0.2">
      <c r="A10" s="11" t="s">
        <v>77</v>
      </c>
      <c r="B10" s="2">
        <v>314</v>
      </c>
      <c r="C10" s="2">
        <v>0</v>
      </c>
      <c r="D10" s="2">
        <v>0</v>
      </c>
      <c r="F10" s="59"/>
    </row>
    <row r="11" spans="1:6" ht="16" x14ac:dyDescent="0.2">
      <c r="A11" s="11" t="s">
        <v>78</v>
      </c>
      <c r="B11" s="2">
        <v>1271</v>
      </c>
      <c r="C11" s="2">
        <v>1054</v>
      </c>
      <c r="D11" s="2">
        <v>82.9</v>
      </c>
      <c r="F11" s="59"/>
    </row>
    <row r="12" spans="1:6" ht="16" x14ac:dyDescent="0.2">
      <c r="A12" s="11" t="s">
        <v>79</v>
      </c>
      <c r="B12" s="2">
        <v>574</v>
      </c>
      <c r="C12" s="2">
        <v>729</v>
      </c>
      <c r="D12" s="2">
        <v>127</v>
      </c>
      <c r="F12" s="59"/>
    </row>
    <row r="13" spans="1:6" ht="16" x14ac:dyDescent="0.2">
      <c r="A13" s="11" t="s">
        <v>80</v>
      </c>
      <c r="B13" s="2">
        <v>866</v>
      </c>
      <c r="C13" s="2">
        <v>798</v>
      </c>
      <c r="D13" s="2">
        <v>92.1</v>
      </c>
      <c r="F13" s="59"/>
    </row>
    <row r="14" spans="1:6" ht="16" x14ac:dyDescent="0.2">
      <c r="A14" s="11" t="s">
        <v>81</v>
      </c>
      <c r="B14" s="2">
        <v>168</v>
      </c>
      <c r="C14" s="2">
        <v>100</v>
      </c>
      <c r="D14" s="2">
        <v>59.7</v>
      </c>
      <c r="F14" s="59"/>
    </row>
    <row r="15" spans="1:6" ht="16" x14ac:dyDescent="0.2">
      <c r="A15" s="11" t="s">
        <v>82</v>
      </c>
      <c r="B15" s="2">
        <v>497</v>
      </c>
      <c r="C15" s="2">
        <v>0</v>
      </c>
      <c r="D15" s="2">
        <v>0</v>
      </c>
      <c r="F15" s="59"/>
    </row>
    <row r="16" spans="1:6" ht="16" x14ac:dyDescent="0.2">
      <c r="A16" s="11" t="s">
        <v>83</v>
      </c>
      <c r="B16" s="2">
        <v>171</v>
      </c>
      <c r="C16" s="2">
        <v>210</v>
      </c>
      <c r="D16" s="2">
        <v>122.6</v>
      </c>
      <c r="F16" s="59"/>
    </row>
    <row r="17" spans="1:6" ht="16" x14ac:dyDescent="0.2">
      <c r="A17" s="34" t="s">
        <v>84</v>
      </c>
      <c r="B17" s="38">
        <f>SUM(B4:B16)</f>
        <v>17078</v>
      </c>
      <c r="C17" s="38">
        <f>SUM(C4:C16)</f>
        <v>14652</v>
      </c>
      <c r="D17" s="34">
        <v>85.8</v>
      </c>
      <c r="F17" s="59"/>
    </row>
    <row r="18" spans="1:6" x14ac:dyDescent="0.2">
      <c r="B18" s="17"/>
      <c r="C18" s="17"/>
    </row>
    <row r="19" spans="1:6" x14ac:dyDescent="0.2">
      <c r="A19" s="8" t="s">
        <v>55</v>
      </c>
      <c r="B19" s="8"/>
      <c r="C19" s="8"/>
      <c r="D19" s="8"/>
    </row>
  </sheetData>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I17"/>
  <sheetViews>
    <sheetView showGridLines="0" workbookViewId="0">
      <selection activeCell="H4" sqref="H4"/>
    </sheetView>
  </sheetViews>
  <sheetFormatPr baseColWidth="10" defaultColWidth="9.6640625" defaultRowHeight="15" x14ac:dyDescent="0.2"/>
  <cols>
    <col min="1" max="1" width="15.1640625" style="2" bestFit="1" customWidth="1"/>
    <col min="2" max="2" width="23" style="2" bestFit="1" customWidth="1"/>
    <col min="3" max="3" width="15.1640625" style="2" bestFit="1" customWidth="1"/>
    <col min="4" max="4" width="23" style="2" bestFit="1" customWidth="1"/>
    <col min="5" max="5" width="24.5" style="2" bestFit="1" customWidth="1"/>
    <col min="6" max="6" width="46.33203125" style="2" bestFit="1" customWidth="1"/>
    <col min="7" max="7" width="7.6640625" style="2" bestFit="1" customWidth="1"/>
    <col min="8" max="8" width="10.33203125" style="2" bestFit="1" customWidth="1"/>
    <col min="9" max="9" width="7.6640625" style="2" bestFit="1" customWidth="1"/>
    <col min="10" max="16384" width="9.6640625" style="2"/>
  </cols>
  <sheetData>
    <row r="1" spans="1:9" ht="16" x14ac:dyDescent="0.2">
      <c r="A1" s="259" t="s">
        <v>144</v>
      </c>
      <c r="B1" s="259"/>
      <c r="C1" s="259"/>
      <c r="D1" s="259"/>
      <c r="E1" s="259"/>
      <c r="F1" s="259"/>
      <c r="G1" s="259"/>
      <c r="H1" s="259"/>
      <c r="I1" s="259"/>
    </row>
    <row r="2" spans="1:9" ht="16" x14ac:dyDescent="0.2">
      <c r="A2" s="1"/>
      <c r="B2" s="1"/>
      <c r="C2" s="1"/>
      <c r="D2" s="1"/>
      <c r="E2" s="1"/>
      <c r="F2" s="1"/>
      <c r="G2" s="1"/>
      <c r="H2" s="1"/>
      <c r="I2" s="1"/>
    </row>
    <row r="3" spans="1:9" ht="16" x14ac:dyDescent="0.2">
      <c r="A3" s="29" t="s">
        <v>64</v>
      </c>
      <c r="B3" s="29" t="s">
        <v>145</v>
      </c>
      <c r="C3" s="29" t="s">
        <v>146</v>
      </c>
      <c r="D3" s="29" t="s">
        <v>147</v>
      </c>
      <c r="E3" s="29" t="s">
        <v>148</v>
      </c>
      <c r="F3" s="29" t="s">
        <v>149</v>
      </c>
      <c r="G3" s="29" t="s">
        <v>150</v>
      </c>
      <c r="H3" s="29" t="s">
        <v>33</v>
      </c>
    </row>
    <row r="4" spans="1:9" ht="17" x14ac:dyDescent="0.2">
      <c r="A4" s="60" t="s">
        <v>71</v>
      </c>
      <c r="B4" s="61">
        <v>791</v>
      </c>
      <c r="C4" s="61">
        <v>66</v>
      </c>
      <c r="D4" s="61">
        <v>47</v>
      </c>
      <c r="E4" s="61">
        <v>553</v>
      </c>
      <c r="F4" s="61">
        <v>399</v>
      </c>
      <c r="G4" s="61">
        <v>0</v>
      </c>
      <c r="H4" s="62">
        <f>SUM(B4:G4)</f>
        <v>1856</v>
      </c>
    </row>
    <row r="5" spans="1:9" ht="17" x14ac:dyDescent="0.2">
      <c r="A5" s="60" t="s">
        <v>72</v>
      </c>
      <c r="B5" s="61">
        <v>3354</v>
      </c>
      <c r="C5" s="61">
        <v>376</v>
      </c>
      <c r="D5" s="61">
        <v>240</v>
      </c>
      <c r="E5" s="61">
        <v>3145</v>
      </c>
      <c r="F5" s="61">
        <v>1223</v>
      </c>
      <c r="G5" s="61">
        <v>0</v>
      </c>
      <c r="H5" s="62">
        <f t="shared" ref="H5:H14" si="0">SUM(B5:G5)</f>
        <v>8338</v>
      </c>
    </row>
    <row r="6" spans="1:9" ht="17" x14ac:dyDescent="0.2">
      <c r="A6" s="60" t="s">
        <v>73</v>
      </c>
      <c r="B6" s="61">
        <v>17381</v>
      </c>
      <c r="C6" s="61">
        <v>2061</v>
      </c>
      <c r="D6" s="61">
        <v>2684</v>
      </c>
      <c r="E6" s="61">
        <v>24224</v>
      </c>
      <c r="F6" s="61">
        <v>13437</v>
      </c>
      <c r="G6" s="61">
        <v>5906</v>
      </c>
      <c r="H6" s="62">
        <f t="shared" si="0"/>
        <v>65693</v>
      </c>
    </row>
    <row r="7" spans="1:9" ht="17" x14ac:dyDescent="0.2">
      <c r="A7" s="60" t="s">
        <v>74</v>
      </c>
      <c r="B7" s="61">
        <v>390</v>
      </c>
      <c r="C7" s="61">
        <v>42</v>
      </c>
      <c r="D7" s="61">
        <v>95</v>
      </c>
      <c r="E7" s="61">
        <v>336</v>
      </c>
      <c r="F7" s="61">
        <v>331</v>
      </c>
      <c r="G7" s="61">
        <v>279</v>
      </c>
      <c r="H7" s="62">
        <f t="shared" si="0"/>
        <v>1473</v>
      </c>
    </row>
    <row r="8" spans="1:9" ht="17" x14ac:dyDescent="0.2">
      <c r="A8" s="60" t="s">
        <v>75</v>
      </c>
      <c r="B8" s="61">
        <v>12993</v>
      </c>
      <c r="C8" s="61">
        <v>1426</v>
      </c>
      <c r="D8" s="61">
        <v>1702</v>
      </c>
      <c r="E8" s="61">
        <v>13839</v>
      </c>
      <c r="F8" s="61">
        <v>8461</v>
      </c>
      <c r="G8" s="61">
        <v>2345</v>
      </c>
      <c r="H8" s="62">
        <f t="shared" si="0"/>
        <v>40766</v>
      </c>
    </row>
    <row r="9" spans="1:9" ht="17" x14ac:dyDescent="0.2">
      <c r="A9" s="60" t="s">
        <v>76</v>
      </c>
      <c r="B9" s="61">
        <v>3943</v>
      </c>
      <c r="C9" s="61">
        <v>282</v>
      </c>
      <c r="D9" s="61">
        <v>276</v>
      </c>
      <c r="E9" s="61">
        <v>3251</v>
      </c>
      <c r="F9" s="61">
        <v>2086</v>
      </c>
      <c r="G9" s="61">
        <v>20</v>
      </c>
      <c r="H9" s="62">
        <f t="shared" si="0"/>
        <v>9858</v>
      </c>
    </row>
    <row r="10" spans="1:9" ht="17" x14ac:dyDescent="0.2">
      <c r="A10" s="60" t="s">
        <v>78</v>
      </c>
      <c r="B10" s="61">
        <v>2846</v>
      </c>
      <c r="C10" s="61">
        <v>216</v>
      </c>
      <c r="D10" s="61">
        <v>286</v>
      </c>
      <c r="E10" s="61">
        <v>2588</v>
      </c>
      <c r="F10" s="61">
        <v>1388</v>
      </c>
      <c r="G10" s="61">
        <v>80</v>
      </c>
      <c r="H10" s="62">
        <f t="shared" si="0"/>
        <v>7404</v>
      </c>
    </row>
    <row r="11" spans="1:9" ht="17" x14ac:dyDescent="0.2">
      <c r="A11" s="60" t="s">
        <v>79</v>
      </c>
      <c r="B11" s="61">
        <v>2834</v>
      </c>
      <c r="C11" s="61">
        <v>175</v>
      </c>
      <c r="D11" s="61">
        <v>417</v>
      </c>
      <c r="E11" s="61">
        <v>2028</v>
      </c>
      <c r="F11" s="61">
        <v>1223</v>
      </c>
      <c r="G11" s="61">
        <v>0</v>
      </c>
      <c r="H11" s="62">
        <f t="shared" si="0"/>
        <v>6677</v>
      </c>
    </row>
    <row r="12" spans="1:9" ht="17" x14ac:dyDescent="0.2">
      <c r="A12" s="60" t="s">
        <v>80</v>
      </c>
      <c r="B12" s="61">
        <v>3228</v>
      </c>
      <c r="C12" s="61">
        <v>179</v>
      </c>
      <c r="D12" s="61">
        <v>152</v>
      </c>
      <c r="E12" s="61">
        <v>2935</v>
      </c>
      <c r="F12" s="61">
        <v>958</v>
      </c>
      <c r="G12" s="61">
        <v>3</v>
      </c>
      <c r="H12" s="62">
        <f t="shared" si="0"/>
        <v>7455</v>
      </c>
    </row>
    <row r="13" spans="1:9" ht="17" x14ac:dyDescent="0.2">
      <c r="A13" s="60" t="s">
        <v>81</v>
      </c>
      <c r="B13" s="61">
        <v>269</v>
      </c>
      <c r="C13" s="61">
        <v>19</v>
      </c>
      <c r="D13" s="61">
        <v>52</v>
      </c>
      <c r="E13" s="61">
        <v>289</v>
      </c>
      <c r="F13" s="61">
        <v>253</v>
      </c>
      <c r="G13" s="61">
        <v>41</v>
      </c>
      <c r="H13" s="62">
        <f t="shared" si="0"/>
        <v>923</v>
      </c>
    </row>
    <row r="14" spans="1:9" ht="17" x14ac:dyDescent="0.2">
      <c r="A14" s="60" t="s">
        <v>83</v>
      </c>
      <c r="B14" s="61">
        <v>644</v>
      </c>
      <c r="C14" s="61">
        <v>78</v>
      </c>
      <c r="D14" s="61">
        <v>43</v>
      </c>
      <c r="E14" s="61">
        <v>366</v>
      </c>
      <c r="F14" s="61">
        <v>238</v>
      </c>
      <c r="G14" s="61">
        <v>0</v>
      </c>
      <c r="H14" s="62">
        <f t="shared" si="0"/>
        <v>1369</v>
      </c>
    </row>
    <row r="15" spans="1:9" ht="17" x14ac:dyDescent="0.2">
      <c r="A15" s="63" t="s">
        <v>84</v>
      </c>
      <c r="B15" s="64">
        <f>SUM(B4:B14)</f>
        <v>48673</v>
      </c>
      <c r="C15" s="64">
        <f t="shared" ref="C15:H15" si="1">SUM(C4:C14)</f>
        <v>4920</v>
      </c>
      <c r="D15" s="64">
        <f t="shared" si="1"/>
        <v>5994</v>
      </c>
      <c r="E15" s="64">
        <f t="shared" si="1"/>
        <v>53554</v>
      </c>
      <c r="F15" s="64">
        <f t="shared" si="1"/>
        <v>29997</v>
      </c>
      <c r="G15" s="64">
        <f t="shared" si="1"/>
        <v>8674</v>
      </c>
      <c r="H15" s="64">
        <f t="shared" si="1"/>
        <v>151812</v>
      </c>
    </row>
    <row r="17" spans="1:9" x14ac:dyDescent="0.2">
      <c r="A17" s="8" t="s">
        <v>55</v>
      </c>
      <c r="B17" s="8"/>
      <c r="C17" s="8"/>
      <c r="D17" s="8"/>
      <c r="E17" s="8"/>
      <c r="F17" s="8"/>
      <c r="G17" s="8"/>
      <c r="H17" s="8"/>
      <c r="I17" s="8"/>
    </row>
  </sheetData>
  <mergeCells count="1">
    <mergeCell ref="A1:I1"/>
  </mergeCell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K36"/>
  <sheetViews>
    <sheetView showGridLines="0" workbookViewId="0">
      <selection activeCell="C24" sqref="C24:C36"/>
    </sheetView>
  </sheetViews>
  <sheetFormatPr baseColWidth="10" defaultColWidth="9.6640625" defaultRowHeight="15" x14ac:dyDescent="0.2"/>
  <cols>
    <col min="1" max="1" width="15.1640625" style="2" bestFit="1" customWidth="1"/>
    <col min="2" max="2" width="32.1640625" style="2" bestFit="1" customWidth="1"/>
    <col min="3" max="3" width="12.5" style="2" bestFit="1" customWidth="1"/>
    <col min="4" max="4" width="24.5" style="2" bestFit="1" customWidth="1"/>
    <col min="5" max="5" width="12.5" style="2" bestFit="1" customWidth="1"/>
    <col min="6" max="6" width="25.6640625" style="2" bestFit="1" customWidth="1"/>
    <col min="7" max="7" width="12.5" style="2" bestFit="1" customWidth="1"/>
    <col min="8" max="8" width="25.6640625" style="2" bestFit="1" customWidth="1"/>
    <col min="9" max="9" width="12.5" style="2" bestFit="1" customWidth="1"/>
    <col min="10" max="10" width="8.83203125" style="2" bestFit="1" customWidth="1"/>
    <col min="11" max="11" width="8" style="2" customWidth="1"/>
    <col min="12" max="12" width="9.83203125" style="2" customWidth="1"/>
    <col min="13" max="16384" width="9.6640625" style="2"/>
  </cols>
  <sheetData>
    <row r="1" spans="1:11" ht="16" x14ac:dyDescent="0.2">
      <c r="A1" s="1" t="s">
        <v>151</v>
      </c>
      <c r="B1" s="1"/>
      <c r="C1" s="1"/>
      <c r="D1" s="1"/>
      <c r="E1" s="1"/>
      <c r="F1" s="1"/>
      <c r="G1" s="1"/>
      <c r="H1" s="1"/>
      <c r="I1" s="1"/>
      <c r="J1" s="1"/>
      <c r="K1" s="1"/>
    </row>
    <row r="2" spans="1:11" ht="16" x14ac:dyDescent="0.2">
      <c r="A2" s="65"/>
      <c r="B2" s="65"/>
      <c r="C2" s="65"/>
      <c r="D2" s="65"/>
      <c r="E2" s="65"/>
      <c r="F2" s="65"/>
      <c r="G2" s="65"/>
      <c r="H2" s="65"/>
      <c r="I2" s="65"/>
      <c r="J2" s="65"/>
      <c r="K2" s="1"/>
    </row>
    <row r="3" spans="1:11" x14ac:dyDescent="0.2">
      <c r="A3" s="13" t="s">
        <v>64</v>
      </c>
      <c r="B3" s="13" t="s">
        <v>152</v>
      </c>
      <c r="C3" s="13" t="s">
        <v>153</v>
      </c>
      <c r="D3" s="13" t="s">
        <v>154</v>
      </c>
      <c r="E3" s="13" t="s">
        <v>153</v>
      </c>
      <c r="F3" s="13" t="s">
        <v>155</v>
      </c>
      <c r="G3" s="13" t="s">
        <v>153</v>
      </c>
      <c r="H3" s="13" t="s">
        <v>156</v>
      </c>
      <c r="I3" s="13" t="s">
        <v>153</v>
      </c>
      <c r="J3" s="13" t="s">
        <v>33</v>
      </c>
    </row>
    <row r="4" spans="1:11" ht="16" x14ac:dyDescent="0.2">
      <c r="A4" s="11" t="s">
        <v>71</v>
      </c>
      <c r="B4" s="66">
        <v>520</v>
      </c>
      <c r="C4" s="66">
        <v>92</v>
      </c>
      <c r="D4" s="66">
        <v>538</v>
      </c>
      <c r="E4" s="66">
        <v>81</v>
      </c>
      <c r="F4" s="66">
        <v>605</v>
      </c>
      <c r="G4" s="66">
        <v>93</v>
      </c>
      <c r="H4" s="66">
        <v>660</v>
      </c>
      <c r="I4" s="66">
        <v>85</v>
      </c>
      <c r="J4" s="17">
        <f>B4+D4+F4+H4</f>
        <v>2323</v>
      </c>
    </row>
    <row r="5" spans="1:11" ht="16" x14ac:dyDescent="0.2">
      <c r="A5" s="11" t="s">
        <v>72</v>
      </c>
      <c r="B5" s="66">
        <v>749</v>
      </c>
      <c r="C5" s="66">
        <v>87</v>
      </c>
      <c r="D5" s="66">
        <v>777</v>
      </c>
      <c r="E5" s="66">
        <v>83</v>
      </c>
      <c r="F5" s="66">
        <v>875</v>
      </c>
      <c r="G5" s="66">
        <v>94</v>
      </c>
      <c r="H5" s="66">
        <v>926</v>
      </c>
      <c r="I5" s="66">
        <v>106</v>
      </c>
      <c r="J5" s="17">
        <f t="shared" ref="J5:J16" si="0">B5+D5+F5+H5</f>
        <v>3327</v>
      </c>
    </row>
    <row r="6" spans="1:11" ht="16" x14ac:dyDescent="0.2">
      <c r="A6" s="11" t="s">
        <v>73</v>
      </c>
      <c r="B6" s="66">
        <v>3514</v>
      </c>
      <c r="C6" s="66">
        <v>94</v>
      </c>
      <c r="D6" s="66">
        <v>3646</v>
      </c>
      <c r="E6" s="66">
        <v>87</v>
      </c>
      <c r="F6" s="66">
        <v>4105</v>
      </c>
      <c r="G6" s="66">
        <v>105</v>
      </c>
      <c r="H6" s="66">
        <v>4383</v>
      </c>
      <c r="I6" s="66">
        <v>120</v>
      </c>
      <c r="J6" s="17">
        <f t="shared" si="0"/>
        <v>15648</v>
      </c>
    </row>
    <row r="7" spans="1:11" ht="16" x14ac:dyDescent="0.2">
      <c r="A7" s="11" t="s">
        <v>74</v>
      </c>
      <c r="B7" s="66">
        <v>754</v>
      </c>
      <c r="C7" s="66">
        <v>50</v>
      </c>
      <c r="D7" s="66">
        <v>783</v>
      </c>
      <c r="E7" s="66">
        <v>90</v>
      </c>
      <c r="F7" s="66">
        <v>881</v>
      </c>
      <c r="G7" s="66">
        <v>65</v>
      </c>
      <c r="H7" s="66">
        <v>15336</v>
      </c>
      <c r="I7" s="66">
        <v>82</v>
      </c>
      <c r="J7" s="17">
        <f t="shared" si="0"/>
        <v>17754</v>
      </c>
    </row>
    <row r="8" spans="1:11" ht="16" x14ac:dyDescent="0.2">
      <c r="A8" s="11" t="s">
        <v>75</v>
      </c>
      <c r="B8" s="66">
        <v>3394</v>
      </c>
      <c r="C8" s="66">
        <v>87</v>
      </c>
      <c r="D8" s="66">
        <v>3521</v>
      </c>
      <c r="E8" s="66">
        <v>92</v>
      </c>
      <c r="F8" s="66">
        <v>3963</v>
      </c>
      <c r="G8" s="66">
        <v>103</v>
      </c>
      <c r="H8" s="66">
        <v>3965</v>
      </c>
      <c r="I8" s="66">
        <v>118</v>
      </c>
      <c r="J8" s="17">
        <f t="shared" si="0"/>
        <v>14843</v>
      </c>
    </row>
    <row r="9" spans="1:11" ht="16" x14ac:dyDescent="0.2">
      <c r="A9" s="11" t="s">
        <v>76</v>
      </c>
      <c r="B9" s="66">
        <v>1339</v>
      </c>
      <c r="C9" s="66">
        <v>57</v>
      </c>
      <c r="D9" s="66">
        <v>1389</v>
      </c>
      <c r="E9" s="66">
        <v>86</v>
      </c>
      <c r="F9" s="66">
        <v>1564</v>
      </c>
      <c r="G9" s="66">
        <v>68</v>
      </c>
      <c r="H9" s="66">
        <v>1654</v>
      </c>
      <c r="I9" s="66">
        <v>92</v>
      </c>
      <c r="J9" s="17">
        <f t="shared" si="0"/>
        <v>5946</v>
      </c>
    </row>
    <row r="10" spans="1:11" ht="16" x14ac:dyDescent="0.2">
      <c r="A10" s="11" t="s">
        <v>77</v>
      </c>
      <c r="B10" s="66">
        <v>0</v>
      </c>
      <c r="C10" s="66">
        <v>87</v>
      </c>
      <c r="D10" s="66">
        <v>0</v>
      </c>
      <c r="E10" s="66">
        <v>116</v>
      </c>
      <c r="F10" s="66">
        <v>0</v>
      </c>
      <c r="G10" s="66">
        <v>116</v>
      </c>
      <c r="H10" s="66">
        <v>0</v>
      </c>
      <c r="I10" s="66">
        <v>114</v>
      </c>
      <c r="J10" s="17">
        <f t="shared" si="0"/>
        <v>0</v>
      </c>
    </row>
    <row r="11" spans="1:11" ht="16" x14ac:dyDescent="0.2">
      <c r="A11" s="11" t="s">
        <v>78</v>
      </c>
      <c r="B11" s="66">
        <v>892</v>
      </c>
      <c r="C11" s="66">
        <v>96</v>
      </c>
      <c r="D11" s="66">
        <v>925</v>
      </c>
      <c r="E11" s="66">
        <v>118</v>
      </c>
      <c r="F11" s="66">
        <v>1041</v>
      </c>
      <c r="G11" s="66">
        <v>94</v>
      </c>
      <c r="H11" s="66">
        <v>1127</v>
      </c>
      <c r="I11" s="66">
        <v>126</v>
      </c>
      <c r="J11" s="17">
        <f t="shared" si="0"/>
        <v>3985</v>
      </c>
    </row>
    <row r="12" spans="1:11" ht="16" x14ac:dyDescent="0.2">
      <c r="A12" s="11" t="s">
        <v>79</v>
      </c>
      <c r="B12" s="66">
        <v>475</v>
      </c>
      <c r="C12" s="66">
        <v>61</v>
      </c>
      <c r="D12" s="66">
        <v>493</v>
      </c>
      <c r="E12" s="66">
        <v>73</v>
      </c>
      <c r="F12" s="66">
        <v>554</v>
      </c>
      <c r="G12" s="66">
        <v>80</v>
      </c>
      <c r="H12" s="66">
        <v>552</v>
      </c>
      <c r="I12" s="66">
        <v>70</v>
      </c>
      <c r="J12" s="17">
        <f t="shared" si="0"/>
        <v>2074</v>
      </c>
    </row>
    <row r="13" spans="1:11" ht="16" x14ac:dyDescent="0.2">
      <c r="A13" s="11" t="s">
        <v>80</v>
      </c>
      <c r="B13" s="66">
        <v>677</v>
      </c>
      <c r="C13" s="66">
        <v>97</v>
      </c>
      <c r="D13" s="66">
        <v>702</v>
      </c>
      <c r="E13" s="66">
        <v>162</v>
      </c>
      <c r="F13" s="66">
        <v>791</v>
      </c>
      <c r="G13" s="66">
        <v>147</v>
      </c>
      <c r="H13" s="66">
        <v>808</v>
      </c>
      <c r="I13" s="66">
        <v>169</v>
      </c>
      <c r="J13" s="17">
        <f t="shared" si="0"/>
        <v>2978</v>
      </c>
    </row>
    <row r="14" spans="1:11" ht="16" x14ac:dyDescent="0.2">
      <c r="A14" s="11" t="s">
        <v>81</v>
      </c>
      <c r="B14" s="66">
        <v>126</v>
      </c>
      <c r="C14" s="66">
        <v>86</v>
      </c>
      <c r="D14" s="66">
        <v>131</v>
      </c>
      <c r="E14" s="66">
        <v>120</v>
      </c>
      <c r="F14" s="66">
        <v>148</v>
      </c>
      <c r="G14" s="66">
        <v>155</v>
      </c>
      <c r="H14" s="66">
        <v>161</v>
      </c>
      <c r="I14" s="66">
        <v>223</v>
      </c>
      <c r="J14" s="17">
        <f t="shared" si="0"/>
        <v>566</v>
      </c>
    </row>
    <row r="15" spans="1:11" ht="16" x14ac:dyDescent="0.2">
      <c r="A15" s="11" t="s">
        <v>82</v>
      </c>
      <c r="B15" s="66">
        <v>0</v>
      </c>
      <c r="C15" s="66">
        <v>40</v>
      </c>
      <c r="D15" s="66">
        <v>0</v>
      </c>
      <c r="E15" s="66">
        <v>74</v>
      </c>
      <c r="F15" s="66">
        <v>0</v>
      </c>
      <c r="G15" s="66">
        <v>74</v>
      </c>
      <c r="H15" s="66">
        <v>0</v>
      </c>
      <c r="I15" s="66">
        <v>92</v>
      </c>
      <c r="J15" s="17">
        <f t="shared" si="0"/>
        <v>0</v>
      </c>
    </row>
    <row r="16" spans="1:11" ht="16" x14ac:dyDescent="0.2">
      <c r="A16" s="11" t="s">
        <v>83</v>
      </c>
      <c r="B16" s="66">
        <v>157</v>
      </c>
      <c r="C16" s="66">
        <v>92</v>
      </c>
      <c r="D16" s="66">
        <v>163</v>
      </c>
      <c r="E16" s="66">
        <v>105</v>
      </c>
      <c r="F16" s="66">
        <v>183</v>
      </c>
      <c r="G16" s="66">
        <v>86</v>
      </c>
      <c r="H16" s="66">
        <v>182</v>
      </c>
      <c r="I16" s="66">
        <v>127</v>
      </c>
      <c r="J16" s="17">
        <f t="shared" si="0"/>
        <v>685</v>
      </c>
    </row>
    <row r="17" spans="1:10" ht="16" x14ac:dyDescent="0.2">
      <c r="A17" s="34" t="s">
        <v>84</v>
      </c>
      <c r="B17" s="67">
        <f>SUM(B4:B16)</f>
        <v>12597</v>
      </c>
      <c r="C17" s="67">
        <v>82</v>
      </c>
      <c r="D17" s="67">
        <v>13068</v>
      </c>
      <c r="E17" s="67">
        <v>93</v>
      </c>
      <c r="F17" s="67">
        <f t="shared" ref="F17:J17" si="1">SUM(F4:F16)</f>
        <v>14710</v>
      </c>
      <c r="G17" s="67">
        <v>97</v>
      </c>
      <c r="H17" s="67">
        <f t="shared" si="1"/>
        <v>29754</v>
      </c>
      <c r="I17" s="67">
        <v>112</v>
      </c>
      <c r="J17" s="67">
        <f t="shared" si="1"/>
        <v>70129</v>
      </c>
    </row>
    <row r="19" spans="1:10" x14ac:dyDescent="0.2">
      <c r="A19" s="8" t="s">
        <v>55</v>
      </c>
    </row>
    <row r="24" spans="1:10" x14ac:dyDescent="0.2">
      <c r="C24" s="31"/>
    </row>
    <row r="25" spans="1:10" x14ac:dyDescent="0.2">
      <c r="C25" s="31"/>
    </row>
    <row r="26" spans="1:10" x14ac:dyDescent="0.2">
      <c r="C26" s="31"/>
    </row>
    <row r="27" spans="1:10" x14ac:dyDescent="0.2">
      <c r="C27" s="31"/>
    </row>
    <row r="28" spans="1:10" x14ac:dyDescent="0.2">
      <c r="C28" s="31"/>
    </row>
    <row r="29" spans="1:10" x14ac:dyDescent="0.2">
      <c r="C29" s="31"/>
    </row>
    <row r="30" spans="1:10" x14ac:dyDescent="0.2">
      <c r="C30" s="31"/>
    </row>
    <row r="31" spans="1:10" x14ac:dyDescent="0.2">
      <c r="C31" s="31"/>
    </row>
    <row r="32" spans="1:10" x14ac:dyDescent="0.2">
      <c r="C32" s="31"/>
    </row>
    <row r="33" spans="3:3" x14ac:dyDescent="0.2">
      <c r="C33" s="31"/>
    </row>
    <row r="34" spans="3:3" x14ac:dyDescent="0.2">
      <c r="C34" s="31"/>
    </row>
    <row r="35" spans="3:3" x14ac:dyDescent="0.2">
      <c r="C35" s="31"/>
    </row>
    <row r="36" spans="3:3" x14ac:dyDescent="0.2">
      <c r="C36" s="31"/>
    </row>
  </sheetData>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sheetPr>
  <dimension ref="A1:F19"/>
  <sheetViews>
    <sheetView showGridLines="0" workbookViewId="0">
      <selection activeCell="H12" sqref="H12"/>
    </sheetView>
  </sheetViews>
  <sheetFormatPr baseColWidth="10" defaultColWidth="9.6640625" defaultRowHeight="15" x14ac:dyDescent="0.2"/>
  <cols>
    <col min="1" max="1" width="15.1640625" style="2" bestFit="1" customWidth="1"/>
    <col min="2" max="2" width="18" style="2" bestFit="1" customWidth="1"/>
    <col min="3" max="3" width="16.83203125" style="2" bestFit="1" customWidth="1"/>
    <col min="4" max="4" width="23" style="2" bestFit="1" customWidth="1"/>
    <col min="5" max="5" width="33.1640625" style="2" bestFit="1" customWidth="1"/>
    <col min="6" max="6" width="7.6640625" style="2" bestFit="1" customWidth="1"/>
    <col min="7" max="16384" width="9.6640625" style="2"/>
  </cols>
  <sheetData>
    <row r="1" spans="1:6" ht="16" x14ac:dyDescent="0.2">
      <c r="A1" s="1" t="s">
        <v>157</v>
      </c>
      <c r="B1" s="1"/>
      <c r="C1" s="1"/>
      <c r="D1" s="1"/>
      <c r="E1" s="1"/>
      <c r="F1" s="1"/>
    </row>
    <row r="2" spans="1:6" ht="16" x14ac:dyDescent="0.2">
      <c r="A2" s="1"/>
      <c r="B2" s="1"/>
      <c r="C2" s="1"/>
      <c r="D2" s="1"/>
      <c r="E2" s="1"/>
      <c r="F2" s="1"/>
    </row>
    <row r="3" spans="1:6" ht="16" x14ac:dyDescent="0.2">
      <c r="A3" s="29" t="s">
        <v>64</v>
      </c>
      <c r="B3" s="22" t="s">
        <v>158</v>
      </c>
      <c r="C3" s="22" t="s">
        <v>159</v>
      </c>
      <c r="D3" s="22" t="s">
        <v>160</v>
      </c>
      <c r="E3" s="22" t="s">
        <v>161</v>
      </c>
    </row>
    <row r="4" spans="1:6" ht="17" x14ac:dyDescent="0.2">
      <c r="A4" s="60" t="s">
        <v>71</v>
      </c>
      <c r="B4" s="68">
        <v>139</v>
      </c>
      <c r="C4" s="68">
        <v>0</v>
      </c>
      <c r="D4" s="68">
        <v>101</v>
      </c>
      <c r="E4" s="68">
        <v>114</v>
      </c>
    </row>
    <row r="5" spans="1:6" ht="17" x14ac:dyDescent="0.2">
      <c r="A5" s="60" t="s">
        <v>72</v>
      </c>
      <c r="B5" s="61">
        <v>274</v>
      </c>
      <c r="C5" s="61">
        <v>0</v>
      </c>
      <c r="D5" s="61">
        <v>146</v>
      </c>
      <c r="E5" s="61">
        <v>65</v>
      </c>
    </row>
    <row r="6" spans="1:6" ht="17" x14ac:dyDescent="0.2">
      <c r="A6" s="60" t="s">
        <v>73</v>
      </c>
      <c r="B6" s="61">
        <v>876</v>
      </c>
      <c r="C6" s="61">
        <v>2549</v>
      </c>
      <c r="D6" s="61">
        <v>916</v>
      </c>
      <c r="E6" s="61">
        <v>854</v>
      </c>
    </row>
    <row r="7" spans="1:6" ht="17" x14ac:dyDescent="0.2">
      <c r="A7" s="60" t="s">
        <v>74</v>
      </c>
      <c r="B7" s="61">
        <v>403</v>
      </c>
      <c r="C7" s="61">
        <v>0</v>
      </c>
      <c r="D7" s="61">
        <v>278</v>
      </c>
      <c r="E7" s="61">
        <v>284</v>
      </c>
    </row>
    <row r="8" spans="1:6" ht="17" x14ac:dyDescent="0.2">
      <c r="A8" s="60" t="s">
        <v>75</v>
      </c>
      <c r="B8" s="61">
        <v>1299</v>
      </c>
      <c r="C8" s="61">
        <v>1688</v>
      </c>
      <c r="D8" s="61">
        <v>902</v>
      </c>
      <c r="E8" s="61">
        <v>845</v>
      </c>
    </row>
    <row r="9" spans="1:6" ht="17" x14ac:dyDescent="0.2">
      <c r="A9" s="60" t="s">
        <v>76</v>
      </c>
      <c r="B9" s="61">
        <v>463</v>
      </c>
      <c r="C9" s="61">
        <v>0</v>
      </c>
      <c r="D9" s="61">
        <v>384</v>
      </c>
      <c r="E9" s="61">
        <v>233</v>
      </c>
    </row>
    <row r="10" spans="1:6" ht="17" x14ac:dyDescent="0.2">
      <c r="A10" s="60" t="s">
        <v>77</v>
      </c>
      <c r="B10" s="61">
        <v>190</v>
      </c>
      <c r="C10" s="61">
        <v>0</v>
      </c>
      <c r="D10" s="61">
        <v>101</v>
      </c>
      <c r="E10" s="61">
        <v>30</v>
      </c>
    </row>
    <row r="11" spans="1:6" ht="17" x14ac:dyDescent="0.2">
      <c r="A11" s="60" t="s">
        <v>78</v>
      </c>
      <c r="B11" s="61">
        <v>489</v>
      </c>
      <c r="C11" s="61">
        <v>775</v>
      </c>
      <c r="D11" s="61">
        <v>529</v>
      </c>
      <c r="E11" s="61">
        <v>351</v>
      </c>
    </row>
    <row r="12" spans="1:6" ht="17" x14ac:dyDescent="0.2">
      <c r="A12" s="60" t="s">
        <v>79</v>
      </c>
      <c r="B12" s="61">
        <v>338</v>
      </c>
      <c r="C12" s="61">
        <v>0</v>
      </c>
      <c r="D12" s="61">
        <v>214</v>
      </c>
      <c r="E12" s="61">
        <v>79</v>
      </c>
    </row>
    <row r="13" spans="1:6" ht="17" x14ac:dyDescent="0.2">
      <c r="A13" s="60" t="s">
        <v>80</v>
      </c>
      <c r="B13" s="61">
        <v>222</v>
      </c>
      <c r="C13" s="61">
        <v>0</v>
      </c>
      <c r="D13" s="61">
        <v>103</v>
      </c>
      <c r="E13" s="61">
        <v>96</v>
      </c>
    </row>
    <row r="14" spans="1:6" ht="17" x14ac:dyDescent="0.2">
      <c r="A14" s="60" t="s">
        <v>81</v>
      </c>
      <c r="B14" s="61">
        <v>15</v>
      </c>
      <c r="C14" s="61">
        <v>0</v>
      </c>
      <c r="D14" s="61">
        <v>47</v>
      </c>
      <c r="E14" s="61">
        <v>32</v>
      </c>
    </row>
    <row r="15" spans="1:6" ht="17" x14ac:dyDescent="0.2">
      <c r="A15" s="60" t="s">
        <v>82</v>
      </c>
      <c r="B15" s="61">
        <v>152</v>
      </c>
      <c r="C15" s="61">
        <v>0</v>
      </c>
      <c r="D15" s="61">
        <v>126</v>
      </c>
      <c r="E15" s="61">
        <v>61</v>
      </c>
    </row>
    <row r="16" spans="1:6" ht="17" x14ac:dyDescent="0.2">
      <c r="A16" s="60" t="s">
        <v>83</v>
      </c>
      <c r="B16" s="61">
        <v>246</v>
      </c>
      <c r="C16" s="61">
        <v>0</v>
      </c>
      <c r="D16" s="61">
        <v>105</v>
      </c>
      <c r="E16" s="61">
        <v>55</v>
      </c>
    </row>
    <row r="17" spans="1:6" ht="17" x14ac:dyDescent="0.2">
      <c r="A17" s="63" t="s">
        <v>84</v>
      </c>
      <c r="B17" s="69">
        <f>SUM(B4:B16)</f>
        <v>5106</v>
      </c>
      <c r="C17" s="69">
        <f t="shared" ref="C17:E17" si="0">SUM(C4:C16)</f>
        <v>5012</v>
      </c>
      <c r="D17" s="69">
        <f t="shared" si="0"/>
        <v>3952</v>
      </c>
      <c r="E17" s="69">
        <f t="shared" si="0"/>
        <v>3099</v>
      </c>
    </row>
    <row r="19" spans="1:6" x14ac:dyDescent="0.2">
      <c r="A19" s="257" t="s">
        <v>55</v>
      </c>
      <c r="B19" s="257"/>
      <c r="C19" s="257"/>
      <c r="D19" s="257"/>
      <c r="E19" s="257"/>
      <c r="F19" s="257"/>
    </row>
  </sheetData>
  <mergeCells count="1">
    <mergeCell ref="A19:F19"/>
  </mergeCells>
  <pageMargins left="0.7" right="0.7" top="0.75" bottom="0.75"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D8"/>
  <sheetViews>
    <sheetView showGridLines="0" workbookViewId="0">
      <selection activeCell="C12" sqref="C12:C24"/>
    </sheetView>
  </sheetViews>
  <sheetFormatPr baseColWidth="10" defaultColWidth="9.6640625" defaultRowHeight="15" x14ac:dyDescent="0.2"/>
  <cols>
    <col min="1" max="1" width="12.5" style="2" bestFit="1" customWidth="1"/>
    <col min="2" max="2" width="23" style="2" bestFit="1" customWidth="1"/>
    <col min="3" max="3" width="28.1640625" style="2" bestFit="1" customWidth="1"/>
    <col min="4" max="4" width="33.1640625" style="2" bestFit="1" customWidth="1"/>
    <col min="5" max="16384" width="9.6640625" style="2"/>
  </cols>
  <sheetData>
    <row r="1" spans="1:4" ht="16" x14ac:dyDescent="0.2">
      <c r="A1" s="1" t="s">
        <v>162</v>
      </c>
      <c r="B1" s="1"/>
      <c r="C1" s="1"/>
      <c r="D1" s="1"/>
    </row>
    <row r="2" spans="1:4" ht="16" x14ac:dyDescent="0.2">
      <c r="A2" s="1"/>
      <c r="B2" s="1"/>
      <c r="C2" s="1"/>
      <c r="D2" s="1"/>
    </row>
    <row r="3" spans="1:4" x14ac:dyDescent="0.2">
      <c r="A3" s="13" t="s">
        <v>163</v>
      </c>
      <c r="B3" s="13" t="s">
        <v>164</v>
      </c>
      <c r="C3" s="13" t="s">
        <v>165</v>
      </c>
      <c r="D3" s="13" t="s">
        <v>166</v>
      </c>
    </row>
    <row r="4" spans="1:4" x14ac:dyDescent="0.2">
      <c r="A4" s="2" t="s">
        <v>73</v>
      </c>
      <c r="B4" s="17">
        <v>12605</v>
      </c>
      <c r="C4" s="17">
        <v>7923</v>
      </c>
      <c r="D4" s="17">
        <v>8919</v>
      </c>
    </row>
    <row r="5" spans="1:4" x14ac:dyDescent="0.2">
      <c r="A5" s="2" t="s">
        <v>75</v>
      </c>
      <c r="B5" s="17">
        <v>3998</v>
      </c>
      <c r="C5" s="17">
        <v>2109</v>
      </c>
      <c r="D5" s="17">
        <v>4051</v>
      </c>
    </row>
    <row r="6" spans="1:4" ht="16" x14ac:dyDescent="0.2">
      <c r="A6" s="70" t="s">
        <v>84</v>
      </c>
      <c r="B6" s="71">
        <f>SUM(B4:B5)</f>
        <v>16603</v>
      </c>
      <c r="C6" s="71">
        <f t="shared" ref="C6:D6" si="0">SUM(C4:C5)</f>
        <v>10032</v>
      </c>
      <c r="D6" s="71">
        <f t="shared" si="0"/>
        <v>12970</v>
      </c>
    </row>
    <row r="8" spans="1:4" x14ac:dyDescent="0.2">
      <c r="A8" s="8" t="s">
        <v>55</v>
      </c>
      <c r="B8" s="8"/>
      <c r="C8" s="8"/>
      <c r="D8" s="8"/>
    </row>
  </sheetData>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sheetPr>
  <dimension ref="A1:G26"/>
  <sheetViews>
    <sheetView showGridLines="0" zoomScale="60" zoomScaleNormal="60" workbookViewId="0">
      <selection activeCell="L39" sqref="L39"/>
    </sheetView>
  </sheetViews>
  <sheetFormatPr baseColWidth="10" defaultColWidth="8.83203125" defaultRowHeight="15" x14ac:dyDescent="0.2"/>
  <cols>
    <col min="1" max="1" width="50.5" style="2" bestFit="1" customWidth="1"/>
    <col min="2" max="2" width="56.5" style="2" bestFit="1" customWidth="1"/>
    <col min="3" max="3" width="10.5" style="2" bestFit="1" customWidth="1"/>
    <col min="4" max="4" width="35.5" style="2" bestFit="1" customWidth="1"/>
    <col min="5" max="5" width="36.5" style="2" bestFit="1" customWidth="1"/>
    <col min="6" max="6" width="35.5" style="2" bestFit="1" customWidth="1"/>
    <col min="7" max="7" width="7" style="2" bestFit="1" customWidth="1"/>
    <col min="8" max="16384" width="8.83203125" style="2"/>
  </cols>
  <sheetData>
    <row r="1" spans="1:7" ht="16" x14ac:dyDescent="0.2">
      <c r="A1" s="1" t="s">
        <v>54</v>
      </c>
      <c r="B1" s="1"/>
      <c r="C1" s="1"/>
      <c r="D1" s="1"/>
      <c r="E1" s="1"/>
      <c r="F1" s="1"/>
      <c r="G1" s="1"/>
    </row>
    <row r="2" spans="1:7" ht="16" x14ac:dyDescent="0.2">
      <c r="A2" s="1"/>
      <c r="B2" s="1"/>
      <c r="C2" s="1"/>
      <c r="D2" s="1"/>
      <c r="E2" s="1"/>
      <c r="F2" s="1"/>
      <c r="G2" s="1"/>
    </row>
    <row r="3" spans="1:7" ht="16" x14ac:dyDescent="0.2">
      <c r="A3" s="254" t="s">
        <v>27</v>
      </c>
      <c r="B3" s="254" t="s">
        <v>28</v>
      </c>
      <c r="C3" s="254" t="s">
        <v>29</v>
      </c>
      <c r="D3" s="263" t="s">
        <v>30</v>
      </c>
      <c r="E3" s="263"/>
      <c r="F3" s="263"/>
      <c r="G3" s="1"/>
    </row>
    <row r="4" spans="1:7" x14ac:dyDescent="0.2">
      <c r="A4" s="255"/>
      <c r="B4" s="255"/>
      <c r="C4" s="255"/>
      <c r="D4" s="13" t="s">
        <v>31</v>
      </c>
      <c r="E4" s="13" t="s">
        <v>32</v>
      </c>
      <c r="F4" s="14" t="s">
        <v>33</v>
      </c>
    </row>
    <row r="5" spans="1:7" x14ac:dyDescent="0.2">
      <c r="A5" s="262" t="s">
        <v>34</v>
      </c>
      <c r="B5" s="262"/>
      <c r="C5" s="262"/>
      <c r="D5" s="262"/>
      <c r="E5" s="262"/>
      <c r="F5" s="262"/>
    </row>
    <row r="6" spans="1:7" ht="16" x14ac:dyDescent="0.2">
      <c r="A6" s="15" t="s">
        <v>35</v>
      </c>
      <c r="B6" s="16"/>
      <c r="C6" s="21">
        <f>SUM(C7:C8)</f>
        <v>3940</v>
      </c>
      <c r="D6" s="21">
        <f t="shared" ref="D6:F6" si="0">SUM(D7:D8)</f>
        <v>930</v>
      </c>
      <c r="E6" s="21">
        <f t="shared" si="0"/>
        <v>1546</v>
      </c>
      <c r="F6" s="21">
        <f t="shared" si="0"/>
        <v>2476</v>
      </c>
    </row>
    <row r="7" spans="1:7" x14ac:dyDescent="0.2">
      <c r="B7" s="2" t="s">
        <v>36</v>
      </c>
      <c r="C7" s="17">
        <v>3314</v>
      </c>
      <c r="D7" s="17">
        <v>650</v>
      </c>
      <c r="E7" s="17">
        <v>1200</v>
      </c>
      <c r="F7" s="18">
        <f>SUM(D7:E7)</f>
        <v>1850</v>
      </c>
    </row>
    <row r="8" spans="1:7" x14ac:dyDescent="0.2">
      <c r="B8" s="2" t="s">
        <v>37</v>
      </c>
      <c r="C8" s="17">
        <v>626</v>
      </c>
      <c r="D8" s="17">
        <v>280</v>
      </c>
      <c r="E8" s="17">
        <v>346</v>
      </c>
      <c r="F8" s="18">
        <f t="shared" ref="F8:F17" si="1">SUM(D8:E8)</f>
        <v>626</v>
      </c>
    </row>
    <row r="9" spans="1:7" ht="16" x14ac:dyDescent="0.2">
      <c r="A9" s="15" t="s">
        <v>38</v>
      </c>
      <c r="C9" s="21">
        <f>SUM(C10:C17)</f>
        <v>12398</v>
      </c>
      <c r="D9" s="21">
        <f t="shared" ref="D9:F9" si="2">SUM(D10:D17)</f>
        <v>2544</v>
      </c>
      <c r="E9" s="21">
        <f t="shared" si="2"/>
        <v>4135</v>
      </c>
      <c r="F9" s="21">
        <f t="shared" si="2"/>
        <v>6679</v>
      </c>
    </row>
    <row r="10" spans="1:7" x14ac:dyDescent="0.2">
      <c r="B10" s="2" t="s">
        <v>39</v>
      </c>
      <c r="C10" s="17">
        <v>709</v>
      </c>
      <c r="D10" s="17">
        <v>300</v>
      </c>
      <c r="E10" s="17">
        <v>409</v>
      </c>
      <c r="F10" s="18">
        <f t="shared" si="1"/>
        <v>709</v>
      </c>
    </row>
    <row r="11" spans="1:7" x14ac:dyDescent="0.2">
      <c r="B11" s="2" t="s">
        <v>40</v>
      </c>
      <c r="C11" s="17">
        <v>2983</v>
      </c>
      <c r="D11" s="17">
        <v>650</v>
      </c>
      <c r="E11" s="17">
        <v>1200</v>
      </c>
      <c r="F11" s="18">
        <f t="shared" si="1"/>
        <v>1850</v>
      </c>
    </row>
    <row r="12" spans="1:7" x14ac:dyDescent="0.2">
      <c r="B12" s="2" t="s">
        <v>41</v>
      </c>
      <c r="C12" s="17">
        <v>1306</v>
      </c>
      <c r="D12" s="17">
        <v>300</v>
      </c>
      <c r="E12" s="17">
        <v>485</v>
      </c>
      <c r="F12" s="18">
        <f t="shared" si="1"/>
        <v>785</v>
      </c>
    </row>
    <row r="13" spans="1:7" x14ac:dyDescent="0.2">
      <c r="B13" s="2" t="s">
        <v>42</v>
      </c>
      <c r="C13" s="17">
        <v>1410</v>
      </c>
      <c r="D13" s="17">
        <v>300</v>
      </c>
      <c r="E13" s="17">
        <v>485</v>
      </c>
      <c r="F13" s="18">
        <f t="shared" si="1"/>
        <v>785</v>
      </c>
    </row>
    <row r="14" spans="1:7" x14ac:dyDescent="0.2">
      <c r="B14" s="2" t="s">
        <v>43</v>
      </c>
      <c r="C14" s="17">
        <v>1355</v>
      </c>
      <c r="D14" s="17">
        <v>300</v>
      </c>
      <c r="E14" s="17">
        <v>485</v>
      </c>
      <c r="F14" s="18">
        <f t="shared" si="1"/>
        <v>785</v>
      </c>
    </row>
    <row r="15" spans="1:7" x14ac:dyDescent="0.2">
      <c r="B15" s="2" t="s">
        <v>44</v>
      </c>
      <c r="C15" s="17">
        <v>315</v>
      </c>
      <c r="D15" s="17">
        <v>300</v>
      </c>
      <c r="E15" s="17">
        <v>485</v>
      </c>
      <c r="F15" s="18">
        <f t="shared" si="1"/>
        <v>785</v>
      </c>
    </row>
    <row r="16" spans="1:7" x14ac:dyDescent="0.2">
      <c r="B16" s="2" t="s">
        <v>45</v>
      </c>
      <c r="C16" s="17">
        <v>4125</v>
      </c>
      <c r="D16" s="17">
        <v>300</v>
      </c>
      <c r="E16" s="17">
        <v>485</v>
      </c>
      <c r="F16" s="18">
        <f t="shared" si="1"/>
        <v>785</v>
      </c>
    </row>
    <row r="17" spans="1:6" x14ac:dyDescent="0.2">
      <c r="B17" s="2" t="s">
        <v>46</v>
      </c>
      <c r="C17" s="17">
        <v>195</v>
      </c>
      <c r="D17" s="17">
        <v>94</v>
      </c>
      <c r="E17" s="17">
        <v>101</v>
      </c>
      <c r="F17" s="18">
        <f t="shared" si="1"/>
        <v>195</v>
      </c>
    </row>
    <row r="18" spans="1:6" x14ac:dyDescent="0.2">
      <c r="A18" s="262" t="s">
        <v>47</v>
      </c>
      <c r="B18" s="262"/>
      <c r="C18" s="262"/>
      <c r="D18" s="262"/>
      <c r="E18" s="262"/>
      <c r="F18" s="262"/>
    </row>
    <row r="19" spans="1:6" ht="16" x14ac:dyDescent="0.2">
      <c r="A19" s="19" t="s">
        <v>48</v>
      </c>
      <c r="C19" s="21">
        <f>SUM(C20:C22)</f>
        <v>994</v>
      </c>
      <c r="D19" s="21">
        <f t="shared" ref="D19:F19" si="3">SUM(D20:D22)</f>
        <v>13129</v>
      </c>
      <c r="E19" s="21">
        <f t="shared" si="3"/>
        <v>12354</v>
      </c>
      <c r="F19" s="21">
        <f t="shared" si="3"/>
        <v>25483</v>
      </c>
    </row>
    <row r="20" spans="1:6" x14ac:dyDescent="0.2">
      <c r="B20" s="2" t="s">
        <v>49</v>
      </c>
      <c r="C20" s="17">
        <v>23</v>
      </c>
      <c r="D20" s="17">
        <v>268</v>
      </c>
      <c r="E20" s="17">
        <v>131</v>
      </c>
      <c r="F20" s="18">
        <f>SUM(D20:E20)</f>
        <v>399</v>
      </c>
    </row>
    <row r="21" spans="1:6" x14ac:dyDescent="0.2">
      <c r="B21" s="2" t="s">
        <v>50</v>
      </c>
      <c r="C21" s="17">
        <v>488</v>
      </c>
      <c r="D21" s="17">
        <v>5917</v>
      </c>
      <c r="E21" s="17">
        <v>6050</v>
      </c>
      <c r="F21" s="18">
        <f t="shared" ref="F21:F22" si="4">SUM(D21:E21)</f>
        <v>11967</v>
      </c>
    </row>
    <row r="22" spans="1:6" x14ac:dyDescent="0.2">
      <c r="B22" s="2" t="s">
        <v>51</v>
      </c>
      <c r="C22" s="17">
        <v>483</v>
      </c>
      <c r="D22" s="17">
        <v>6944</v>
      </c>
      <c r="E22" s="17">
        <v>6173</v>
      </c>
      <c r="F22" s="18">
        <f t="shared" si="4"/>
        <v>13117</v>
      </c>
    </row>
    <row r="23" spans="1:6" ht="16" x14ac:dyDescent="0.2">
      <c r="A23" s="19" t="s">
        <v>52</v>
      </c>
      <c r="C23" s="21">
        <f>SUM(C24)</f>
        <v>107</v>
      </c>
      <c r="D23" s="21">
        <f t="shared" ref="D23:F23" si="5">SUM(D24)</f>
        <v>1385</v>
      </c>
      <c r="E23" s="21">
        <f t="shared" si="5"/>
        <v>740</v>
      </c>
      <c r="F23" s="21">
        <f t="shared" si="5"/>
        <v>2125</v>
      </c>
    </row>
    <row r="24" spans="1:6" x14ac:dyDescent="0.2">
      <c r="B24" s="2" t="s">
        <v>53</v>
      </c>
      <c r="C24" s="17">
        <v>107</v>
      </c>
      <c r="D24" s="17">
        <v>1385</v>
      </c>
      <c r="E24" s="17">
        <v>740</v>
      </c>
      <c r="F24" s="18">
        <f>SUM(D24:E24)</f>
        <v>2125</v>
      </c>
    </row>
    <row r="25" spans="1:6" x14ac:dyDescent="0.2">
      <c r="A25" s="20"/>
      <c r="B25" s="20"/>
      <c r="C25" s="20"/>
      <c r="D25" s="7"/>
      <c r="E25" s="7"/>
      <c r="F25" s="7"/>
    </row>
    <row r="26" spans="1:6" x14ac:dyDescent="0.2">
      <c r="A26" s="2" t="s">
        <v>55</v>
      </c>
    </row>
  </sheetData>
  <mergeCells count="6">
    <mergeCell ref="A18:F18"/>
    <mergeCell ref="A3:A4"/>
    <mergeCell ref="B3:B4"/>
    <mergeCell ref="C3:C4"/>
    <mergeCell ref="D3:F3"/>
    <mergeCell ref="A5:F5"/>
  </mergeCells>
  <pageMargins left="0.7" right="0.7" top="0.75" bottom="0.75" header="0.3" footer="0.3"/>
  <pageSetup orientation="portrait"/>
  <ignoredErrors>
    <ignoredError sqref="F7 F20:F22 F8 F12:F17 F10:F11" formulaRange="1"/>
    <ignoredError sqref="F23" formula="1"/>
    <ignoredError sqref="F24" formula="1" formulaRange="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E22"/>
  <sheetViews>
    <sheetView showGridLines="0" zoomScale="84" workbookViewId="0">
      <selection activeCell="B15" sqref="B15"/>
    </sheetView>
  </sheetViews>
  <sheetFormatPr baseColWidth="10" defaultColWidth="9.6640625" defaultRowHeight="15" x14ac:dyDescent="0.2"/>
  <cols>
    <col min="1" max="1" width="15.1640625" style="2" bestFit="1" customWidth="1"/>
    <col min="2" max="2" width="21.83203125" style="2" bestFit="1" customWidth="1"/>
    <col min="3" max="3" width="26.83203125" style="2" bestFit="1" customWidth="1"/>
    <col min="4" max="4" width="28.1640625" style="2" bestFit="1" customWidth="1"/>
    <col min="5" max="5" width="19.1640625" style="2" bestFit="1" customWidth="1"/>
    <col min="6" max="16384" width="9.6640625" style="2"/>
  </cols>
  <sheetData>
    <row r="1" spans="1:5" ht="16" x14ac:dyDescent="0.2">
      <c r="A1" s="1" t="s">
        <v>177</v>
      </c>
      <c r="B1" s="1"/>
      <c r="C1" s="1"/>
      <c r="D1" s="1"/>
      <c r="E1" s="1"/>
    </row>
    <row r="2" spans="1:5" ht="16" x14ac:dyDescent="0.2">
      <c r="A2" s="1"/>
      <c r="B2" s="1"/>
      <c r="C2" s="1"/>
      <c r="D2" s="1"/>
      <c r="E2" s="1"/>
    </row>
    <row r="3" spans="1:5" x14ac:dyDescent="0.2">
      <c r="A3" s="13" t="s">
        <v>64</v>
      </c>
      <c r="B3" s="13" t="s">
        <v>178</v>
      </c>
      <c r="C3" s="13" t="s">
        <v>179</v>
      </c>
      <c r="D3" s="13" t="s">
        <v>180</v>
      </c>
      <c r="E3" s="13" t="s">
        <v>181</v>
      </c>
    </row>
    <row r="4" spans="1:5" ht="16" x14ac:dyDescent="0.2">
      <c r="A4" s="79" t="s">
        <v>71</v>
      </c>
      <c r="B4" s="17">
        <v>10765</v>
      </c>
      <c r="C4" s="17">
        <v>41679</v>
      </c>
      <c r="D4" s="17">
        <v>2951</v>
      </c>
      <c r="E4" s="17">
        <v>92</v>
      </c>
    </row>
    <row r="5" spans="1:5" ht="16" x14ac:dyDescent="0.2">
      <c r="A5" s="79" t="s">
        <v>72</v>
      </c>
      <c r="B5" s="17">
        <v>22087</v>
      </c>
      <c r="C5" s="17">
        <v>64066</v>
      </c>
      <c r="D5" s="17">
        <v>644</v>
      </c>
      <c r="E5" s="2">
        <v>120</v>
      </c>
    </row>
    <row r="6" spans="1:5" ht="16" x14ac:dyDescent="0.2">
      <c r="A6" s="79" t="s">
        <v>73</v>
      </c>
      <c r="B6" s="17">
        <v>64752</v>
      </c>
      <c r="C6" s="17">
        <v>123885</v>
      </c>
      <c r="D6" s="17">
        <v>26725</v>
      </c>
      <c r="E6" s="17">
        <v>2040</v>
      </c>
    </row>
    <row r="7" spans="1:5" ht="16" x14ac:dyDescent="0.2">
      <c r="A7" s="79" t="s">
        <v>74</v>
      </c>
      <c r="B7" s="17">
        <v>9182</v>
      </c>
      <c r="C7" s="17">
        <v>21500</v>
      </c>
      <c r="D7" s="17">
        <v>2884</v>
      </c>
      <c r="E7" s="17">
        <v>162</v>
      </c>
    </row>
    <row r="8" spans="1:5" ht="16" x14ac:dyDescent="0.2">
      <c r="A8" s="79" t="s">
        <v>75</v>
      </c>
      <c r="B8" s="17">
        <v>14756</v>
      </c>
      <c r="C8" s="17">
        <v>45556</v>
      </c>
      <c r="D8" s="17">
        <v>29728</v>
      </c>
      <c r="E8" s="17">
        <v>2775</v>
      </c>
    </row>
    <row r="9" spans="1:5" ht="16" x14ac:dyDescent="0.2">
      <c r="A9" s="79" t="s">
        <v>76</v>
      </c>
      <c r="B9" s="17">
        <v>23285</v>
      </c>
      <c r="C9" s="17">
        <v>41749</v>
      </c>
      <c r="D9" s="17">
        <v>4165</v>
      </c>
      <c r="E9" s="2">
        <v>80</v>
      </c>
    </row>
    <row r="10" spans="1:5" ht="16" x14ac:dyDescent="0.2">
      <c r="A10" s="79" t="s">
        <v>77</v>
      </c>
      <c r="B10" s="17">
        <v>3870</v>
      </c>
      <c r="C10" s="17">
        <v>10157</v>
      </c>
      <c r="D10" s="2">
        <v>266</v>
      </c>
      <c r="E10" s="2">
        <v>0</v>
      </c>
    </row>
    <row r="11" spans="1:5" ht="16" x14ac:dyDescent="0.2">
      <c r="A11" s="79" t="s">
        <v>78</v>
      </c>
      <c r="B11" s="17">
        <v>15560</v>
      </c>
      <c r="C11" s="17">
        <v>43248</v>
      </c>
      <c r="D11" s="17">
        <v>4278</v>
      </c>
      <c r="E11" s="17">
        <v>401</v>
      </c>
    </row>
    <row r="12" spans="1:5" ht="16" x14ac:dyDescent="0.2">
      <c r="A12" s="79" t="s">
        <v>79</v>
      </c>
      <c r="B12" s="17">
        <v>7736</v>
      </c>
      <c r="C12" s="17">
        <v>24613</v>
      </c>
      <c r="D12" s="2">
        <v>651</v>
      </c>
      <c r="E12" s="2">
        <v>40</v>
      </c>
    </row>
    <row r="13" spans="1:5" ht="16" x14ac:dyDescent="0.2">
      <c r="A13" s="79" t="s">
        <v>80</v>
      </c>
      <c r="B13" s="17">
        <v>25196</v>
      </c>
      <c r="C13" s="17">
        <v>197647</v>
      </c>
      <c r="D13" s="17">
        <v>1169</v>
      </c>
      <c r="E13" s="2">
        <v>171</v>
      </c>
    </row>
    <row r="14" spans="1:5" ht="16" x14ac:dyDescent="0.2">
      <c r="A14" s="79" t="s">
        <v>81</v>
      </c>
      <c r="B14" s="17">
        <v>1531</v>
      </c>
      <c r="C14" s="17">
        <v>767</v>
      </c>
      <c r="D14" s="2">
        <v>1969</v>
      </c>
      <c r="E14" s="2">
        <v>6</v>
      </c>
    </row>
    <row r="15" spans="1:5" ht="16" x14ac:dyDescent="0.2">
      <c r="A15" s="79" t="s">
        <v>82</v>
      </c>
      <c r="B15" s="17">
        <v>9524</v>
      </c>
      <c r="C15" s="17">
        <v>18326</v>
      </c>
      <c r="D15" s="2">
        <v>721</v>
      </c>
      <c r="E15" s="2">
        <v>5</v>
      </c>
    </row>
    <row r="16" spans="1:5" ht="16" x14ac:dyDescent="0.2">
      <c r="A16" s="79" t="s">
        <v>83</v>
      </c>
      <c r="B16" s="17">
        <v>13371</v>
      </c>
      <c r="C16" s="17">
        <v>47026</v>
      </c>
      <c r="D16" s="2">
        <v>674</v>
      </c>
      <c r="E16" s="2">
        <v>35</v>
      </c>
    </row>
    <row r="17" spans="1:5" ht="16" x14ac:dyDescent="0.2">
      <c r="A17" s="70" t="s">
        <v>84</v>
      </c>
      <c r="B17" s="71">
        <f>SUM(B4:B16)</f>
        <v>221615</v>
      </c>
      <c r="C17" s="71">
        <f t="shared" ref="C17:E17" si="0">SUM(C4:C16)</f>
        <v>680219</v>
      </c>
      <c r="D17" s="71">
        <f t="shared" si="0"/>
        <v>76825</v>
      </c>
      <c r="E17" s="71">
        <f t="shared" si="0"/>
        <v>5927</v>
      </c>
    </row>
    <row r="19" spans="1:5" x14ac:dyDescent="0.2">
      <c r="A19" s="80" t="s">
        <v>182</v>
      </c>
      <c r="B19" s="8"/>
      <c r="C19" s="8"/>
      <c r="D19" s="8"/>
      <c r="E19" s="8"/>
    </row>
    <row r="20" spans="1:5" x14ac:dyDescent="0.2">
      <c r="A20" s="8" t="s">
        <v>183</v>
      </c>
      <c r="B20" s="8"/>
      <c r="C20" s="8"/>
      <c r="D20" s="8"/>
      <c r="E20" s="8"/>
    </row>
    <row r="21" spans="1:5" x14ac:dyDescent="0.2">
      <c r="A21" s="257" t="s">
        <v>55</v>
      </c>
      <c r="B21" s="257"/>
      <c r="C21" s="257"/>
      <c r="D21" s="257"/>
      <c r="E21" s="257"/>
    </row>
    <row r="22" spans="1:5" x14ac:dyDescent="0.2">
      <c r="A22" s="264" t="s">
        <v>184</v>
      </c>
      <c r="B22" s="258"/>
      <c r="C22" s="258"/>
      <c r="D22" s="258"/>
      <c r="E22" s="258"/>
    </row>
  </sheetData>
  <mergeCells count="2">
    <mergeCell ref="A21:E21"/>
    <mergeCell ref="A22:E22"/>
  </mergeCells>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sheetPr>
  <dimension ref="A1:E19"/>
  <sheetViews>
    <sheetView showGridLines="0" topLeftCell="A2" zoomScale="92" zoomScaleNormal="100" workbookViewId="0">
      <selection activeCell="B15" sqref="B15"/>
    </sheetView>
  </sheetViews>
  <sheetFormatPr baseColWidth="10" defaultColWidth="9.6640625" defaultRowHeight="15" x14ac:dyDescent="0.2"/>
  <cols>
    <col min="1" max="1" width="15.1640625" style="2" bestFit="1" customWidth="1"/>
    <col min="2" max="2" width="18" style="2" bestFit="1" customWidth="1"/>
    <col min="3" max="3" width="28.1640625" style="2" bestFit="1" customWidth="1"/>
    <col min="4" max="4" width="36" style="2" bestFit="1" customWidth="1"/>
    <col min="5" max="5" width="19.1640625" style="2" bestFit="1" customWidth="1"/>
    <col min="6" max="16384" width="9.6640625" style="2"/>
  </cols>
  <sheetData>
    <row r="1" spans="1:5" ht="16" x14ac:dyDescent="0.2">
      <c r="A1" s="259" t="s">
        <v>185</v>
      </c>
      <c r="B1" s="259"/>
      <c r="C1" s="259"/>
      <c r="D1" s="259"/>
      <c r="E1" s="259"/>
    </row>
    <row r="2" spans="1:5" ht="16" x14ac:dyDescent="0.2">
      <c r="A2" s="1"/>
      <c r="B2" s="1"/>
      <c r="C2" s="1"/>
      <c r="D2" s="1"/>
      <c r="E2" s="1"/>
    </row>
    <row r="3" spans="1:5" ht="32" x14ac:dyDescent="0.2">
      <c r="A3" s="42" t="s">
        <v>64</v>
      </c>
      <c r="B3" s="27" t="s">
        <v>186</v>
      </c>
      <c r="C3" s="81" t="s">
        <v>187</v>
      </c>
      <c r="D3" s="27" t="s">
        <v>188</v>
      </c>
      <c r="E3" s="27" t="s">
        <v>189</v>
      </c>
    </row>
    <row r="4" spans="1:5" ht="16" x14ac:dyDescent="0.2">
      <c r="A4" s="82" t="s">
        <v>190</v>
      </c>
      <c r="B4" s="83">
        <v>288</v>
      </c>
      <c r="C4" s="83">
        <v>371</v>
      </c>
      <c r="D4" s="83">
        <v>0</v>
      </c>
      <c r="E4" s="83">
        <v>0</v>
      </c>
    </row>
    <row r="5" spans="1:5" ht="16" x14ac:dyDescent="0.2">
      <c r="A5" s="82" t="s">
        <v>72</v>
      </c>
      <c r="B5" s="84">
        <v>11</v>
      </c>
      <c r="C5" s="84">
        <v>0</v>
      </c>
      <c r="D5" s="84">
        <v>0</v>
      </c>
      <c r="E5" s="84">
        <v>0</v>
      </c>
    </row>
    <row r="6" spans="1:5" ht="16" x14ac:dyDescent="0.2">
      <c r="A6" s="82" t="s">
        <v>191</v>
      </c>
      <c r="B6" s="84">
        <v>2602</v>
      </c>
      <c r="C6" s="84">
        <v>276</v>
      </c>
      <c r="D6" s="84">
        <v>0</v>
      </c>
      <c r="E6" s="84">
        <v>0</v>
      </c>
    </row>
    <row r="7" spans="1:5" ht="16" x14ac:dyDescent="0.2">
      <c r="A7" s="82" t="s">
        <v>74</v>
      </c>
      <c r="B7" s="84">
        <v>2117</v>
      </c>
      <c r="C7" s="84">
        <v>751</v>
      </c>
      <c r="D7" s="84">
        <v>318</v>
      </c>
      <c r="E7" s="84">
        <v>0</v>
      </c>
    </row>
    <row r="8" spans="1:5" ht="16" x14ac:dyDescent="0.2">
      <c r="A8" s="82" t="s">
        <v>75</v>
      </c>
      <c r="B8" s="84">
        <v>1089</v>
      </c>
      <c r="C8" s="84">
        <v>53</v>
      </c>
      <c r="D8" s="84">
        <v>20</v>
      </c>
      <c r="E8" s="84">
        <v>1305</v>
      </c>
    </row>
    <row r="9" spans="1:5" ht="16" x14ac:dyDescent="0.2">
      <c r="A9" s="66" t="s">
        <v>76</v>
      </c>
      <c r="B9" s="84">
        <v>820</v>
      </c>
      <c r="C9" s="84">
        <v>0</v>
      </c>
      <c r="D9" s="84">
        <v>0</v>
      </c>
      <c r="E9" s="84">
        <v>0</v>
      </c>
    </row>
    <row r="10" spans="1:5" ht="16" x14ac:dyDescent="0.2">
      <c r="A10" s="82" t="s">
        <v>192</v>
      </c>
      <c r="B10" s="84">
        <v>0</v>
      </c>
      <c r="C10" s="84">
        <v>0</v>
      </c>
      <c r="D10" s="84">
        <v>0</v>
      </c>
      <c r="E10" s="84">
        <v>0</v>
      </c>
    </row>
    <row r="11" spans="1:5" ht="16" x14ac:dyDescent="0.2">
      <c r="A11" s="66" t="s">
        <v>78</v>
      </c>
      <c r="B11" s="84">
        <v>776</v>
      </c>
      <c r="C11" s="84">
        <v>331</v>
      </c>
      <c r="D11" s="84">
        <v>0</v>
      </c>
      <c r="E11" s="84">
        <v>0</v>
      </c>
    </row>
    <row r="12" spans="1:5" ht="16" x14ac:dyDescent="0.2">
      <c r="A12" s="66" t="s">
        <v>79</v>
      </c>
      <c r="B12" s="84">
        <v>40</v>
      </c>
      <c r="C12" s="84">
        <v>20</v>
      </c>
      <c r="D12" s="84">
        <v>0</v>
      </c>
      <c r="E12" s="84">
        <v>0</v>
      </c>
    </row>
    <row r="13" spans="1:5" ht="16" x14ac:dyDescent="0.2">
      <c r="A13" s="85" t="s">
        <v>80</v>
      </c>
      <c r="B13" s="84">
        <v>323</v>
      </c>
      <c r="C13" s="84">
        <v>0</v>
      </c>
      <c r="D13" s="84">
        <v>0</v>
      </c>
      <c r="E13" s="84">
        <v>0</v>
      </c>
    </row>
    <row r="14" spans="1:5" ht="16" x14ac:dyDescent="0.2">
      <c r="A14" s="66" t="s">
        <v>81</v>
      </c>
      <c r="B14" s="84">
        <v>17</v>
      </c>
      <c r="C14" s="84">
        <v>0</v>
      </c>
      <c r="D14" s="84">
        <v>0</v>
      </c>
      <c r="E14" s="84">
        <v>0</v>
      </c>
    </row>
    <row r="15" spans="1:5" ht="16" x14ac:dyDescent="0.2">
      <c r="A15" s="66" t="s">
        <v>82</v>
      </c>
      <c r="B15" s="84">
        <v>0</v>
      </c>
      <c r="C15" s="84">
        <v>0</v>
      </c>
      <c r="D15" s="84">
        <v>0</v>
      </c>
      <c r="E15" s="84">
        <v>0</v>
      </c>
    </row>
    <row r="16" spans="1:5" ht="16" x14ac:dyDescent="0.2">
      <c r="A16" s="66" t="s">
        <v>83</v>
      </c>
      <c r="B16" s="86">
        <v>158</v>
      </c>
      <c r="C16" s="86">
        <v>3</v>
      </c>
      <c r="D16" s="86">
        <v>0</v>
      </c>
      <c r="E16" s="86">
        <v>0</v>
      </c>
    </row>
    <row r="17" spans="1:5" x14ac:dyDescent="0.2">
      <c r="A17" s="87" t="s">
        <v>84</v>
      </c>
      <c r="B17" s="88">
        <f>SUM(B4:B16)</f>
        <v>8241</v>
      </c>
      <c r="C17" s="88">
        <f t="shared" ref="C17:E17" si="0">SUM(C4:C16)</f>
        <v>1805</v>
      </c>
      <c r="D17" s="88">
        <f t="shared" si="0"/>
        <v>338</v>
      </c>
      <c r="E17" s="88">
        <f t="shared" si="0"/>
        <v>1305</v>
      </c>
    </row>
    <row r="19" spans="1:5" x14ac:dyDescent="0.2">
      <c r="A19" s="257" t="s">
        <v>55</v>
      </c>
      <c r="B19" s="257"/>
      <c r="C19" s="257"/>
      <c r="D19" s="257"/>
      <c r="E19" s="257"/>
    </row>
  </sheetData>
  <mergeCells count="2">
    <mergeCell ref="A1:E1"/>
    <mergeCell ref="A19:E19"/>
  </mergeCell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C000"/>
  </sheetPr>
  <dimension ref="A1:D24"/>
  <sheetViews>
    <sheetView showGridLines="0" zoomScale="80" zoomScaleNormal="80" workbookViewId="0">
      <selection activeCell="G13" sqref="G13"/>
    </sheetView>
  </sheetViews>
  <sheetFormatPr baseColWidth="10" defaultColWidth="9.6640625" defaultRowHeight="15" x14ac:dyDescent="0.2"/>
  <cols>
    <col min="1" max="1" width="15.1640625" style="2" bestFit="1" customWidth="1"/>
    <col min="2" max="2" width="28.1640625" style="2" bestFit="1" customWidth="1"/>
    <col min="3" max="3" width="33.1640625" style="2" bestFit="1" customWidth="1"/>
    <col min="4" max="4" width="37.1640625" style="2" bestFit="1" customWidth="1"/>
    <col min="5" max="16384" width="9.6640625" style="2"/>
  </cols>
  <sheetData>
    <row r="1" spans="1:4" ht="16" x14ac:dyDescent="0.2">
      <c r="A1" s="1" t="s">
        <v>193</v>
      </c>
      <c r="B1" s="1"/>
      <c r="C1" s="1"/>
      <c r="D1" s="1"/>
    </row>
    <row r="2" spans="1:4" ht="16" x14ac:dyDescent="0.2">
      <c r="A2" s="1"/>
      <c r="B2" s="1"/>
      <c r="C2" s="1"/>
      <c r="D2" s="1"/>
    </row>
    <row r="3" spans="1:4" x14ac:dyDescent="0.2">
      <c r="A3" s="13" t="s">
        <v>64</v>
      </c>
      <c r="B3" s="13" t="s">
        <v>194</v>
      </c>
      <c r="C3" s="13" t="s">
        <v>195</v>
      </c>
      <c r="D3" s="13" t="s">
        <v>196</v>
      </c>
    </row>
    <row r="4" spans="1:4" ht="16" x14ac:dyDescent="0.2">
      <c r="A4" s="79" t="s">
        <v>71</v>
      </c>
      <c r="B4" s="17">
        <v>10200</v>
      </c>
      <c r="C4" s="2">
        <v>0</v>
      </c>
      <c r="D4" s="2">
        <v>41</v>
      </c>
    </row>
    <row r="5" spans="1:4" ht="16" x14ac:dyDescent="0.2">
      <c r="A5" s="79" t="s">
        <v>72</v>
      </c>
      <c r="B5" s="17">
        <v>2586</v>
      </c>
      <c r="C5" s="2">
        <v>0</v>
      </c>
      <c r="D5" s="2">
        <v>0</v>
      </c>
    </row>
    <row r="6" spans="1:4" ht="16" x14ac:dyDescent="0.2">
      <c r="A6" s="79" t="s">
        <v>73</v>
      </c>
      <c r="B6" s="17">
        <v>57075</v>
      </c>
      <c r="C6" s="17">
        <v>2964</v>
      </c>
      <c r="D6" s="2">
        <v>161</v>
      </c>
    </row>
    <row r="7" spans="1:4" ht="16" x14ac:dyDescent="0.2">
      <c r="A7" s="79" t="s">
        <v>74</v>
      </c>
      <c r="B7" s="17">
        <v>15482</v>
      </c>
      <c r="C7" s="2">
        <v>0</v>
      </c>
      <c r="D7" s="2">
        <v>5</v>
      </c>
    </row>
    <row r="8" spans="1:4" ht="16" x14ac:dyDescent="0.2">
      <c r="A8" s="79" t="s">
        <v>75</v>
      </c>
      <c r="B8" s="17">
        <v>28660</v>
      </c>
      <c r="C8" s="2">
        <v>778</v>
      </c>
      <c r="D8" s="2">
        <v>151</v>
      </c>
    </row>
    <row r="9" spans="1:4" ht="16" x14ac:dyDescent="0.2">
      <c r="A9" s="79" t="s">
        <v>76</v>
      </c>
      <c r="B9" s="17">
        <v>1772</v>
      </c>
      <c r="C9" s="2">
        <v>0</v>
      </c>
      <c r="D9" s="2">
        <v>0</v>
      </c>
    </row>
    <row r="10" spans="1:4" ht="16" x14ac:dyDescent="0.2">
      <c r="A10" s="79" t="s">
        <v>77</v>
      </c>
      <c r="B10" s="17">
        <v>1331</v>
      </c>
      <c r="C10" s="2">
        <v>0</v>
      </c>
      <c r="D10" s="2">
        <v>0</v>
      </c>
    </row>
    <row r="11" spans="1:4" ht="16" x14ac:dyDescent="0.2">
      <c r="A11" s="79" t="s">
        <v>78</v>
      </c>
      <c r="B11" s="17">
        <v>23626</v>
      </c>
      <c r="C11" s="2">
        <v>0</v>
      </c>
      <c r="D11" s="2">
        <v>55</v>
      </c>
    </row>
    <row r="12" spans="1:4" ht="16" x14ac:dyDescent="0.2">
      <c r="A12" s="79" t="s">
        <v>79</v>
      </c>
      <c r="B12" s="17">
        <v>646</v>
      </c>
      <c r="C12" s="2">
        <v>0</v>
      </c>
      <c r="D12" s="2">
        <v>37</v>
      </c>
    </row>
    <row r="13" spans="1:4" ht="16" x14ac:dyDescent="0.2">
      <c r="A13" s="79" t="s">
        <v>80</v>
      </c>
      <c r="B13" s="17">
        <v>224</v>
      </c>
      <c r="C13" s="2">
        <v>0</v>
      </c>
      <c r="D13" s="2">
        <v>0</v>
      </c>
    </row>
    <row r="14" spans="1:4" ht="16" x14ac:dyDescent="0.2">
      <c r="A14" s="79" t="s">
        <v>81</v>
      </c>
      <c r="B14" s="17">
        <v>500</v>
      </c>
      <c r="C14" s="2">
        <v>0</v>
      </c>
      <c r="D14" s="2">
        <v>6</v>
      </c>
    </row>
    <row r="15" spans="1:4" ht="16" x14ac:dyDescent="0.2">
      <c r="A15" s="79" t="s">
        <v>82</v>
      </c>
      <c r="B15" s="17">
        <v>1740</v>
      </c>
      <c r="C15" s="2">
        <v>0</v>
      </c>
      <c r="D15" s="2">
        <v>0</v>
      </c>
    </row>
    <row r="16" spans="1:4" ht="16" x14ac:dyDescent="0.2">
      <c r="A16" s="79" t="s">
        <v>83</v>
      </c>
      <c r="B16" s="17">
        <v>1453</v>
      </c>
      <c r="C16" s="2">
        <v>0</v>
      </c>
      <c r="D16" s="2">
        <v>10</v>
      </c>
    </row>
    <row r="17" spans="1:4" ht="16" x14ac:dyDescent="0.2">
      <c r="A17" s="70" t="s">
        <v>84</v>
      </c>
      <c r="B17" s="71">
        <f>SUM(B4:B16)</f>
        <v>145295</v>
      </c>
      <c r="C17" s="71">
        <f t="shared" ref="C17:D17" si="0">SUM(C4:C16)</f>
        <v>3742</v>
      </c>
      <c r="D17" s="71">
        <f t="shared" si="0"/>
        <v>466</v>
      </c>
    </row>
    <row r="18" spans="1:4" x14ac:dyDescent="0.2">
      <c r="B18" s="17"/>
    </row>
    <row r="19" spans="1:4" x14ac:dyDescent="0.2">
      <c r="A19" s="80" t="s">
        <v>197</v>
      </c>
      <c r="B19" s="17"/>
    </row>
    <row r="20" spans="1:4" x14ac:dyDescent="0.2">
      <c r="A20" s="257" t="s">
        <v>55</v>
      </c>
      <c r="B20" s="257"/>
      <c r="C20" s="257"/>
      <c r="D20" s="257"/>
    </row>
    <row r="21" spans="1:4" x14ac:dyDescent="0.2">
      <c r="A21" s="8"/>
      <c r="B21" s="8"/>
      <c r="C21" s="8"/>
      <c r="D21" s="8"/>
    </row>
    <row r="22" spans="1:4" x14ac:dyDescent="0.2">
      <c r="A22" s="265"/>
      <c r="B22" s="257"/>
      <c r="C22" s="257"/>
      <c r="D22" s="257"/>
    </row>
    <row r="23" spans="1:4" x14ac:dyDescent="0.2">
      <c r="B23" s="8"/>
      <c r="C23" s="8"/>
      <c r="D23" s="8"/>
    </row>
    <row r="24" spans="1:4" x14ac:dyDescent="0.2">
      <c r="A24" s="8"/>
      <c r="B24" s="8"/>
      <c r="C24" s="8"/>
      <c r="D24" s="8"/>
    </row>
  </sheetData>
  <mergeCells count="2">
    <mergeCell ref="A20:D20"/>
    <mergeCell ref="A22:D22"/>
  </mergeCell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C000"/>
  </sheetPr>
  <dimension ref="A1:B18"/>
  <sheetViews>
    <sheetView showGridLines="0" zoomScaleNormal="100" workbookViewId="0">
      <selection activeCell="B15" sqref="B15"/>
    </sheetView>
  </sheetViews>
  <sheetFormatPr baseColWidth="10" defaultColWidth="9.6640625" defaultRowHeight="15" x14ac:dyDescent="0.2"/>
  <cols>
    <col min="1" max="1" width="103.1640625" style="2" bestFit="1" customWidth="1"/>
    <col min="2" max="2" width="24.5" style="2" bestFit="1" customWidth="1"/>
    <col min="3" max="16384" width="9.6640625" style="2"/>
  </cols>
  <sheetData>
    <row r="1" spans="1:2" ht="16" x14ac:dyDescent="0.2">
      <c r="A1" s="259" t="s">
        <v>198</v>
      </c>
      <c r="B1" s="259"/>
    </row>
    <row r="2" spans="1:2" ht="16" x14ac:dyDescent="0.2">
      <c r="A2" s="1"/>
      <c r="B2" s="1"/>
    </row>
    <row r="3" spans="1:2" x14ac:dyDescent="0.2">
      <c r="A3" s="13" t="s">
        <v>29</v>
      </c>
      <c r="B3" s="13" t="s">
        <v>170</v>
      </c>
    </row>
    <row r="4" spans="1:2" x14ac:dyDescent="0.2">
      <c r="A4" s="2" t="s">
        <v>199</v>
      </c>
      <c r="B4" s="17">
        <v>36</v>
      </c>
    </row>
    <row r="5" spans="1:2" x14ac:dyDescent="0.2">
      <c r="A5" s="2" t="s">
        <v>200</v>
      </c>
      <c r="B5" s="17">
        <v>2429</v>
      </c>
    </row>
    <row r="6" spans="1:2" x14ac:dyDescent="0.2">
      <c r="A6" s="2" t="s">
        <v>201</v>
      </c>
      <c r="B6" s="17">
        <v>11813</v>
      </c>
    </row>
    <row r="7" spans="1:2" x14ac:dyDescent="0.2">
      <c r="A7" s="2" t="s">
        <v>202</v>
      </c>
      <c r="B7" s="17">
        <v>5941</v>
      </c>
    </row>
    <row r="8" spans="1:2" x14ac:dyDescent="0.2">
      <c r="A8" s="2" t="s">
        <v>203</v>
      </c>
      <c r="B8" s="17">
        <v>4917</v>
      </c>
    </row>
    <row r="9" spans="1:2" x14ac:dyDescent="0.2">
      <c r="A9" s="2" t="s">
        <v>204</v>
      </c>
      <c r="B9" s="17">
        <v>6439</v>
      </c>
    </row>
    <row r="10" spans="1:2" x14ac:dyDescent="0.2">
      <c r="A10" s="2" t="s">
        <v>205</v>
      </c>
      <c r="B10" s="17">
        <v>720</v>
      </c>
    </row>
    <row r="11" spans="1:2" x14ac:dyDescent="0.2">
      <c r="A11" s="2" t="s">
        <v>206</v>
      </c>
      <c r="B11" s="17">
        <v>5277</v>
      </c>
    </row>
    <row r="12" spans="1:2" x14ac:dyDescent="0.2">
      <c r="A12" s="2" t="s">
        <v>207</v>
      </c>
      <c r="B12" s="17">
        <v>342474</v>
      </c>
    </row>
    <row r="13" spans="1:2" x14ac:dyDescent="0.2">
      <c r="A13" s="2" t="s">
        <v>208</v>
      </c>
      <c r="B13" s="17">
        <v>20716</v>
      </c>
    </row>
    <row r="14" spans="1:2" x14ac:dyDescent="0.2">
      <c r="A14" s="2" t="s">
        <v>209</v>
      </c>
      <c r="B14" s="17">
        <v>3948</v>
      </c>
    </row>
    <row r="15" spans="1:2" x14ac:dyDescent="0.2">
      <c r="A15" s="2" t="s">
        <v>210</v>
      </c>
      <c r="B15" s="17">
        <v>10713</v>
      </c>
    </row>
    <row r="16" spans="1:2" ht="16" x14ac:dyDescent="0.2">
      <c r="A16" s="70" t="s">
        <v>33</v>
      </c>
      <c r="B16" s="71">
        <f>SUM(B4:B15)</f>
        <v>415423</v>
      </c>
    </row>
    <row r="18" spans="1:2" x14ac:dyDescent="0.2">
      <c r="A18" s="257" t="s">
        <v>55</v>
      </c>
      <c r="B18" s="257"/>
    </row>
  </sheetData>
  <mergeCells count="2">
    <mergeCell ref="A1:B1"/>
    <mergeCell ref="A18:B18"/>
  </mergeCells>
  <pageMargins left="0.7" right="0.7" top="0.75" bottom="0.75" header="0.3" footer="0.3"/>
  <pageSetup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C18"/>
  <sheetViews>
    <sheetView showGridLines="0" topLeftCell="A5" zoomScale="109" zoomScaleNormal="180" workbookViewId="0">
      <selection activeCell="B15" sqref="B15"/>
    </sheetView>
  </sheetViews>
  <sheetFormatPr baseColWidth="10" defaultColWidth="9.6640625" defaultRowHeight="15" x14ac:dyDescent="0.2"/>
  <cols>
    <col min="1" max="3" width="14" style="2" bestFit="1" customWidth="1"/>
    <col min="4" max="16384" width="9.6640625" style="2"/>
  </cols>
  <sheetData>
    <row r="1" spans="1:3" ht="16" x14ac:dyDescent="0.2">
      <c r="A1" s="1" t="s">
        <v>211</v>
      </c>
      <c r="B1" s="1"/>
      <c r="C1" s="1"/>
    </row>
    <row r="2" spans="1:3" ht="16" x14ac:dyDescent="0.2">
      <c r="A2" s="1"/>
      <c r="B2" s="1"/>
      <c r="C2" s="1"/>
    </row>
    <row r="3" spans="1:3" x14ac:dyDescent="0.2">
      <c r="A3" s="13" t="s">
        <v>212</v>
      </c>
      <c r="B3" s="13" t="s">
        <v>213</v>
      </c>
      <c r="C3" s="13" t="s">
        <v>142</v>
      </c>
    </row>
    <row r="4" spans="1:3" x14ac:dyDescent="0.2">
      <c r="A4" s="2" t="s">
        <v>214</v>
      </c>
      <c r="B4" s="17">
        <v>1129</v>
      </c>
      <c r="C4" s="2">
        <v>6.36</v>
      </c>
    </row>
    <row r="5" spans="1:3" x14ac:dyDescent="0.2">
      <c r="A5" s="2" t="s">
        <v>215</v>
      </c>
      <c r="B5" s="17">
        <v>1385</v>
      </c>
      <c r="C5" s="2">
        <v>7.8</v>
      </c>
    </row>
    <row r="6" spans="1:3" x14ac:dyDescent="0.2">
      <c r="A6" s="2" t="s">
        <v>216</v>
      </c>
      <c r="B6" s="2">
        <v>1526</v>
      </c>
      <c r="C6" s="2">
        <v>8.59</v>
      </c>
    </row>
    <row r="7" spans="1:3" x14ac:dyDescent="0.2">
      <c r="A7" s="2" t="s">
        <v>217</v>
      </c>
      <c r="B7" s="2">
        <v>1300</v>
      </c>
      <c r="C7" s="2">
        <v>7.32</v>
      </c>
    </row>
    <row r="8" spans="1:3" x14ac:dyDescent="0.2">
      <c r="A8" s="2" t="s">
        <v>218</v>
      </c>
      <c r="B8" s="2">
        <v>1613</v>
      </c>
      <c r="C8" s="2">
        <v>9.08</v>
      </c>
    </row>
    <row r="9" spans="1:3" x14ac:dyDescent="0.2">
      <c r="A9" s="2" t="s">
        <v>219</v>
      </c>
      <c r="B9" s="2">
        <v>1347</v>
      </c>
      <c r="C9" s="2">
        <v>7.58</v>
      </c>
    </row>
    <row r="10" spans="1:3" x14ac:dyDescent="0.2">
      <c r="A10" s="2" t="s">
        <v>220</v>
      </c>
      <c r="B10" s="2">
        <v>1502</v>
      </c>
      <c r="C10" s="2">
        <v>8.4600000000000009</v>
      </c>
    </row>
    <row r="11" spans="1:3" x14ac:dyDescent="0.2">
      <c r="A11" s="2" t="s">
        <v>221</v>
      </c>
      <c r="B11" s="2">
        <v>1633</v>
      </c>
      <c r="C11" s="2">
        <v>9.19</v>
      </c>
    </row>
    <row r="12" spans="1:3" x14ac:dyDescent="0.2">
      <c r="A12" s="2" t="s">
        <v>222</v>
      </c>
      <c r="B12" s="2">
        <v>1502</v>
      </c>
      <c r="C12" s="2">
        <v>8.4600000000000009</v>
      </c>
    </row>
    <row r="13" spans="1:3" x14ac:dyDescent="0.2">
      <c r="A13" s="2" t="s">
        <v>223</v>
      </c>
      <c r="B13" s="2">
        <v>1606</v>
      </c>
      <c r="C13" s="2">
        <v>9.0399999999999991</v>
      </c>
    </row>
    <row r="14" spans="1:3" x14ac:dyDescent="0.2">
      <c r="A14" s="2" t="s">
        <v>224</v>
      </c>
      <c r="B14" s="2">
        <v>1490</v>
      </c>
      <c r="C14" s="2">
        <v>8.39</v>
      </c>
    </row>
    <row r="15" spans="1:3" x14ac:dyDescent="0.2">
      <c r="A15" s="2" t="s">
        <v>225</v>
      </c>
      <c r="B15" s="2">
        <v>1728</v>
      </c>
      <c r="C15" s="2">
        <v>9.73</v>
      </c>
    </row>
    <row r="16" spans="1:3" ht="16" x14ac:dyDescent="0.2">
      <c r="A16" s="34" t="s">
        <v>33</v>
      </c>
      <c r="B16" s="71">
        <f>SUM(B4:B15)</f>
        <v>17761</v>
      </c>
      <c r="C16" s="71">
        <v>100</v>
      </c>
    </row>
    <row r="17" spans="1:3" x14ac:dyDescent="0.2">
      <c r="A17" s="258"/>
      <c r="B17" s="258"/>
    </row>
    <row r="18" spans="1:3" x14ac:dyDescent="0.2">
      <c r="A18" s="8" t="s">
        <v>55</v>
      </c>
      <c r="B18" s="8"/>
      <c r="C18" s="8"/>
    </row>
  </sheetData>
  <mergeCells count="1">
    <mergeCell ref="A17:B17"/>
  </mergeCells>
  <pageMargins left="0.7" right="0.7" top="0.75" bottom="0.75" header="0.3" footer="0.3"/>
  <pageSetup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C000"/>
  </sheetPr>
  <dimension ref="A1:N21"/>
  <sheetViews>
    <sheetView showGridLines="0" topLeftCell="F2" zoomScale="120" zoomScaleNormal="120" workbookViewId="0">
      <selection activeCell="C23" sqref="C23:C35"/>
    </sheetView>
  </sheetViews>
  <sheetFormatPr baseColWidth="10" defaultColWidth="9.6640625" defaultRowHeight="15" x14ac:dyDescent="0.2"/>
  <cols>
    <col min="1" max="1" width="15.1640625" style="2" bestFit="1" customWidth="1"/>
    <col min="2" max="2" width="10.33203125" style="2" bestFit="1" customWidth="1"/>
    <col min="3" max="3" width="20.5" style="2" bestFit="1" customWidth="1"/>
    <col min="4" max="4" width="4.1640625" style="2" customWidth="1"/>
    <col min="5" max="5" width="14" style="2" bestFit="1" customWidth="1"/>
    <col min="6" max="6" width="20.5" style="2" bestFit="1" customWidth="1"/>
    <col min="7" max="7" width="4.83203125" style="2" customWidth="1"/>
    <col min="8" max="8" width="15.1640625" style="2" bestFit="1" customWidth="1"/>
    <col min="9" max="9" width="20.5" style="2" bestFit="1" customWidth="1"/>
    <col min="10" max="10" width="4.83203125" style="2" customWidth="1"/>
    <col min="11" max="11" width="11.5" style="2" bestFit="1" customWidth="1"/>
    <col min="12" max="12" width="17.1640625" style="2" customWidth="1"/>
    <col min="13" max="13" width="11.1640625" style="2" customWidth="1"/>
    <col min="14" max="14" width="25.6640625" style="2" customWidth="1"/>
    <col min="15" max="16384" width="9.6640625" style="2"/>
  </cols>
  <sheetData>
    <row r="1" spans="1:14" ht="16" x14ac:dyDescent="0.2">
      <c r="A1" s="259" t="s">
        <v>226</v>
      </c>
      <c r="B1" s="259"/>
      <c r="C1" s="259"/>
      <c r="D1" s="259"/>
      <c r="E1" s="259"/>
      <c r="F1" s="259"/>
      <c r="G1" s="259"/>
      <c r="H1" s="259"/>
      <c r="I1" s="259"/>
      <c r="J1" s="259"/>
      <c r="K1" s="259"/>
      <c r="L1" s="259"/>
      <c r="M1" s="259"/>
      <c r="N1" s="259"/>
    </row>
    <row r="2" spans="1:14" ht="16" x14ac:dyDescent="0.2">
      <c r="A2" s="1"/>
      <c r="B2" s="1"/>
      <c r="C2" s="1"/>
      <c r="D2" s="1"/>
      <c r="E2" s="1"/>
      <c r="F2" s="1"/>
      <c r="G2" s="1"/>
      <c r="H2" s="1"/>
      <c r="I2" s="1"/>
      <c r="J2" s="1"/>
      <c r="K2" s="1"/>
      <c r="L2" s="1"/>
      <c r="M2" s="1"/>
      <c r="N2" s="1"/>
    </row>
    <row r="3" spans="1:14" ht="16" x14ac:dyDescent="0.2">
      <c r="A3" s="254" t="s">
        <v>64</v>
      </c>
      <c r="B3" s="256" t="s">
        <v>227</v>
      </c>
      <c r="C3" s="256"/>
      <c r="D3" s="22"/>
      <c r="E3" s="256" t="s">
        <v>228</v>
      </c>
      <c r="F3" s="256"/>
      <c r="G3" s="22"/>
      <c r="H3" s="256" t="s">
        <v>229</v>
      </c>
      <c r="I3" s="256"/>
      <c r="J3" s="22"/>
      <c r="K3" s="256" t="s">
        <v>230</v>
      </c>
      <c r="L3" s="256"/>
      <c r="M3" s="256"/>
      <c r="N3" s="256"/>
    </row>
    <row r="4" spans="1:14" x14ac:dyDescent="0.2">
      <c r="A4" s="255"/>
      <c r="B4" s="89" t="s">
        <v>231</v>
      </c>
      <c r="C4" s="3" t="s">
        <v>232</v>
      </c>
      <c r="D4" s="3"/>
      <c r="E4" s="89" t="s">
        <v>231</v>
      </c>
      <c r="F4" s="3" t="s">
        <v>232</v>
      </c>
      <c r="G4" s="3"/>
      <c r="H4" s="89" t="s">
        <v>231</v>
      </c>
      <c r="I4" s="3" t="s">
        <v>232</v>
      </c>
      <c r="J4" s="3"/>
      <c r="K4" s="3" t="s">
        <v>233</v>
      </c>
      <c r="L4" s="3" t="s">
        <v>234</v>
      </c>
      <c r="M4" s="3" t="s">
        <v>33</v>
      </c>
      <c r="N4" s="3" t="s">
        <v>232</v>
      </c>
    </row>
    <row r="5" spans="1:14" ht="16" x14ac:dyDescent="0.2">
      <c r="A5" s="79" t="s">
        <v>71</v>
      </c>
      <c r="B5" s="2">
        <v>37</v>
      </c>
      <c r="C5" s="2">
        <v>1.1200000000000001</v>
      </c>
      <c r="E5" s="2">
        <v>62</v>
      </c>
      <c r="F5" s="2">
        <v>1.87</v>
      </c>
      <c r="H5" s="2">
        <v>3</v>
      </c>
      <c r="I5" s="2">
        <v>0.9</v>
      </c>
      <c r="K5" s="2">
        <v>12</v>
      </c>
      <c r="L5" s="2">
        <v>13</v>
      </c>
      <c r="M5" s="2">
        <v>25</v>
      </c>
      <c r="N5" s="2">
        <v>0.75</v>
      </c>
    </row>
    <row r="6" spans="1:14" ht="16" x14ac:dyDescent="0.2">
      <c r="A6" s="79" t="s">
        <v>72</v>
      </c>
      <c r="B6" s="2">
        <v>66</v>
      </c>
      <c r="C6" s="2">
        <v>1.5</v>
      </c>
      <c r="E6" s="2">
        <v>104</v>
      </c>
      <c r="F6" s="2">
        <v>2.36</v>
      </c>
      <c r="H6" s="2">
        <v>8</v>
      </c>
      <c r="I6" s="2">
        <v>0.18</v>
      </c>
      <c r="K6" s="2">
        <v>14</v>
      </c>
      <c r="L6" s="2">
        <v>20</v>
      </c>
      <c r="M6" s="2">
        <v>34</v>
      </c>
      <c r="N6" s="2">
        <v>0.77</v>
      </c>
    </row>
    <row r="7" spans="1:14" ht="16" x14ac:dyDescent="0.2">
      <c r="A7" s="79" t="s">
        <v>73</v>
      </c>
      <c r="B7" s="17">
        <v>1216</v>
      </c>
      <c r="C7" s="2">
        <v>4.01</v>
      </c>
      <c r="E7" s="17">
        <v>1771</v>
      </c>
      <c r="F7" s="2">
        <v>5.84</v>
      </c>
      <c r="H7" s="2">
        <v>41</v>
      </c>
      <c r="I7" s="2">
        <v>0.14000000000000001</v>
      </c>
      <c r="K7" s="2">
        <v>407</v>
      </c>
      <c r="L7" s="2">
        <v>268</v>
      </c>
      <c r="M7" s="2">
        <v>675</v>
      </c>
      <c r="N7" s="2">
        <v>2.23</v>
      </c>
    </row>
    <row r="8" spans="1:14" ht="16" x14ac:dyDescent="0.2">
      <c r="A8" s="79" t="s">
        <v>74</v>
      </c>
      <c r="B8" s="2">
        <v>75</v>
      </c>
      <c r="C8" s="2">
        <v>1.55</v>
      </c>
      <c r="E8" s="2">
        <v>119</v>
      </c>
      <c r="F8" s="2">
        <v>2.46</v>
      </c>
      <c r="H8" s="2">
        <v>4</v>
      </c>
      <c r="I8" s="2">
        <v>0.08</v>
      </c>
      <c r="K8" s="2">
        <v>22</v>
      </c>
      <c r="L8" s="2">
        <v>18</v>
      </c>
      <c r="M8" s="2">
        <v>40</v>
      </c>
      <c r="N8" s="2">
        <v>0.83</v>
      </c>
    </row>
    <row r="9" spans="1:14" ht="16" x14ac:dyDescent="0.2">
      <c r="A9" s="79" t="s">
        <v>75</v>
      </c>
      <c r="B9" s="2">
        <v>785</v>
      </c>
      <c r="C9" s="2">
        <v>3.03</v>
      </c>
      <c r="E9" s="2">
        <v>881</v>
      </c>
      <c r="F9" s="2">
        <v>3.4</v>
      </c>
      <c r="H9" s="2">
        <v>18</v>
      </c>
      <c r="I9" s="2">
        <v>7.0000000000000007E-2</v>
      </c>
      <c r="K9" s="2">
        <v>199</v>
      </c>
      <c r="L9" s="2">
        <v>122</v>
      </c>
      <c r="M9" s="2">
        <v>321</v>
      </c>
      <c r="N9" s="2">
        <v>1.24</v>
      </c>
    </row>
    <row r="10" spans="1:14" ht="16" x14ac:dyDescent="0.2">
      <c r="A10" s="79" t="s">
        <v>76</v>
      </c>
      <c r="B10" s="2">
        <v>115</v>
      </c>
      <c r="C10" s="2">
        <v>1.44</v>
      </c>
      <c r="E10" s="2">
        <v>145</v>
      </c>
      <c r="F10" s="2">
        <v>1.81</v>
      </c>
      <c r="H10" s="2">
        <v>7</v>
      </c>
      <c r="I10" s="2">
        <v>0.09</v>
      </c>
      <c r="K10" s="2">
        <v>10</v>
      </c>
      <c r="L10" s="2">
        <v>31</v>
      </c>
      <c r="M10" s="2">
        <v>41</v>
      </c>
      <c r="N10" s="2">
        <v>0.51</v>
      </c>
    </row>
    <row r="11" spans="1:14" ht="16" x14ac:dyDescent="0.2">
      <c r="A11" s="79" t="s">
        <v>77</v>
      </c>
      <c r="B11" s="2">
        <v>11</v>
      </c>
      <c r="C11" s="2">
        <v>0.64</v>
      </c>
      <c r="E11" s="2">
        <v>15</v>
      </c>
      <c r="F11" s="2">
        <v>0.87</v>
      </c>
      <c r="H11" s="2">
        <v>2</v>
      </c>
      <c r="I11" s="2">
        <v>0.12</v>
      </c>
      <c r="K11" s="2">
        <v>0</v>
      </c>
      <c r="L11" s="2">
        <v>2</v>
      </c>
      <c r="M11" s="2">
        <v>2</v>
      </c>
      <c r="N11" s="2">
        <v>0.12</v>
      </c>
    </row>
    <row r="12" spans="1:14" ht="16" x14ac:dyDescent="0.2">
      <c r="A12" s="79" t="s">
        <v>78</v>
      </c>
      <c r="B12" s="2">
        <v>137</v>
      </c>
      <c r="C12" s="2">
        <v>2.25</v>
      </c>
      <c r="E12" s="2">
        <v>175</v>
      </c>
      <c r="F12" s="2">
        <v>2.87</v>
      </c>
      <c r="H12" s="2">
        <v>4</v>
      </c>
      <c r="I12" s="2">
        <v>7.0000000000000007E-2</v>
      </c>
      <c r="K12" s="2">
        <v>37</v>
      </c>
      <c r="L12" s="2">
        <v>33</v>
      </c>
      <c r="M12" s="2">
        <v>70</v>
      </c>
      <c r="N12" s="2">
        <v>1.1499999999999999</v>
      </c>
    </row>
    <row r="13" spans="1:14" ht="16" x14ac:dyDescent="0.2">
      <c r="A13" s="79" t="s">
        <v>79</v>
      </c>
      <c r="B13" s="2">
        <v>55</v>
      </c>
      <c r="C13" s="2">
        <v>1.69</v>
      </c>
      <c r="E13" s="2">
        <v>72</v>
      </c>
      <c r="F13" s="2">
        <v>2.21</v>
      </c>
      <c r="H13" s="2">
        <v>5</v>
      </c>
      <c r="I13" s="2">
        <v>0.15</v>
      </c>
      <c r="K13" s="2">
        <v>30</v>
      </c>
      <c r="L13" s="2">
        <v>16</v>
      </c>
      <c r="M13" s="2">
        <v>46</v>
      </c>
      <c r="N13" s="2">
        <v>1.41</v>
      </c>
    </row>
    <row r="14" spans="1:14" ht="16" x14ac:dyDescent="0.2">
      <c r="A14" s="79" t="s">
        <v>80</v>
      </c>
      <c r="B14" s="2">
        <v>55</v>
      </c>
      <c r="C14" s="2">
        <v>1.27</v>
      </c>
      <c r="E14" s="2">
        <v>53</v>
      </c>
      <c r="F14" s="2">
        <v>1.22</v>
      </c>
      <c r="H14" s="2">
        <v>6</v>
      </c>
      <c r="I14" s="2">
        <v>0.14000000000000001</v>
      </c>
      <c r="K14" s="2">
        <v>14</v>
      </c>
      <c r="L14" s="2">
        <v>15</v>
      </c>
      <c r="M14" s="2">
        <v>29</v>
      </c>
      <c r="N14" s="2">
        <v>0.67</v>
      </c>
    </row>
    <row r="15" spans="1:14" ht="16" x14ac:dyDescent="0.2">
      <c r="A15" s="79" t="s">
        <v>81</v>
      </c>
      <c r="B15" s="2">
        <v>30</v>
      </c>
      <c r="C15" s="2">
        <v>3.51</v>
      </c>
      <c r="E15" s="2">
        <v>43</v>
      </c>
      <c r="F15" s="2">
        <v>5.03</v>
      </c>
      <c r="H15" s="2">
        <v>2</v>
      </c>
      <c r="I15" s="2">
        <v>0.23</v>
      </c>
      <c r="K15" s="2">
        <v>8</v>
      </c>
      <c r="L15" s="2">
        <v>8</v>
      </c>
      <c r="M15" s="2">
        <v>16</v>
      </c>
      <c r="N15" s="2">
        <v>1.87</v>
      </c>
    </row>
    <row r="16" spans="1:14" ht="16" x14ac:dyDescent="0.2">
      <c r="A16" s="79" t="s">
        <v>82</v>
      </c>
      <c r="B16" s="2">
        <v>14</v>
      </c>
      <c r="C16" s="2">
        <v>0.87</v>
      </c>
      <c r="E16" s="2">
        <v>17</v>
      </c>
      <c r="F16" s="2">
        <v>1.06</v>
      </c>
      <c r="H16" s="2">
        <v>3</v>
      </c>
      <c r="I16" s="2">
        <v>0.19</v>
      </c>
      <c r="K16" s="2">
        <v>0</v>
      </c>
      <c r="L16" s="2">
        <v>0</v>
      </c>
      <c r="M16" s="2">
        <v>0</v>
      </c>
      <c r="N16" s="2">
        <v>0</v>
      </c>
    </row>
    <row r="17" spans="1:14" ht="16" x14ac:dyDescent="0.2">
      <c r="A17" s="79" t="s">
        <v>83</v>
      </c>
      <c r="B17" s="2">
        <v>13</v>
      </c>
      <c r="C17" s="2">
        <v>1.1000000000000001</v>
      </c>
      <c r="E17" s="2">
        <v>26</v>
      </c>
      <c r="F17" s="2">
        <v>2.19</v>
      </c>
      <c r="H17" s="2">
        <v>4</v>
      </c>
      <c r="I17" s="2">
        <v>0.34</v>
      </c>
      <c r="K17" s="2">
        <v>0</v>
      </c>
      <c r="L17" s="2">
        <v>2</v>
      </c>
      <c r="M17" s="2">
        <v>2</v>
      </c>
      <c r="N17" s="2">
        <v>0.17</v>
      </c>
    </row>
    <row r="18" spans="1:14" ht="16" x14ac:dyDescent="0.2">
      <c r="A18" s="70" t="s">
        <v>84</v>
      </c>
      <c r="B18" s="90">
        <f>SUM(B5:B17)</f>
        <v>2609</v>
      </c>
      <c r="C18" s="91">
        <v>2.72</v>
      </c>
      <c r="D18" s="91"/>
      <c r="E18" s="90">
        <f>SUM(E5:E17)</f>
        <v>3483</v>
      </c>
      <c r="F18" s="91">
        <v>3.63</v>
      </c>
      <c r="G18" s="91"/>
      <c r="H18" s="90">
        <f>SUM(H5:H17)</f>
        <v>107</v>
      </c>
      <c r="I18" s="91">
        <v>0.11</v>
      </c>
      <c r="J18" s="91"/>
      <c r="K18" s="90">
        <f>SUM(K5:K17)</f>
        <v>753</v>
      </c>
      <c r="L18" s="90">
        <f>SUM(L5:L17)</f>
        <v>548</v>
      </c>
      <c r="M18" s="90">
        <f>SUM(M5:M17)</f>
        <v>1301</v>
      </c>
      <c r="N18" s="91">
        <v>1.36</v>
      </c>
    </row>
    <row r="19" spans="1:14" x14ac:dyDescent="0.2">
      <c r="A19" s="92"/>
    </row>
    <row r="20" spans="1:14" x14ac:dyDescent="0.2">
      <c r="A20" s="257" t="s">
        <v>109</v>
      </c>
      <c r="B20" s="257"/>
      <c r="C20" s="257"/>
      <c r="D20" s="257"/>
      <c r="E20" s="257"/>
      <c r="F20" s="257"/>
      <c r="G20" s="257"/>
      <c r="H20" s="257"/>
      <c r="I20" s="257"/>
      <c r="J20" s="257"/>
      <c r="K20" s="257"/>
      <c r="L20" s="257"/>
      <c r="M20" s="257"/>
      <c r="N20" s="257"/>
    </row>
    <row r="21" spans="1:14" x14ac:dyDescent="0.2">
      <c r="A21" s="257"/>
      <c r="B21" s="257"/>
      <c r="C21" s="257"/>
      <c r="D21" s="257"/>
      <c r="E21" s="257"/>
      <c r="F21" s="257"/>
      <c r="G21" s="257"/>
      <c r="H21" s="257"/>
      <c r="I21" s="257"/>
      <c r="J21" s="257"/>
      <c r="K21" s="257"/>
      <c r="L21" s="257"/>
      <c r="M21" s="257"/>
      <c r="N21" s="257"/>
    </row>
  </sheetData>
  <mergeCells count="8">
    <mergeCell ref="A20:N20"/>
    <mergeCell ref="A21:N21"/>
    <mergeCell ref="A1:N1"/>
    <mergeCell ref="A3:A4"/>
    <mergeCell ref="B3:C3"/>
    <mergeCell ref="E3:F3"/>
    <mergeCell ref="H3:I3"/>
    <mergeCell ref="K3:N3"/>
  </mergeCell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sheetPr>
  <dimension ref="A1:J20"/>
  <sheetViews>
    <sheetView showGridLines="0" zoomScaleNormal="100" workbookViewId="0">
      <selection activeCell="L10" sqref="L10"/>
    </sheetView>
  </sheetViews>
  <sheetFormatPr baseColWidth="10" defaultColWidth="9.6640625" defaultRowHeight="15" x14ac:dyDescent="0.2"/>
  <cols>
    <col min="1" max="1" width="54" style="2" bestFit="1" customWidth="1"/>
    <col min="2" max="4" width="16.5" style="2" customWidth="1"/>
    <col min="5" max="5" width="5.5" style="2" customWidth="1"/>
    <col min="6" max="6" width="11.5" style="2" bestFit="1" customWidth="1"/>
    <col min="7" max="7" width="28.5" style="2" customWidth="1"/>
    <col min="8" max="8" width="35.5" style="2" bestFit="1" customWidth="1"/>
    <col min="9" max="9" width="35.5" style="2" customWidth="1"/>
    <col min="10" max="10" width="12.1640625" style="2" customWidth="1"/>
    <col min="11" max="11" width="9.6640625" style="2"/>
    <col min="12" max="12" width="27.1640625" style="2" bestFit="1" customWidth="1"/>
    <col min="13" max="13" width="35.5" style="2" bestFit="1" customWidth="1"/>
    <col min="14" max="16384" width="9.6640625" style="2"/>
  </cols>
  <sheetData>
    <row r="1" spans="1:10" ht="16" x14ac:dyDescent="0.2">
      <c r="A1" s="1" t="s">
        <v>235</v>
      </c>
      <c r="B1" s="1"/>
      <c r="C1" s="1"/>
      <c r="D1" s="1"/>
      <c r="E1" s="1"/>
      <c r="F1" s="1"/>
      <c r="G1" s="1"/>
      <c r="H1" s="1"/>
      <c r="I1" s="1"/>
      <c r="J1" s="1"/>
    </row>
    <row r="2" spans="1:10" ht="16" x14ac:dyDescent="0.2">
      <c r="A2" s="1"/>
      <c r="B2" s="1"/>
      <c r="C2" s="1"/>
      <c r="D2" s="1"/>
      <c r="E2" s="1"/>
      <c r="F2" s="1"/>
      <c r="G2" s="1"/>
      <c r="H2" s="1"/>
      <c r="I2" s="1"/>
      <c r="J2" s="1"/>
    </row>
    <row r="3" spans="1:10" ht="16" x14ac:dyDescent="0.2">
      <c r="A3" s="254" t="s">
        <v>236</v>
      </c>
      <c r="B3" s="256" t="s">
        <v>237</v>
      </c>
      <c r="C3" s="256"/>
      <c r="D3" s="256"/>
      <c r="E3" s="22"/>
      <c r="F3" s="256" t="s">
        <v>238</v>
      </c>
      <c r="G3" s="256"/>
      <c r="H3" s="256"/>
      <c r="I3" s="22"/>
      <c r="J3" s="266" t="s">
        <v>33</v>
      </c>
    </row>
    <row r="4" spans="1:10" x14ac:dyDescent="0.2">
      <c r="A4" s="255"/>
      <c r="B4" s="3" t="s">
        <v>239</v>
      </c>
      <c r="C4" s="3" t="s">
        <v>240</v>
      </c>
      <c r="D4" s="3" t="s">
        <v>241</v>
      </c>
      <c r="E4" s="3"/>
      <c r="F4" s="20" t="s">
        <v>242</v>
      </c>
      <c r="G4" s="3" t="s">
        <v>243</v>
      </c>
      <c r="H4" s="3" t="s">
        <v>244</v>
      </c>
      <c r="I4" s="3" t="s">
        <v>245</v>
      </c>
      <c r="J4" s="267"/>
    </row>
    <row r="5" spans="1:10" x14ac:dyDescent="0.2">
      <c r="A5" s="93" t="s">
        <v>246</v>
      </c>
      <c r="B5" s="94">
        <f>SUM(B6:B11)</f>
        <v>786</v>
      </c>
      <c r="C5" s="94">
        <f t="shared" ref="C5:J5" si="0">SUM(C6:C11)</f>
        <v>168</v>
      </c>
      <c r="D5" s="94">
        <f t="shared" si="0"/>
        <v>222</v>
      </c>
      <c r="E5" s="94"/>
      <c r="F5" s="94">
        <f t="shared" si="0"/>
        <v>11</v>
      </c>
      <c r="G5" s="94">
        <f t="shared" si="0"/>
        <v>34</v>
      </c>
      <c r="H5" s="94">
        <f t="shared" si="0"/>
        <v>103</v>
      </c>
      <c r="I5" s="94">
        <f t="shared" si="0"/>
        <v>1392</v>
      </c>
      <c r="J5" s="94">
        <f t="shared" si="0"/>
        <v>2716</v>
      </c>
    </row>
    <row r="6" spans="1:10" x14ac:dyDescent="0.2">
      <c r="A6" s="5" t="s">
        <v>247</v>
      </c>
      <c r="B6" s="2">
        <v>62</v>
      </c>
      <c r="C6" s="2">
        <v>53</v>
      </c>
      <c r="D6" s="2">
        <v>179</v>
      </c>
      <c r="F6" s="2">
        <v>2</v>
      </c>
      <c r="G6" s="2">
        <v>19</v>
      </c>
      <c r="H6" s="2">
        <v>37</v>
      </c>
      <c r="I6" s="2">
        <v>413</v>
      </c>
      <c r="J6" s="246">
        <f>SUM(B6:I6)</f>
        <v>765</v>
      </c>
    </row>
    <row r="7" spans="1:10" x14ac:dyDescent="0.2">
      <c r="A7" s="5" t="s">
        <v>248</v>
      </c>
      <c r="B7" s="2">
        <v>446</v>
      </c>
      <c r="C7" s="2">
        <v>88</v>
      </c>
      <c r="D7" s="2">
        <v>37</v>
      </c>
      <c r="F7" s="2">
        <v>6</v>
      </c>
      <c r="G7" s="2">
        <v>6</v>
      </c>
      <c r="H7" s="2">
        <v>38</v>
      </c>
      <c r="I7" s="2">
        <v>500</v>
      </c>
      <c r="J7" s="246">
        <f t="shared" ref="J7:J11" si="1">SUM(B7:I7)</f>
        <v>1121</v>
      </c>
    </row>
    <row r="8" spans="1:10" x14ac:dyDescent="0.2">
      <c r="A8" s="5" t="s">
        <v>249</v>
      </c>
      <c r="B8" s="2">
        <v>83</v>
      </c>
      <c r="C8" s="2">
        <v>7</v>
      </c>
      <c r="D8" s="2">
        <v>0</v>
      </c>
      <c r="F8" s="2">
        <v>0</v>
      </c>
      <c r="G8" s="2">
        <v>0</v>
      </c>
      <c r="H8" s="2">
        <v>12</v>
      </c>
      <c r="I8" s="2">
        <v>176</v>
      </c>
      <c r="J8" s="246">
        <f t="shared" si="1"/>
        <v>278</v>
      </c>
    </row>
    <row r="9" spans="1:10" x14ac:dyDescent="0.2">
      <c r="A9" s="5" t="s">
        <v>250</v>
      </c>
      <c r="B9" s="2">
        <v>17</v>
      </c>
      <c r="C9" s="2">
        <v>8</v>
      </c>
      <c r="D9" s="2">
        <v>4</v>
      </c>
      <c r="F9" s="2">
        <v>2</v>
      </c>
      <c r="G9" s="2">
        <v>3</v>
      </c>
      <c r="H9" s="2">
        <v>2</v>
      </c>
      <c r="I9" s="2">
        <v>71</v>
      </c>
      <c r="J9" s="246">
        <f t="shared" si="1"/>
        <v>107</v>
      </c>
    </row>
    <row r="10" spans="1:10" x14ac:dyDescent="0.2">
      <c r="A10" s="5" t="s">
        <v>251</v>
      </c>
      <c r="B10" s="2">
        <v>98</v>
      </c>
      <c r="C10" s="2">
        <v>12</v>
      </c>
      <c r="D10" s="2">
        <v>0</v>
      </c>
      <c r="F10" s="2">
        <v>0</v>
      </c>
      <c r="G10" s="2">
        <v>0</v>
      </c>
      <c r="H10" s="2">
        <v>12</v>
      </c>
      <c r="I10" s="2">
        <v>128</v>
      </c>
      <c r="J10" s="246">
        <f t="shared" si="1"/>
        <v>250</v>
      </c>
    </row>
    <row r="11" spans="1:10" x14ac:dyDescent="0.2">
      <c r="A11" s="5" t="s">
        <v>252</v>
      </c>
      <c r="B11" s="2">
        <v>80</v>
      </c>
      <c r="C11" s="2">
        <v>0</v>
      </c>
      <c r="D11" s="2">
        <v>2</v>
      </c>
      <c r="F11" s="2">
        <v>1</v>
      </c>
      <c r="G11" s="2">
        <v>6</v>
      </c>
      <c r="H11" s="2">
        <v>2</v>
      </c>
      <c r="I11" s="2">
        <v>104</v>
      </c>
      <c r="J11" s="246">
        <f t="shared" si="1"/>
        <v>195</v>
      </c>
    </row>
    <row r="12" spans="1:10" x14ac:dyDescent="0.2">
      <c r="A12" s="93" t="s">
        <v>253</v>
      </c>
      <c r="B12" s="94">
        <f>SUM(B13:B17)</f>
        <v>1017</v>
      </c>
      <c r="C12" s="94">
        <f t="shared" ref="C12:J12" si="2">SUM(C13:C17)</f>
        <v>237</v>
      </c>
      <c r="D12" s="94">
        <f t="shared" si="2"/>
        <v>126</v>
      </c>
      <c r="E12" s="94"/>
      <c r="F12" s="94">
        <f t="shared" si="2"/>
        <v>2</v>
      </c>
      <c r="G12" s="94">
        <f t="shared" si="2"/>
        <v>30</v>
      </c>
      <c r="H12" s="94">
        <f t="shared" si="2"/>
        <v>160</v>
      </c>
      <c r="I12" s="94">
        <f t="shared" si="2"/>
        <v>1911</v>
      </c>
      <c r="J12" s="94">
        <f t="shared" si="2"/>
        <v>3483</v>
      </c>
    </row>
    <row r="13" spans="1:10" x14ac:dyDescent="0.2">
      <c r="A13" s="5" t="s">
        <v>254</v>
      </c>
      <c r="B13" s="2">
        <v>242</v>
      </c>
      <c r="C13" s="2">
        <v>107</v>
      </c>
      <c r="D13" s="2">
        <v>57</v>
      </c>
      <c r="F13" s="2">
        <v>0</v>
      </c>
      <c r="G13" s="2">
        <v>5</v>
      </c>
      <c r="H13" s="2">
        <v>139</v>
      </c>
      <c r="I13" s="2">
        <v>510</v>
      </c>
      <c r="J13" s="246">
        <f>SUM(B13:I13)</f>
        <v>1060</v>
      </c>
    </row>
    <row r="14" spans="1:10" x14ac:dyDescent="0.2">
      <c r="A14" s="5" t="s">
        <v>255</v>
      </c>
      <c r="B14" s="2">
        <v>521</v>
      </c>
      <c r="C14" s="2">
        <v>95</v>
      </c>
      <c r="D14" s="2">
        <v>49</v>
      </c>
      <c r="F14" s="2">
        <v>0</v>
      </c>
      <c r="G14" s="2">
        <v>21</v>
      </c>
      <c r="H14" s="2">
        <v>13</v>
      </c>
      <c r="I14" s="2">
        <v>923</v>
      </c>
      <c r="J14" s="246">
        <f t="shared" ref="J14:J17" si="3">SUM(B14:I14)</f>
        <v>1622</v>
      </c>
    </row>
    <row r="15" spans="1:10" x14ac:dyDescent="0.2">
      <c r="A15" s="5" t="s">
        <v>256</v>
      </c>
      <c r="B15" s="2">
        <v>146</v>
      </c>
      <c r="C15" s="2">
        <v>30</v>
      </c>
      <c r="D15" s="2">
        <v>20</v>
      </c>
      <c r="F15" s="2">
        <v>2</v>
      </c>
      <c r="G15" s="2">
        <v>2</v>
      </c>
      <c r="H15" s="2">
        <v>0</v>
      </c>
      <c r="I15" s="2">
        <v>246</v>
      </c>
      <c r="J15" s="246">
        <f t="shared" si="3"/>
        <v>446</v>
      </c>
    </row>
    <row r="16" spans="1:10" x14ac:dyDescent="0.2">
      <c r="A16" s="5" t="s">
        <v>257</v>
      </c>
      <c r="B16" s="2">
        <v>26</v>
      </c>
      <c r="C16" s="2">
        <v>5</v>
      </c>
      <c r="D16" s="2">
        <v>0</v>
      </c>
      <c r="F16" s="2">
        <v>0</v>
      </c>
      <c r="G16" s="2">
        <v>0</v>
      </c>
      <c r="H16" s="2">
        <v>8</v>
      </c>
      <c r="I16" s="2">
        <v>171</v>
      </c>
      <c r="J16" s="246">
        <f t="shared" si="3"/>
        <v>210</v>
      </c>
    </row>
    <row r="17" spans="1:10" x14ac:dyDescent="0.2">
      <c r="A17" s="5" t="s">
        <v>252</v>
      </c>
      <c r="B17" s="2">
        <v>82</v>
      </c>
      <c r="C17" s="2">
        <v>0</v>
      </c>
      <c r="D17" s="2">
        <v>0</v>
      </c>
      <c r="F17" s="2">
        <v>0</v>
      </c>
      <c r="G17" s="2">
        <v>2</v>
      </c>
      <c r="H17" s="2">
        <v>0</v>
      </c>
      <c r="I17" s="2">
        <v>61</v>
      </c>
      <c r="J17" s="246">
        <f t="shared" si="3"/>
        <v>145</v>
      </c>
    </row>
    <row r="18" spans="1:10" x14ac:dyDescent="0.2">
      <c r="A18" s="96" t="s">
        <v>33</v>
      </c>
      <c r="B18" s="38">
        <f>B5+B12</f>
        <v>1803</v>
      </c>
      <c r="C18" s="38">
        <f t="shared" ref="C18:J18" si="4">C5+C12</f>
        <v>405</v>
      </c>
      <c r="D18" s="38">
        <f t="shared" si="4"/>
        <v>348</v>
      </c>
      <c r="E18" s="38"/>
      <c r="F18" s="38">
        <f t="shared" si="4"/>
        <v>13</v>
      </c>
      <c r="G18" s="38">
        <f t="shared" si="4"/>
        <v>64</v>
      </c>
      <c r="H18" s="38">
        <f t="shared" si="4"/>
        <v>263</v>
      </c>
      <c r="I18" s="38">
        <f t="shared" si="4"/>
        <v>3303</v>
      </c>
      <c r="J18" s="38">
        <f t="shared" si="4"/>
        <v>6199</v>
      </c>
    </row>
    <row r="19" spans="1:10" x14ac:dyDescent="0.2">
      <c r="B19" s="17"/>
      <c r="C19" s="17"/>
      <c r="D19" s="17"/>
      <c r="E19" s="17"/>
      <c r="F19" s="17"/>
      <c r="G19" s="17"/>
      <c r="H19" s="17"/>
      <c r="I19" s="17"/>
      <c r="J19" s="17"/>
    </row>
    <row r="20" spans="1:10" x14ac:dyDescent="0.2">
      <c r="A20" s="8" t="s">
        <v>109</v>
      </c>
      <c r="B20" s="8"/>
      <c r="C20" s="8"/>
      <c r="D20" s="8"/>
      <c r="E20" s="8"/>
      <c r="F20" s="8"/>
      <c r="G20" s="8"/>
      <c r="H20" s="8"/>
      <c r="I20" s="8"/>
      <c r="J20" s="8"/>
    </row>
  </sheetData>
  <mergeCells count="4">
    <mergeCell ref="A3:A4"/>
    <mergeCell ref="B3:D3"/>
    <mergeCell ref="F3:H3"/>
    <mergeCell ref="J3:J4"/>
  </mergeCells>
  <pageMargins left="0.7" right="0.7" top="0.75" bottom="0.75" header="0.3" footer="0.3"/>
  <pageSetup orientation="portrait"/>
  <ignoredErrors>
    <ignoredError sqref="J12"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sheetPr>
  <dimension ref="A1:J17"/>
  <sheetViews>
    <sheetView showGridLines="0" zoomScaleNormal="100" workbookViewId="0">
      <selection activeCell="B15" sqref="B15"/>
    </sheetView>
  </sheetViews>
  <sheetFormatPr baseColWidth="10" defaultColWidth="9.6640625" defaultRowHeight="15" x14ac:dyDescent="0.2"/>
  <cols>
    <col min="1" max="1" width="46.33203125" style="2" bestFit="1" customWidth="1"/>
    <col min="2" max="4" width="18" style="2" customWidth="1"/>
    <col min="5" max="6" width="6" style="2" customWidth="1"/>
    <col min="7" max="7" width="11.5" style="2" bestFit="1" customWidth="1"/>
    <col min="8" max="8" width="29.1640625" style="2" customWidth="1"/>
    <col min="9" max="9" width="36" style="2" customWidth="1"/>
    <col min="10" max="10" width="14.83203125" style="2" customWidth="1"/>
    <col min="11" max="16384" width="9.6640625" style="2"/>
  </cols>
  <sheetData>
    <row r="1" spans="1:10" ht="16" x14ac:dyDescent="0.2">
      <c r="A1" s="259" t="s">
        <v>258</v>
      </c>
      <c r="B1" s="259"/>
      <c r="C1" s="259"/>
      <c r="D1" s="259"/>
      <c r="E1" s="259"/>
      <c r="F1" s="259"/>
      <c r="G1" s="259"/>
      <c r="H1" s="259"/>
      <c r="I1" s="259"/>
      <c r="J1" s="259"/>
    </row>
    <row r="2" spans="1:10" ht="16" x14ac:dyDescent="0.2">
      <c r="A2" s="1"/>
      <c r="B2" s="1"/>
      <c r="C2" s="1"/>
      <c r="D2" s="1"/>
      <c r="E2" s="1"/>
      <c r="F2" s="1"/>
      <c r="G2" s="1"/>
      <c r="H2" s="1"/>
      <c r="I2" s="1"/>
      <c r="J2" s="1"/>
    </row>
    <row r="3" spans="1:10" ht="16" x14ac:dyDescent="0.2">
      <c r="A3" s="254" t="s">
        <v>259</v>
      </c>
      <c r="B3" s="256" t="s">
        <v>237</v>
      </c>
      <c r="C3" s="256"/>
      <c r="D3" s="256"/>
      <c r="E3" s="22"/>
      <c r="F3" s="22"/>
      <c r="G3" s="256" t="s">
        <v>238</v>
      </c>
      <c r="H3" s="256"/>
      <c r="I3" s="256"/>
      <c r="J3" s="266" t="s">
        <v>33</v>
      </c>
    </row>
    <row r="4" spans="1:10" x14ac:dyDescent="0.2">
      <c r="A4" s="255"/>
      <c r="B4" s="3" t="s">
        <v>239</v>
      </c>
      <c r="C4" s="3" t="s">
        <v>240</v>
      </c>
      <c r="D4" s="3" t="s">
        <v>241</v>
      </c>
      <c r="E4" s="3"/>
      <c r="F4" s="13" t="s">
        <v>242</v>
      </c>
      <c r="G4" s="3" t="s">
        <v>243</v>
      </c>
      <c r="H4" s="3" t="s">
        <v>244</v>
      </c>
      <c r="I4" s="3" t="s">
        <v>245</v>
      </c>
      <c r="J4" s="267"/>
    </row>
    <row r="5" spans="1:10" x14ac:dyDescent="0.2">
      <c r="A5" s="2" t="s">
        <v>260</v>
      </c>
      <c r="B5" s="17">
        <v>58724</v>
      </c>
      <c r="C5" s="17">
        <v>7380</v>
      </c>
      <c r="D5" s="17">
        <v>5201</v>
      </c>
      <c r="E5" s="17"/>
      <c r="F5" s="17">
        <v>754</v>
      </c>
      <c r="G5" s="17">
        <v>1937</v>
      </c>
      <c r="H5" s="17">
        <v>3589</v>
      </c>
      <c r="I5" s="17">
        <v>36141</v>
      </c>
      <c r="J5" s="95">
        <f>SUM(B5:I5)</f>
        <v>113726</v>
      </c>
    </row>
    <row r="6" spans="1:10" x14ac:dyDescent="0.2">
      <c r="A6" s="2" t="s">
        <v>261</v>
      </c>
      <c r="B6" s="17">
        <v>125132</v>
      </c>
      <c r="C6" s="17">
        <v>21618</v>
      </c>
      <c r="D6" s="17">
        <v>20400</v>
      </c>
      <c r="E6" s="17"/>
      <c r="F6" s="17">
        <v>0</v>
      </c>
      <c r="G6" s="17">
        <v>0</v>
      </c>
      <c r="H6" s="17">
        <v>8208</v>
      </c>
      <c r="I6" s="17">
        <v>90482</v>
      </c>
      <c r="J6" s="95">
        <f t="shared" ref="J6:J13" si="0">SUM(B6:I6)</f>
        <v>265840</v>
      </c>
    </row>
    <row r="7" spans="1:10" x14ac:dyDescent="0.2">
      <c r="A7" s="2" t="s">
        <v>262</v>
      </c>
      <c r="B7" s="17">
        <v>13252</v>
      </c>
      <c r="C7" s="17">
        <v>11783</v>
      </c>
      <c r="D7" s="17">
        <v>23</v>
      </c>
      <c r="E7" s="17"/>
      <c r="F7" s="17">
        <v>0</v>
      </c>
      <c r="G7" s="17">
        <v>734</v>
      </c>
      <c r="H7" s="17">
        <v>25950</v>
      </c>
      <c r="I7" s="17">
        <v>12073</v>
      </c>
      <c r="J7" s="95">
        <f t="shared" si="0"/>
        <v>63815</v>
      </c>
    </row>
    <row r="8" spans="1:10" x14ac:dyDescent="0.2">
      <c r="A8" s="2" t="s">
        <v>263</v>
      </c>
      <c r="B8" s="17">
        <v>790085</v>
      </c>
      <c r="C8" s="17">
        <v>173158</v>
      </c>
      <c r="D8" s="17">
        <v>55538</v>
      </c>
      <c r="E8" s="17"/>
      <c r="F8" s="17">
        <v>2190</v>
      </c>
      <c r="G8" s="17">
        <v>11934</v>
      </c>
      <c r="H8" s="17">
        <v>254017</v>
      </c>
      <c r="I8" s="17">
        <v>634821</v>
      </c>
      <c r="J8" s="95">
        <f t="shared" si="0"/>
        <v>1921743</v>
      </c>
    </row>
    <row r="9" spans="1:10" x14ac:dyDescent="0.2">
      <c r="A9" s="2" t="s">
        <v>264</v>
      </c>
      <c r="B9" s="17">
        <v>18908</v>
      </c>
      <c r="C9" s="17">
        <v>2726</v>
      </c>
      <c r="D9" s="17">
        <v>1328</v>
      </c>
      <c r="E9" s="17"/>
      <c r="F9" s="17">
        <v>0</v>
      </c>
      <c r="G9" s="17">
        <v>0</v>
      </c>
      <c r="H9" s="17">
        <v>1114</v>
      </c>
      <c r="I9" s="17">
        <v>22185</v>
      </c>
      <c r="J9" s="95">
        <f t="shared" si="0"/>
        <v>46261</v>
      </c>
    </row>
    <row r="10" spans="1:10" x14ac:dyDescent="0.2">
      <c r="A10" s="2" t="s">
        <v>265</v>
      </c>
      <c r="B10" s="17">
        <v>1913240</v>
      </c>
      <c r="C10" s="17">
        <v>162329</v>
      </c>
      <c r="D10" s="17">
        <v>32207</v>
      </c>
      <c r="E10" s="17"/>
      <c r="F10" s="17">
        <v>1216</v>
      </c>
      <c r="G10" s="17">
        <v>0</v>
      </c>
      <c r="H10" s="17">
        <v>66321</v>
      </c>
      <c r="I10" s="17">
        <v>1488571</v>
      </c>
      <c r="J10" s="95">
        <f t="shared" si="0"/>
        <v>3663884</v>
      </c>
    </row>
    <row r="11" spans="1:10" x14ac:dyDescent="0.2">
      <c r="A11" s="2" t="s">
        <v>266</v>
      </c>
      <c r="B11" s="17">
        <v>11755</v>
      </c>
      <c r="C11" s="17">
        <v>1662</v>
      </c>
      <c r="D11" s="2">
        <v>639</v>
      </c>
      <c r="F11" s="2">
        <v>0</v>
      </c>
      <c r="G11" s="17">
        <v>0</v>
      </c>
      <c r="H11" s="17">
        <v>1810</v>
      </c>
      <c r="I11" s="17">
        <v>11831</v>
      </c>
      <c r="J11" s="95">
        <f t="shared" si="0"/>
        <v>27697</v>
      </c>
    </row>
    <row r="12" spans="1:10" x14ac:dyDescent="0.2">
      <c r="A12" s="2" t="s">
        <v>267</v>
      </c>
      <c r="B12" s="17">
        <v>1806</v>
      </c>
      <c r="C12" s="2">
        <v>119</v>
      </c>
      <c r="D12" s="2">
        <v>39</v>
      </c>
      <c r="F12" s="2">
        <v>0</v>
      </c>
      <c r="G12" s="17">
        <v>0</v>
      </c>
      <c r="H12" s="2">
        <v>276</v>
      </c>
      <c r="I12" s="17">
        <v>5202</v>
      </c>
      <c r="J12" s="95">
        <f t="shared" si="0"/>
        <v>7442</v>
      </c>
    </row>
    <row r="13" spans="1:10" x14ac:dyDescent="0.2">
      <c r="A13" s="2" t="s">
        <v>268</v>
      </c>
      <c r="B13" s="17">
        <v>68993</v>
      </c>
      <c r="C13" s="17">
        <v>14790</v>
      </c>
      <c r="D13" s="2">
        <v>619</v>
      </c>
      <c r="F13" s="2">
        <v>264</v>
      </c>
      <c r="G13" s="17">
        <v>8775</v>
      </c>
      <c r="H13" s="17">
        <v>4263</v>
      </c>
      <c r="I13" s="17">
        <v>56178</v>
      </c>
      <c r="J13" s="95">
        <f t="shared" si="0"/>
        <v>153882</v>
      </c>
    </row>
    <row r="14" spans="1:10" x14ac:dyDescent="0.2">
      <c r="A14" s="97"/>
      <c r="B14" s="97"/>
      <c r="C14" s="97"/>
      <c r="D14" s="97"/>
      <c r="E14" s="97"/>
      <c r="F14" s="97"/>
      <c r="G14" s="97"/>
      <c r="H14" s="97"/>
      <c r="I14" s="97"/>
      <c r="J14" s="97"/>
    </row>
    <row r="16" spans="1:10" x14ac:dyDescent="0.2">
      <c r="A16" s="257" t="s">
        <v>109</v>
      </c>
      <c r="B16" s="257"/>
      <c r="C16" s="257"/>
      <c r="D16" s="257"/>
      <c r="E16" s="257"/>
      <c r="F16" s="257"/>
      <c r="G16" s="257"/>
      <c r="H16" s="257"/>
      <c r="I16" s="257"/>
      <c r="J16" s="257"/>
    </row>
    <row r="17" spans="1:10" x14ac:dyDescent="0.2">
      <c r="A17" s="258"/>
      <c r="B17" s="258"/>
      <c r="C17" s="258"/>
      <c r="D17" s="258"/>
      <c r="E17" s="258"/>
      <c r="F17" s="258"/>
      <c r="G17" s="258"/>
      <c r="H17" s="258"/>
      <c r="I17" s="258"/>
      <c r="J17" s="258"/>
    </row>
  </sheetData>
  <mergeCells count="7">
    <mergeCell ref="A17:J17"/>
    <mergeCell ref="A1:J1"/>
    <mergeCell ref="A3:A4"/>
    <mergeCell ref="B3:D3"/>
    <mergeCell ref="G3:I3"/>
    <mergeCell ref="J3:J4"/>
    <mergeCell ref="A16:J16"/>
  </mergeCell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sheetPr>
  <dimension ref="A1:I22"/>
  <sheetViews>
    <sheetView showGridLines="0" topLeftCell="A3" zoomScale="92" zoomScaleNormal="130" workbookViewId="0">
      <selection activeCell="I4" sqref="I4:I18"/>
    </sheetView>
  </sheetViews>
  <sheetFormatPr baseColWidth="10" defaultColWidth="9.6640625" defaultRowHeight="15" x14ac:dyDescent="0.2"/>
  <cols>
    <col min="1" max="1" width="30.6640625" style="2" bestFit="1" customWidth="1"/>
    <col min="2" max="2" width="6.33203125" style="2" bestFit="1" customWidth="1"/>
    <col min="3" max="3" width="8.83203125" style="2" bestFit="1" customWidth="1"/>
    <col min="4" max="4" width="7.6640625" style="2" bestFit="1" customWidth="1"/>
    <col min="5" max="5" width="13.6640625" style="2" customWidth="1"/>
    <col min="6" max="6" width="28.5" style="2" customWidth="1"/>
    <col min="7" max="7" width="36.5" style="2" customWidth="1"/>
    <col min="8" max="8" width="4.83203125" style="2" bestFit="1" customWidth="1"/>
    <col min="9" max="9" width="7.6640625" style="2" bestFit="1" customWidth="1"/>
    <col min="10" max="16384" width="9.6640625" style="2"/>
  </cols>
  <sheetData>
    <row r="1" spans="1:9" ht="16" x14ac:dyDescent="0.2">
      <c r="A1" s="1" t="s">
        <v>269</v>
      </c>
      <c r="B1" s="1"/>
      <c r="C1" s="1"/>
      <c r="D1" s="1"/>
      <c r="E1" s="1"/>
      <c r="F1" s="1"/>
      <c r="G1" s="1"/>
      <c r="H1" s="1"/>
      <c r="I1" s="1"/>
    </row>
    <row r="2" spans="1:9" ht="16" x14ac:dyDescent="0.2">
      <c r="A2" s="1"/>
      <c r="B2" s="1"/>
      <c r="C2" s="1"/>
      <c r="D2" s="1"/>
      <c r="E2" s="1"/>
      <c r="F2" s="1"/>
      <c r="G2" s="1"/>
      <c r="H2" s="1"/>
      <c r="I2" s="1"/>
    </row>
    <row r="3" spans="1:9" x14ac:dyDescent="0.2">
      <c r="A3" s="13" t="s">
        <v>270</v>
      </c>
      <c r="B3" s="13" t="s">
        <v>239</v>
      </c>
      <c r="C3" s="13" t="s">
        <v>240</v>
      </c>
      <c r="D3" s="13" t="s">
        <v>241</v>
      </c>
      <c r="E3" s="13" t="s">
        <v>243</v>
      </c>
      <c r="F3" s="13" t="s">
        <v>244</v>
      </c>
      <c r="G3" s="13" t="s">
        <v>245</v>
      </c>
      <c r="H3" s="13" t="s">
        <v>242</v>
      </c>
      <c r="I3" s="98" t="s">
        <v>33</v>
      </c>
    </row>
    <row r="4" spans="1:9" ht="16" x14ac:dyDescent="0.2">
      <c r="A4" s="2" t="s">
        <v>271</v>
      </c>
      <c r="B4" s="84">
        <v>17</v>
      </c>
      <c r="C4" s="84">
        <v>13</v>
      </c>
      <c r="D4" s="84">
        <v>5</v>
      </c>
      <c r="E4" s="84">
        <v>29</v>
      </c>
      <c r="F4" s="84">
        <v>2</v>
      </c>
      <c r="G4" s="84">
        <v>53</v>
      </c>
      <c r="H4" s="84">
        <v>0</v>
      </c>
      <c r="I4" s="100">
        <f>SUM(B4:H4)</f>
        <v>119</v>
      </c>
    </row>
    <row r="5" spans="1:9" ht="16" x14ac:dyDescent="0.2">
      <c r="A5" s="2" t="s">
        <v>272</v>
      </c>
      <c r="B5" s="84">
        <v>0</v>
      </c>
      <c r="C5" s="84">
        <v>0</v>
      </c>
      <c r="D5" s="84">
        <v>0</v>
      </c>
      <c r="E5" s="84">
        <v>0</v>
      </c>
      <c r="F5" s="84">
        <v>0</v>
      </c>
      <c r="G5" s="84">
        <v>1</v>
      </c>
      <c r="H5" s="84">
        <v>2</v>
      </c>
      <c r="I5" s="100">
        <f t="shared" ref="I5:I18" si="0">SUM(B5:H5)</f>
        <v>3</v>
      </c>
    </row>
    <row r="6" spans="1:9" ht="16" x14ac:dyDescent="0.2">
      <c r="A6" s="2" t="s">
        <v>273</v>
      </c>
      <c r="B6" s="84">
        <v>11</v>
      </c>
      <c r="C6" s="84">
        <v>2</v>
      </c>
      <c r="D6" s="84">
        <v>1</v>
      </c>
      <c r="E6" s="84">
        <v>0</v>
      </c>
      <c r="F6" s="84">
        <v>2</v>
      </c>
      <c r="G6" s="84">
        <v>12</v>
      </c>
      <c r="H6" s="84">
        <v>0</v>
      </c>
      <c r="I6" s="100">
        <f t="shared" si="0"/>
        <v>28</v>
      </c>
    </row>
    <row r="7" spans="1:9" ht="16" x14ac:dyDescent="0.2">
      <c r="A7" s="2" t="s">
        <v>274</v>
      </c>
      <c r="B7" s="84">
        <v>0</v>
      </c>
      <c r="C7" s="84">
        <v>0</v>
      </c>
      <c r="D7" s="84">
        <v>0</v>
      </c>
      <c r="E7" s="84">
        <v>1</v>
      </c>
      <c r="F7" s="84">
        <v>0</v>
      </c>
      <c r="G7" s="84">
        <v>0</v>
      </c>
      <c r="H7" s="84">
        <v>0</v>
      </c>
      <c r="I7" s="100">
        <f t="shared" si="0"/>
        <v>1</v>
      </c>
    </row>
    <row r="8" spans="1:9" ht="16" x14ac:dyDescent="0.2">
      <c r="A8" s="2" t="s">
        <v>275</v>
      </c>
      <c r="B8" s="84">
        <v>200</v>
      </c>
      <c r="C8" s="84">
        <v>48</v>
      </c>
      <c r="D8" s="84">
        <v>24</v>
      </c>
      <c r="E8" s="84">
        <v>0</v>
      </c>
      <c r="F8" s="84">
        <v>61</v>
      </c>
      <c r="G8" s="84">
        <v>420</v>
      </c>
      <c r="H8" s="84">
        <v>0</v>
      </c>
      <c r="I8" s="100">
        <f t="shared" si="0"/>
        <v>753</v>
      </c>
    </row>
    <row r="9" spans="1:9" ht="16" x14ac:dyDescent="0.2">
      <c r="A9" s="2" t="s">
        <v>276</v>
      </c>
      <c r="B9" s="84">
        <v>136</v>
      </c>
      <c r="C9" s="84">
        <v>63</v>
      </c>
      <c r="D9" s="84">
        <v>17</v>
      </c>
      <c r="E9" s="84">
        <v>0</v>
      </c>
      <c r="F9" s="84">
        <v>63</v>
      </c>
      <c r="G9" s="84">
        <v>269</v>
      </c>
      <c r="H9" s="84">
        <v>0</v>
      </c>
      <c r="I9" s="100">
        <f t="shared" si="0"/>
        <v>548</v>
      </c>
    </row>
    <row r="10" spans="1:9" ht="16" x14ac:dyDescent="0.2">
      <c r="A10" s="2" t="s">
        <v>277</v>
      </c>
      <c r="B10" s="84">
        <v>157</v>
      </c>
      <c r="C10" s="84">
        <v>60</v>
      </c>
      <c r="D10" s="84">
        <v>96</v>
      </c>
      <c r="E10" s="84">
        <v>16</v>
      </c>
      <c r="F10" s="84">
        <v>58</v>
      </c>
      <c r="G10" s="84">
        <v>415</v>
      </c>
      <c r="H10" s="84">
        <v>18</v>
      </c>
      <c r="I10" s="100">
        <f t="shared" si="0"/>
        <v>820</v>
      </c>
    </row>
    <row r="11" spans="1:9" ht="16" x14ac:dyDescent="0.2">
      <c r="A11" s="2" t="s">
        <v>278</v>
      </c>
      <c r="B11" s="84">
        <v>12</v>
      </c>
      <c r="C11" s="84">
        <v>8</v>
      </c>
      <c r="D11" s="84">
        <v>2</v>
      </c>
      <c r="E11" s="84">
        <v>2</v>
      </c>
      <c r="F11" s="84">
        <v>2</v>
      </c>
      <c r="G11" s="84">
        <v>100</v>
      </c>
      <c r="H11" s="84">
        <v>0</v>
      </c>
      <c r="I11" s="100">
        <f t="shared" si="0"/>
        <v>126</v>
      </c>
    </row>
    <row r="12" spans="1:9" ht="16" x14ac:dyDescent="0.2">
      <c r="A12" s="2" t="s">
        <v>279</v>
      </c>
      <c r="B12" s="84">
        <v>7</v>
      </c>
      <c r="C12" s="84">
        <v>3</v>
      </c>
      <c r="D12" s="84">
        <v>1</v>
      </c>
      <c r="E12" s="84">
        <v>0</v>
      </c>
      <c r="F12" s="84">
        <v>2</v>
      </c>
      <c r="G12" s="84">
        <v>13</v>
      </c>
      <c r="H12" s="84">
        <v>1</v>
      </c>
      <c r="I12" s="100">
        <f t="shared" si="0"/>
        <v>27</v>
      </c>
    </row>
    <row r="13" spans="1:9" ht="16" x14ac:dyDescent="0.2">
      <c r="A13" s="2" t="s">
        <v>280</v>
      </c>
      <c r="B13" s="84">
        <v>10</v>
      </c>
      <c r="C13" s="84">
        <v>4</v>
      </c>
      <c r="D13" s="84">
        <v>2</v>
      </c>
      <c r="E13" s="84">
        <v>0</v>
      </c>
      <c r="F13" s="84">
        <v>3</v>
      </c>
      <c r="G13" s="84">
        <v>23</v>
      </c>
      <c r="H13" s="84">
        <v>0</v>
      </c>
      <c r="I13" s="100">
        <f t="shared" si="0"/>
        <v>42</v>
      </c>
    </row>
    <row r="14" spans="1:9" ht="16" x14ac:dyDescent="0.2">
      <c r="A14" s="2" t="s">
        <v>281</v>
      </c>
      <c r="B14" s="84">
        <v>6</v>
      </c>
      <c r="C14" s="84">
        <v>3</v>
      </c>
      <c r="D14" s="84">
        <v>1</v>
      </c>
      <c r="E14" s="84">
        <v>1</v>
      </c>
      <c r="F14" s="84">
        <v>2</v>
      </c>
      <c r="G14" s="84">
        <v>17</v>
      </c>
      <c r="H14" s="84">
        <v>0</v>
      </c>
      <c r="I14" s="100">
        <f t="shared" si="0"/>
        <v>30</v>
      </c>
    </row>
    <row r="15" spans="1:9" ht="16" x14ac:dyDescent="0.2">
      <c r="A15" s="2" t="s">
        <v>282</v>
      </c>
      <c r="B15" s="84">
        <v>9</v>
      </c>
      <c r="C15" s="84">
        <v>3</v>
      </c>
      <c r="D15" s="84">
        <v>2</v>
      </c>
      <c r="E15" s="84">
        <v>0</v>
      </c>
      <c r="F15" s="84">
        <v>2</v>
      </c>
      <c r="G15" s="84">
        <v>13</v>
      </c>
      <c r="H15" s="84">
        <v>0</v>
      </c>
      <c r="I15" s="100">
        <f t="shared" si="0"/>
        <v>29</v>
      </c>
    </row>
    <row r="16" spans="1:9" ht="16" x14ac:dyDescent="0.2">
      <c r="A16" s="2" t="s">
        <v>283</v>
      </c>
      <c r="B16" s="84">
        <v>3</v>
      </c>
      <c r="C16" s="84">
        <v>1</v>
      </c>
      <c r="D16" s="84">
        <v>1</v>
      </c>
      <c r="E16" s="84">
        <v>0</v>
      </c>
      <c r="F16" s="84">
        <v>2</v>
      </c>
      <c r="G16" s="84">
        <v>12</v>
      </c>
      <c r="H16" s="84">
        <v>0</v>
      </c>
      <c r="I16" s="100">
        <f t="shared" si="0"/>
        <v>19</v>
      </c>
    </row>
    <row r="17" spans="1:9" ht="16" x14ac:dyDescent="0.2">
      <c r="A17" s="2" t="s">
        <v>284</v>
      </c>
      <c r="B17" s="84">
        <v>2</v>
      </c>
      <c r="C17" s="84">
        <v>0</v>
      </c>
      <c r="D17" s="84">
        <v>1</v>
      </c>
      <c r="E17" s="84">
        <v>0</v>
      </c>
      <c r="F17" s="84">
        <v>0</v>
      </c>
      <c r="G17" s="84">
        <v>3</v>
      </c>
      <c r="H17" s="84">
        <v>0</v>
      </c>
      <c r="I17" s="100">
        <f t="shared" si="0"/>
        <v>6</v>
      </c>
    </row>
    <row r="18" spans="1:9" ht="16" x14ac:dyDescent="0.2">
      <c r="A18" s="2" t="s">
        <v>285</v>
      </c>
      <c r="B18" s="84">
        <v>14</v>
      </c>
      <c r="C18" s="84">
        <v>11</v>
      </c>
      <c r="D18" s="84">
        <v>2</v>
      </c>
      <c r="E18" s="84">
        <v>14</v>
      </c>
      <c r="F18" s="84">
        <v>45</v>
      </c>
      <c r="G18" s="84">
        <v>131</v>
      </c>
      <c r="H18" s="84">
        <v>2</v>
      </c>
      <c r="I18" s="100">
        <f t="shared" si="0"/>
        <v>219</v>
      </c>
    </row>
    <row r="19" spans="1:9" x14ac:dyDescent="0.2">
      <c r="A19" s="20"/>
      <c r="B19" s="20"/>
      <c r="C19" s="20"/>
      <c r="D19" s="20"/>
      <c r="E19" s="20"/>
      <c r="F19" s="20"/>
      <c r="G19" s="20"/>
      <c r="H19" s="20"/>
      <c r="I19" s="20"/>
    </row>
    <row r="21" spans="1:9" x14ac:dyDescent="0.2">
      <c r="A21" s="257" t="s">
        <v>109</v>
      </c>
      <c r="B21" s="257"/>
      <c r="C21" s="257"/>
      <c r="D21" s="257"/>
      <c r="E21" s="257"/>
      <c r="F21" s="257"/>
      <c r="G21" s="257"/>
      <c r="H21" s="257"/>
      <c r="I21" s="257"/>
    </row>
    <row r="22" spans="1:9" x14ac:dyDescent="0.2">
      <c r="A22" s="258"/>
      <c r="B22" s="258"/>
      <c r="C22" s="258"/>
      <c r="D22" s="258"/>
      <c r="E22" s="258"/>
      <c r="F22" s="258"/>
      <c r="G22" s="258"/>
      <c r="H22" s="258"/>
      <c r="I22" s="258"/>
    </row>
  </sheetData>
  <mergeCells count="2">
    <mergeCell ref="A21:I21"/>
    <mergeCell ref="A22:I22"/>
  </mergeCell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I37"/>
  <sheetViews>
    <sheetView showGridLines="0" topLeftCell="B5" zoomScale="110" zoomScaleNormal="110" workbookViewId="0">
      <selection activeCell="B25" sqref="B25:B37"/>
    </sheetView>
  </sheetViews>
  <sheetFormatPr baseColWidth="10" defaultColWidth="9.6640625" defaultRowHeight="15" x14ac:dyDescent="0.2"/>
  <cols>
    <col min="1" max="1" width="15.1640625" style="2" bestFit="1" customWidth="1"/>
    <col min="2" max="2" width="16.5" style="2" customWidth="1"/>
    <col min="3" max="3" width="31.1640625" style="2" customWidth="1"/>
    <col min="4" max="4" width="4.1640625" style="2" customWidth="1"/>
    <col min="5" max="5" width="26.83203125" style="2" bestFit="1" customWidth="1"/>
    <col min="6" max="6" width="25.6640625" style="2" customWidth="1"/>
    <col min="7" max="7" width="5.83203125" style="2" customWidth="1"/>
    <col min="8" max="8" width="15.1640625" style="2" customWidth="1"/>
    <col min="9" max="9" width="24.5" style="2" bestFit="1" customWidth="1"/>
    <col min="10" max="16384" width="9.6640625" style="2"/>
  </cols>
  <sheetData>
    <row r="1" spans="1:9" ht="16" x14ac:dyDescent="0.2">
      <c r="A1" s="259" t="s">
        <v>286</v>
      </c>
      <c r="B1" s="259"/>
      <c r="C1" s="259"/>
      <c r="D1" s="259"/>
      <c r="E1" s="259"/>
      <c r="F1" s="259"/>
      <c r="G1" s="259"/>
      <c r="H1" s="259"/>
      <c r="I1" s="259"/>
    </row>
    <row r="2" spans="1:9" ht="16" x14ac:dyDescent="0.2">
      <c r="A2" s="1"/>
      <c r="B2" s="1"/>
      <c r="C2" s="1"/>
      <c r="D2" s="1"/>
      <c r="E2" s="1"/>
      <c r="F2" s="1"/>
      <c r="G2" s="1"/>
      <c r="H2" s="1"/>
      <c r="I2" s="1"/>
    </row>
    <row r="3" spans="1:9" ht="16" x14ac:dyDescent="0.2">
      <c r="A3" s="254" t="s">
        <v>64</v>
      </c>
      <c r="B3" s="268" t="s">
        <v>287</v>
      </c>
      <c r="C3" s="268"/>
      <c r="D3" s="99"/>
      <c r="E3" s="268" t="s">
        <v>244</v>
      </c>
      <c r="F3" s="268"/>
      <c r="G3" s="99"/>
      <c r="H3" s="268" t="s">
        <v>288</v>
      </c>
      <c r="I3" s="268"/>
    </row>
    <row r="4" spans="1:9" x14ac:dyDescent="0.2">
      <c r="A4" s="255"/>
      <c r="B4" s="3" t="s">
        <v>289</v>
      </c>
      <c r="C4" s="3" t="s">
        <v>290</v>
      </c>
      <c r="D4" s="3"/>
      <c r="E4" s="3" t="s">
        <v>291</v>
      </c>
      <c r="F4" s="3" t="s">
        <v>290</v>
      </c>
      <c r="G4" s="3"/>
      <c r="H4" s="3" t="s">
        <v>292</v>
      </c>
      <c r="I4" s="3" t="s">
        <v>290</v>
      </c>
    </row>
    <row r="5" spans="1:9" ht="16" x14ac:dyDescent="0.2">
      <c r="A5" s="11" t="s">
        <v>71</v>
      </c>
      <c r="B5" s="2">
        <v>64</v>
      </c>
      <c r="C5" s="2">
        <v>55</v>
      </c>
      <c r="E5" s="2">
        <v>2</v>
      </c>
      <c r="F5" s="2">
        <v>2</v>
      </c>
      <c r="H5" s="2">
        <f>B5+E5</f>
        <v>66</v>
      </c>
      <c r="I5" s="2">
        <f>C5+F5</f>
        <v>57</v>
      </c>
    </row>
    <row r="6" spans="1:9" ht="16" x14ac:dyDescent="0.2">
      <c r="A6" s="11" t="s">
        <v>72</v>
      </c>
      <c r="B6" s="2">
        <v>1</v>
      </c>
      <c r="C6" s="2">
        <v>1</v>
      </c>
      <c r="E6" s="2">
        <v>7</v>
      </c>
      <c r="F6" s="2">
        <v>6</v>
      </c>
      <c r="H6" s="2">
        <f t="shared" ref="H6:I17" si="0">B6+E6</f>
        <v>8</v>
      </c>
      <c r="I6" s="2">
        <f t="shared" si="0"/>
        <v>7</v>
      </c>
    </row>
    <row r="7" spans="1:9" ht="16" x14ac:dyDescent="0.2">
      <c r="A7" s="11" t="s">
        <v>73</v>
      </c>
      <c r="B7" s="2">
        <v>22</v>
      </c>
      <c r="C7" s="2">
        <v>15</v>
      </c>
      <c r="E7" s="2">
        <v>0</v>
      </c>
      <c r="F7" s="2">
        <v>0</v>
      </c>
      <c r="H7" s="2">
        <f t="shared" si="0"/>
        <v>22</v>
      </c>
      <c r="I7" s="2">
        <f t="shared" si="0"/>
        <v>15</v>
      </c>
    </row>
    <row r="8" spans="1:9" ht="16" x14ac:dyDescent="0.2">
      <c r="A8" s="11" t="s">
        <v>74</v>
      </c>
      <c r="B8" s="2">
        <v>117</v>
      </c>
      <c r="C8" s="2">
        <v>96</v>
      </c>
      <c r="E8" s="2">
        <v>44</v>
      </c>
      <c r="F8" s="2">
        <v>27</v>
      </c>
      <c r="H8" s="2">
        <f t="shared" si="0"/>
        <v>161</v>
      </c>
      <c r="I8" s="2">
        <f t="shared" si="0"/>
        <v>123</v>
      </c>
    </row>
    <row r="9" spans="1:9" ht="16" x14ac:dyDescent="0.2">
      <c r="A9" s="11" t="s">
        <v>75</v>
      </c>
      <c r="B9" s="2">
        <v>39</v>
      </c>
      <c r="C9" s="2">
        <v>37</v>
      </c>
      <c r="E9" s="2">
        <v>0</v>
      </c>
      <c r="F9" s="2">
        <v>0</v>
      </c>
      <c r="H9" s="2">
        <f t="shared" si="0"/>
        <v>39</v>
      </c>
      <c r="I9" s="2">
        <f t="shared" si="0"/>
        <v>37</v>
      </c>
    </row>
    <row r="10" spans="1:9" ht="16" x14ac:dyDescent="0.2">
      <c r="A10" s="11" t="s">
        <v>76</v>
      </c>
      <c r="B10" s="2">
        <v>26</v>
      </c>
      <c r="C10" s="2">
        <v>17</v>
      </c>
      <c r="E10" s="2">
        <v>0</v>
      </c>
      <c r="F10" s="2">
        <v>0</v>
      </c>
      <c r="H10" s="2">
        <f t="shared" si="0"/>
        <v>26</v>
      </c>
      <c r="I10" s="2">
        <f t="shared" si="0"/>
        <v>17</v>
      </c>
    </row>
    <row r="11" spans="1:9" ht="16" x14ac:dyDescent="0.2">
      <c r="A11" s="11" t="s">
        <v>77</v>
      </c>
      <c r="B11" s="2">
        <v>1</v>
      </c>
      <c r="C11" s="2">
        <v>1</v>
      </c>
      <c r="E11" s="2">
        <v>0</v>
      </c>
      <c r="F11" s="2">
        <v>0</v>
      </c>
      <c r="H11" s="2">
        <f t="shared" si="0"/>
        <v>1</v>
      </c>
      <c r="I11" s="2">
        <f t="shared" si="0"/>
        <v>1</v>
      </c>
    </row>
    <row r="12" spans="1:9" ht="16" x14ac:dyDescent="0.2">
      <c r="A12" s="11" t="s">
        <v>78</v>
      </c>
      <c r="B12" s="2">
        <v>25</v>
      </c>
      <c r="C12" s="2">
        <v>22</v>
      </c>
      <c r="E12" s="2">
        <v>0</v>
      </c>
      <c r="F12" s="2">
        <v>0</v>
      </c>
      <c r="H12" s="2">
        <f t="shared" si="0"/>
        <v>25</v>
      </c>
      <c r="I12" s="2">
        <f t="shared" si="0"/>
        <v>22</v>
      </c>
    </row>
    <row r="13" spans="1:9" ht="16" x14ac:dyDescent="0.2">
      <c r="A13" s="11" t="s">
        <v>79</v>
      </c>
      <c r="B13" s="2">
        <v>4</v>
      </c>
      <c r="C13" s="2">
        <v>4</v>
      </c>
      <c r="E13" s="2">
        <v>0</v>
      </c>
      <c r="F13" s="2">
        <v>0</v>
      </c>
      <c r="H13" s="2">
        <f t="shared" si="0"/>
        <v>4</v>
      </c>
      <c r="I13" s="2">
        <f t="shared" si="0"/>
        <v>4</v>
      </c>
    </row>
    <row r="14" spans="1:9" ht="16" x14ac:dyDescent="0.2">
      <c r="A14" s="11" t="s">
        <v>80</v>
      </c>
      <c r="B14" s="2">
        <v>38</v>
      </c>
      <c r="C14" s="2">
        <v>27</v>
      </c>
      <c r="E14" s="2">
        <v>4</v>
      </c>
      <c r="F14" s="2">
        <v>3</v>
      </c>
      <c r="H14" s="2">
        <f t="shared" si="0"/>
        <v>42</v>
      </c>
      <c r="I14" s="2">
        <f t="shared" si="0"/>
        <v>30</v>
      </c>
    </row>
    <row r="15" spans="1:9" ht="16" x14ac:dyDescent="0.2">
      <c r="A15" s="11" t="s">
        <v>81</v>
      </c>
      <c r="B15" s="2">
        <v>23</v>
      </c>
      <c r="C15" s="2">
        <v>22</v>
      </c>
      <c r="E15" s="2">
        <v>0</v>
      </c>
      <c r="F15" s="2">
        <v>0</v>
      </c>
      <c r="H15" s="2">
        <f t="shared" si="0"/>
        <v>23</v>
      </c>
      <c r="I15" s="2">
        <f t="shared" si="0"/>
        <v>22</v>
      </c>
    </row>
    <row r="16" spans="1:9" ht="16" x14ac:dyDescent="0.2">
      <c r="A16" s="11" t="s">
        <v>82</v>
      </c>
      <c r="B16" s="2">
        <v>2</v>
      </c>
      <c r="C16" s="2">
        <v>2</v>
      </c>
      <c r="E16" s="2">
        <v>0</v>
      </c>
      <c r="F16" s="2">
        <v>0</v>
      </c>
      <c r="H16" s="2">
        <f t="shared" si="0"/>
        <v>2</v>
      </c>
      <c r="I16" s="2">
        <f t="shared" si="0"/>
        <v>2</v>
      </c>
    </row>
    <row r="17" spans="1:9" ht="16" x14ac:dyDescent="0.2">
      <c r="A17" s="11" t="s">
        <v>83</v>
      </c>
      <c r="B17" s="2">
        <v>3</v>
      </c>
      <c r="C17" s="2">
        <v>3</v>
      </c>
      <c r="E17" s="2">
        <v>0</v>
      </c>
      <c r="F17" s="2">
        <v>0</v>
      </c>
      <c r="H17" s="2">
        <f t="shared" si="0"/>
        <v>3</v>
      </c>
      <c r="I17" s="2">
        <f t="shared" si="0"/>
        <v>3</v>
      </c>
    </row>
    <row r="18" spans="1:9" ht="16" x14ac:dyDescent="0.2">
      <c r="A18" s="34" t="s">
        <v>84</v>
      </c>
      <c r="B18" s="91">
        <f>SUM(B5:B17)</f>
        <v>365</v>
      </c>
      <c r="C18" s="91">
        <f t="shared" ref="C18:I18" si="1">SUM(C5:C17)</f>
        <v>302</v>
      </c>
      <c r="D18" s="91">
        <f t="shared" si="1"/>
        <v>0</v>
      </c>
      <c r="E18" s="91">
        <f t="shared" si="1"/>
        <v>57</v>
      </c>
      <c r="F18" s="91">
        <f t="shared" si="1"/>
        <v>38</v>
      </c>
      <c r="G18" s="91"/>
      <c r="H18" s="91">
        <f t="shared" si="1"/>
        <v>422</v>
      </c>
      <c r="I18" s="91">
        <f t="shared" si="1"/>
        <v>340</v>
      </c>
    </row>
    <row r="19" spans="1:9" x14ac:dyDescent="0.2">
      <c r="A19" s="4"/>
      <c r="B19" s="100"/>
      <c r="C19" s="100"/>
      <c r="D19" s="100"/>
      <c r="E19" s="100"/>
      <c r="F19" s="100"/>
      <c r="G19" s="100"/>
      <c r="H19" s="100"/>
      <c r="I19" s="100"/>
    </row>
    <row r="20" spans="1:9" x14ac:dyDescent="0.2">
      <c r="A20" s="101" t="s">
        <v>293</v>
      </c>
    </row>
    <row r="21" spans="1:9" x14ac:dyDescent="0.2">
      <c r="A21" s="101" t="s">
        <v>294</v>
      </c>
    </row>
    <row r="22" spans="1:9" x14ac:dyDescent="0.2">
      <c r="A22" s="8" t="s">
        <v>55</v>
      </c>
      <c r="B22" s="8"/>
      <c r="C22" s="8"/>
      <c r="D22" s="8"/>
      <c r="E22" s="8"/>
      <c r="F22" s="8"/>
      <c r="G22" s="8"/>
      <c r="H22" s="8"/>
      <c r="I22" s="8"/>
    </row>
    <row r="25" spans="1:9" x14ac:dyDescent="0.2">
      <c r="B25" s="11"/>
    </row>
    <row r="26" spans="1:9" x14ac:dyDescent="0.2">
      <c r="B26" s="11"/>
    </row>
    <row r="27" spans="1:9" x14ac:dyDescent="0.2">
      <c r="B27" s="11"/>
    </row>
    <row r="28" spans="1:9" x14ac:dyDescent="0.2">
      <c r="B28" s="11"/>
    </row>
    <row r="29" spans="1:9" x14ac:dyDescent="0.2">
      <c r="B29" s="11"/>
    </row>
    <row r="30" spans="1:9" x14ac:dyDescent="0.2">
      <c r="B30" s="11"/>
    </row>
    <row r="31" spans="1:9" x14ac:dyDescent="0.2">
      <c r="B31" s="11"/>
    </row>
    <row r="32" spans="1:9" x14ac:dyDescent="0.2">
      <c r="B32" s="11"/>
    </row>
    <row r="33" spans="2:2" x14ac:dyDescent="0.2">
      <c r="B33" s="11"/>
    </row>
    <row r="34" spans="2:2" x14ac:dyDescent="0.2">
      <c r="B34" s="11"/>
    </row>
    <row r="35" spans="2:2" x14ac:dyDescent="0.2">
      <c r="B35" s="11"/>
    </row>
    <row r="36" spans="2:2" x14ac:dyDescent="0.2">
      <c r="B36" s="11"/>
    </row>
    <row r="37" spans="2:2" x14ac:dyDescent="0.2">
      <c r="B37" s="11"/>
    </row>
  </sheetData>
  <mergeCells count="5">
    <mergeCell ref="A1:I1"/>
    <mergeCell ref="A3:A4"/>
    <mergeCell ref="B3:C3"/>
    <mergeCell ref="E3:F3"/>
    <mergeCell ref="H3:I3"/>
  </mergeCells>
  <pageMargins left="0.7" right="0.7" top="0.75" bottom="0.75" header="0.3" footer="0.3"/>
  <pageSetup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sheetPr>
  <dimension ref="A1:G33"/>
  <sheetViews>
    <sheetView showGridLines="0" topLeftCell="A4" zoomScale="118" zoomScaleNormal="118" workbookViewId="0">
      <selection activeCell="C21" sqref="C21:C33"/>
    </sheetView>
  </sheetViews>
  <sheetFormatPr baseColWidth="10" defaultColWidth="9.6640625" defaultRowHeight="15" x14ac:dyDescent="0.2"/>
  <cols>
    <col min="1" max="1" width="15.1640625" style="2" bestFit="1" customWidth="1"/>
    <col min="2" max="2" width="6.83203125" style="2" customWidth="1"/>
    <col min="3" max="4" width="21.83203125" style="2" customWidth="1"/>
    <col min="5" max="5" width="23.83203125" style="2" customWidth="1"/>
    <col min="6" max="6" width="32.1640625" style="2" bestFit="1" customWidth="1"/>
    <col min="7" max="7" width="28.1640625" style="2" bestFit="1" customWidth="1"/>
    <col min="8" max="16384" width="9.6640625" style="2"/>
  </cols>
  <sheetData>
    <row r="1" spans="1:7" ht="16" x14ac:dyDescent="0.2">
      <c r="A1" s="1" t="s">
        <v>295</v>
      </c>
      <c r="B1" s="1"/>
      <c r="C1" s="1"/>
      <c r="D1" s="1"/>
      <c r="E1" s="1"/>
      <c r="F1" s="1"/>
      <c r="G1" s="1"/>
    </row>
    <row r="2" spans="1:7" ht="16" x14ac:dyDescent="0.2">
      <c r="A2" s="1"/>
      <c r="B2" s="1"/>
      <c r="C2" s="1"/>
      <c r="D2" s="1"/>
      <c r="E2" s="1"/>
      <c r="F2" s="1"/>
      <c r="G2" s="1"/>
    </row>
    <row r="3" spans="1:7" ht="16" x14ac:dyDescent="0.2">
      <c r="A3" s="254" t="s">
        <v>64</v>
      </c>
      <c r="B3" s="254" t="s">
        <v>296</v>
      </c>
      <c r="C3" s="268" t="s">
        <v>0</v>
      </c>
      <c r="D3" s="268"/>
      <c r="E3" s="268"/>
      <c r="F3" s="254" t="s">
        <v>297</v>
      </c>
      <c r="G3" s="254" t="s">
        <v>30</v>
      </c>
    </row>
    <row r="4" spans="1:7" ht="32" x14ac:dyDescent="0.2">
      <c r="A4" s="255"/>
      <c r="B4" s="255"/>
      <c r="C4" s="13" t="s">
        <v>298</v>
      </c>
      <c r="D4" s="102" t="s">
        <v>245</v>
      </c>
      <c r="E4" s="13" t="s">
        <v>299</v>
      </c>
      <c r="F4" s="255"/>
      <c r="G4" s="255"/>
    </row>
    <row r="5" spans="1:7" ht="16" x14ac:dyDescent="0.2">
      <c r="A5" s="11" t="s">
        <v>71</v>
      </c>
      <c r="B5" s="2">
        <f>SUM(C5:E5)</f>
        <v>8</v>
      </c>
      <c r="C5" s="2">
        <v>0</v>
      </c>
      <c r="D5" s="2">
        <v>8</v>
      </c>
      <c r="E5" s="2">
        <v>0</v>
      </c>
      <c r="F5" s="2">
        <v>57</v>
      </c>
      <c r="G5" s="17">
        <v>14955</v>
      </c>
    </row>
    <row r="6" spans="1:7" ht="16" x14ac:dyDescent="0.2">
      <c r="A6" s="11" t="s">
        <v>73</v>
      </c>
      <c r="B6" s="2">
        <f t="shared" ref="B6:B16" si="0">SUM(C6:E6)</f>
        <v>2</v>
      </c>
      <c r="C6" s="2">
        <v>2</v>
      </c>
      <c r="D6" s="2">
        <v>0</v>
      </c>
      <c r="E6" s="2">
        <v>0</v>
      </c>
      <c r="F6" s="2">
        <v>14</v>
      </c>
      <c r="G6" s="17">
        <v>4464</v>
      </c>
    </row>
    <row r="7" spans="1:7" ht="16" x14ac:dyDescent="0.2">
      <c r="A7" s="11" t="s">
        <v>74</v>
      </c>
      <c r="B7" s="2">
        <f t="shared" si="0"/>
        <v>11</v>
      </c>
      <c r="C7" s="2">
        <v>6</v>
      </c>
      <c r="D7" s="2">
        <v>5</v>
      </c>
      <c r="E7" s="2">
        <v>0</v>
      </c>
      <c r="F7" s="2">
        <v>115</v>
      </c>
      <c r="G7" s="17">
        <v>22408</v>
      </c>
    </row>
    <row r="8" spans="1:7" ht="16" x14ac:dyDescent="0.2">
      <c r="A8" s="11" t="s">
        <v>75</v>
      </c>
      <c r="B8" s="2">
        <f t="shared" si="0"/>
        <v>6</v>
      </c>
      <c r="C8" s="2">
        <v>2</v>
      </c>
      <c r="D8" s="2">
        <v>2</v>
      </c>
      <c r="E8" s="2">
        <v>2</v>
      </c>
      <c r="F8" s="2">
        <v>39</v>
      </c>
      <c r="G8" s="17">
        <v>8391</v>
      </c>
    </row>
    <row r="9" spans="1:7" ht="16" x14ac:dyDescent="0.2">
      <c r="A9" s="11" t="s">
        <v>76</v>
      </c>
      <c r="B9" s="2">
        <f t="shared" si="0"/>
        <v>1</v>
      </c>
      <c r="C9" s="2">
        <v>1</v>
      </c>
      <c r="D9" s="2">
        <v>0</v>
      </c>
      <c r="E9" s="2">
        <v>0</v>
      </c>
      <c r="F9" s="2">
        <v>25</v>
      </c>
      <c r="G9" s="17">
        <v>6929</v>
      </c>
    </row>
    <row r="10" spans="1:7" ht="16" x14ac:dyDescent="0.2">
      <c r="A10" s="11" t="s">
        <v>77</v>
      </c>
      <c r="B10" s="2">
        <f t="shared" si="0"/>
        <v>0</v>
      </c>
      <c r="C10" s="2">
        <v>0</v>
      </c>
      <c r="D10" s="2">
        <v>0</v>
      </c>
      <c r="E10" s="2">
        <v>0</v>
      </c>
      <c r="F10" s="2">
        <v>1</v>
      </c>
      <c r="G10" s="2">
        <v>22</v>
      </c>
    </row>
    <row r="11" spans="1:7" ht="16" x14ac:dyDescent="0.2">
      <c r="A11" s="11" t="s">
        <v>78</v>
      </c>
      <c r="B11" s="2">
        <f t="shared" si="0"/>
        <v>2</v>
      </c>
      <c r="C11" s="2">
        <v>1</v>
      </c>
      <c r="D11" s="2">
        <v>1</v>
      </c>
      <c r="E11" s="2">
        <v>0</v>
      </c>
      <c r="F11" s="2">
        <v>19</v>
      </c>
      <c r="G11" s="17">
        <v>6339</v>
      </c>
    </row>
    <row r="12" spans="1:7" ht="16" x14ac:dyDescent="0.2">
      <c r="A12" s="11" t="s">
        <v>79</v>
      </c>
      <c r="B12" s="2">
        <f t="shared" si="0"/>
        <v>3</v>
      </c>
      <c r="C12" s="2">
        <v>1</v>
      </c>
      <c r="D12" s="2">
        <v>0</v>
      </c>
      <c r="E12" s="2">
        <v>2</v>
      </c>
      <c r="F12" s="2">
        <v>8</v>
      </c>
      <c r="G12" s="17">
        <v>3989</v>
      </c>
    </row>
    <row r="13" spans="1:7" ht="16" x14ac:dyDescent="0.2">
      <c r="A13" s="11" t="s">
        <v>80</v>
      </c>
      <c r="B13" s="2">
        <f t="shared" si="0"/>
        <v>5</v>
      </c>
      <c r="C13" s="2">
        <v>0</v>
      </c>
      <c r="D13" s="2">
        <v>5</v>
      </c>
      <c r="E13" s="2">
        <v>0</v>
      </c>
      <c r="F13" s="2">
        <v>32</v>
      </c>
      <c r="G13" s="17">
        <v>14462</v>
      </c>
    </row>
    <row r="14" spans="1:7" ht="16" x14ac:dyDescent="0.2">
      <c r="A14" s="11" t="s">
        <v>81</v>
      </c>
      <c r="B14" s="2">
        <f t="shared" si="0"/>
        <v>3</v>
      </c>
      <c r="C14" s="2">
        <v>0</v>
      </c>
      <c r="D14" s="2">
        <v>3</v>
      </c>
      <c r="E14" s="2">
        <v>0</v>
      </c>
      <c r="F14" s="2">
        <v>22</v>
      </c>
      <c r="G14" s="17">
        <v>2133</v>
      </c>
    </row>
    <row r="15" spans="1:7" ht="16" x14ac:dyDescent="0.2">
      <c r="A15" s="11" t="s">
        <v>82</v>
      </c>
      <c r="B15" s="2">
        <f t="shared" si="0"/>
        <v>0</v>
      </c>
      <c r="C15" s="2">
        <v>0</v>
      </c>
      <c r="D15" s="2">
        <v>0</v>
      </c>
      <c r="E15" s="2">
        <v>0</v>
      </c>
      <c r="F15" s="2">
        <v>1</v>
      </c>
      <c r="G15" s="2">
        <v>59</v>
      </c>
    </row>
    <row r="16" spans="1:7" ht="16" x14ac:dyDescent="0.2">
      <c r="A16" s="11" t="s">
        <v>83</v>
      </c>
      <c r="B16" s="2">
        <f t="shared" si="0"/>
        <v>0</v>
      </c>
      <c r="C16" s="2">
        <v>0</v>
      </c>
      <c r="D16" s="2">
        <v>0</v>
      </c>
      <c r="E16" s="2">
        <v>0</v>
      </c>
      <c r="F16" s="2">
        <v>4</v>
      </c>
      <c r="G16" s="2">
        <v>555</v>
      </c>
    </row>
    <row r="17" spans="1:7" ht="16" x14ac:dyDescent="0.2">
      <c r="A17" s="34" t="s">
        <v>84</v>
      </c>
      <c r="B17" s="90">
        <f>SUM(B5:B16)</f>
        <v>41</v>
      </c>
      <c r="C17" s="90">
        <f t="shared" ref="C17:G17" si="1">SUM(C5:C16)</f>
        <v>13</v>
      </c>
      <c r="D17" s="90">
        <f t="shared" si="1"/>
        <v>24</v>
      </c>
      <c r="E17" s="90">
        <f t="shared" si="1"/>
        <v>4</v>
      </c>
      <c r="F17" s="90">
        <f t="shared" si="1"/>
        <v>337</v>
      </c>
      <c r="G17" s="90">
        <f t="shared" si="1"/>
        <v>84706</v>
      </c>
    </row>
    <row r="18" spans="1:7" x14ac:dyDescent="0.2">
      <c r="A18" s="4"/>
    </row>
    <row r="19" spans="1:7" x14ac:dyDescent="0.2">
      <c r="A19" s="8" t="s">
        <v>55</v>
      </c>
      <c r="B19" s="8"/>
      <c r="C19" s="8"/>
      <c r="D19" s="8"/>
      <c r="E19" s="8"/>
      <c r="F19" s="8"/>
      <c r="G19" s="8"/>
    </row>
    <row r="21" spans="1:7" x14ac:dyDescent="0.2">
      <c r="C21" s="11"/>
    </row>
    <row r="22" spans="1:7" x14ac:dyDescent="0.2">
      <c r="C22" s="11"/>
    </row>
    <row r="23" spans="1:7" x14ac:dyDescent="0.2">
      <c r="C23" s="11"/>
    </row>
    <row r="24" spans="1:7" x14ac:dyDescent="0.2">
      <c r="C24" s="11"/>
    </row>
    <row r="25" spans="1:7" x14ac:dyDescent="0.2">
      <c r="C25" s="11"/>
    </row>
    <row r="26" spans="1:7" x14ac:dyDescent="0.2">
      <c r="C26" s="11"/>
    </row>
    <row r="27" spans="1:7" x14ac:dyDescent="0.2">
      <c r="C27" s="11"/>
    </row>
    <row r="28" spans="1:7" x14ac:dyDescent="0.2">
      <c r="C28" s="11"/>
    </row>
    <row r="29" spans="1:7" x14ac:dyDescent="0.2">
      <c r="C29" s="11"/>
    </row>
    <row r="30" spans="1:7" x14ac:dyDescent="0.2">
      <c r="C30" s="11"/>
    </row>
    <row r="31" spans="1:7" x14ac:dyDescent="0.2">
      <c r="C31" s="11"/>
    </row>
    <row r="32" spans="1:7" x14ac:dyDescent="0.2">
      <c r="C32" s="11"/>
    </row>
    <row r="33" spans="3:3" x14ac:dyDescent="0.2">
      <c r="C33" s="11"/>
    </row>
  </sheetData>
  <mergeCells count="5">
    <mergeCell ref="A3:A4"/>
    <mergeCell ref="B3:B4"/>
    <mergeCell ref="C3:E3"/>
    <mergeCell ref="F3:F4"/>
    <mergeCell ref="G3:G4"/>
  </mergeCells>
  <pageMargins left="0.7" right="0.7" top="0.75" bottom="0.75" header="0.3" footer="0.3"/>
  <pageSetup orientation="portrait"/>
  <ignoredErrors>
    <ignoredError sqref="B5:B16" formulaRange="1"/>
  </ignoredError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sheetPr>
  <dimension ref="A1:G21"/>
  <sheetViews>
    <sheetView showGridLines="0" workbookViewId="0">
      <selection activeCell="G5" sqref="G5:G18"/>
    </sheetView>
  </sheetViews>
  <sheetFormatPr baseColWidth="10" defaultColWidth="9.6640625" defaultRowHeight="15" x14ac:dyDescent="0.2"/>
  <cols>
    <col min="1" max="1" width="15.1640625" style="2" bestFit="1" customWidth="1"/>
    <col min="2" max="2" width="19.1640625" style="2" bestFit="1" customWidth="1"/>
    <col min="3" max="3" width="27.83203125" style="2" bestFit="1" customWidth="1"/>
    <col min="4" max="4" width="29.5" style="2" customWidth="1"/>
    <col min="5" max="5" width="20.83203125" style="2" customWidth="1"/>
    <col min="6" max="16384" width="9.6640625" style="2"/>
  </cols>
  <sheetData>
    <row r="1" spans="1:7" ht="16" x14ac:dyDescent="0.2">
      <c r="A1" s="259" t="s">
        <v>300</v>
      </c>
      <c r="B1" s="259"/>
      <c r="C1" s="259"/>
      <c r="D1" s="259"/>
    </row>
    <row r="2" spans="1:7" ht="16" x14ac:dyDescent="0.2">
      <c r="A2" s="1"/>
      <c r="B2" s="1"/>
      <c r="C2" s="1"/>
      <c r="D2" s="1"/>
    </row>
    <row r="3" spans="1:7" ht="16" x14ac:dyDescent="0.2">
      <c r="A3" s="254" t="s">
        <v>64</v>
      </c>
      <c r="B3" s="254" t="s">
        <v>301</v>
      </c>
      <c r="C3" s="269" t="s">
        <v>0</v>
      </c>
      <c r="D3" s="269"/>
      <c r="E3" s="20"/>
    </row>
    <row r="4" spans="1:7" ht="32" x14ac:dyDescent="0.2">
      <c r="A4" s="255"/>
      <c r="B4" s="255"/>
      <c r="C4" s="28" t="s">
        <v>298</v>
      </c>
      <c r="D4" s="28" t="s">
        <v>244</v>
      </c>
      <c r="E4" s="102" t="s">
        <v>245</v>
      </c>
    </row>
    <row r="5" spans="1:7" ht="16" x14ac:dyDescent="0.2">
      <c r="A5" s="103" t="s">
        <v>71</v>
      </c>
      <c r="B5" s="2">
        <f>SUM(C5:E5)</f>
        <v>72</v>
      </c>
      <c r="C5" s="2">
        <v>0</v>
      </c>
      <c r="D5" s="2">
        <v>54</v>
      </c>
      <c r="E5" s="2">
        <v>18</v>
      </c>
      <c r="G5" s="11"/>
    </row>
    <row r="6" spans="1:7" ht="16" x14ac:dyDescent="0.2">
      <c r="A6" s="103" t="s">
        <v>72</v>
      </c>
      <c r="B6" s="2">
        <f t="shared" ref="B6:B17" si="0">SUM(C6:E6)</f>
        <v>6</v>
      </c>
      <c r="C6" s="2">
        <v>0</v>
      </c>
      <c r="D6" s="2">
        <v>0</v>
      </c>
      <c r="E6" s="2">
        <v>6</v>
      </c>
      <c r="G6" s="11"/>
    </row>
    <row r="7" spans="1:7" ht="16" x14ac:dyDescent="0.2">
      <c r="A7" s="103" t="s">
        <v>73</v>
      </c>
      <c r="B7" s="2">
        <f t="shared" si="0"/>
        <v>24</v>
      </c>
      <c r="C7" s="2">
        <v>9</v>
      </c>
      <c r="D7" s="2">
        <v>1</v>
      </c>
      <c r="E7" s="2">
        <v>14</v>
      </c>
      <c r="G7" s="11"/>
    </row>
    <row r="8" spans="1:7" ht="16" x14ac:dyDescent="0.2">
      <c r="A8" s="103" t="s">
        <v>74</v>
      </c>
      <c r="B8" s="2">
        <f t="shared" si="0"/>
        <v>112</v>
      </c>
      <c r="C8" s="2">
        <v>50</v>
      </c>
      <c r="D8" s="2">
        <v>40</v>
      </c>
      <c r="E8" s="2">
        <v>22</v>
      </c>
      <c r="G8" s="11"/>
    </row>
    <row r="9" spans="1:7" ht="16" x14ac:dyDescent="0.2">
      <c r="A9" s="103" t="s">
        <v>75</v>
      </c>
      <c r="B9" s="2">
        <f t="shared" si="0"/>
        <v>44</v>
      </c>
      <c r="C9" s="2">
        <v>21</v>
      </c>
      <c r="D9" s="2">
        <v>11</v>
      </c>
      <c r="E9" s="2">
        <v>12</v>
      </c>
      <c r="G9" s="11"/>
    </row>
    <row r="10" spans="1:7" ht="16" x14ac:dyDescent="0.2">
      <c r="A10" s="103" t="s">
        <v>76</v>
      </c>
      <c r="B10" s="2">
        <f t="shared" si="0"/>
        <v>33</v>
      </c>
      <c r="C10" s="2">
        <v>12</v>
      </c>
      <c r="D10" s="2">
        <v>0</v>
      </c>
      <c r="E10" s="2">
        <v>21</v>
      </c>
      <c r="G10" s="11"/>
    </row>
    <row r="11" spans="1:7" ht="16" x14ac:dyDescent="0.2">
      <c r="A11" s="103" t="s">
        <v>77</v>
      </c>
      <c r="B11" s="2">
        <f t="shared" si="0"/>
        <v>1</v>
      </c>
      <c r="C11" s="2">
        <v>1</v>
      </c>
      <c r="D11" s="2">
        <v>0</v>
      </c>
      <c r="E11" s="2">
        <v>0</v>
      </c>
      <c r="G11" s="11"/>
    </row>
    <row r="12" spans="1:7" ht="16" x14ac:dyDescent="0.2">
      <c r="A12" s="103" t="s">
        <v>78</v>
      </c>
      <c r="B12" s="2">
        <f t="shared" si="0"/>
        <v>31</v>
      </c>
      <c r="C12" s="2">
        <v>13</v>
      </c>
      <c r="D12" s="2">
        <v>6</v>
      </c>
      <c r="E12" s="2">
        <v>12</v>
      </c>
      <c r="G12" s="11"/>
    </row>
    <row r="13" spans="1:7" ht="16" x14ac:dyDescent="0.2">
      <c r="A13" s="103" t="s">
        <v>79</v>
      </c>
      <c r="B13" s="2">
        <f t="shared" si="0"/>
        <v>9</v>
      </c>
      <c r="C13" s="2">
        <v>4</v>
      </c>
      <c r="D13" s="2">
        <v>0</v>
      </c>
      <c r="E13" s="2">
        <v>5</v>
      </c>
      <c r="G13" s="11"/>
    </row>
    <row r="14" spans="1:7" ht="16" x14ac:dyDescent="0.2">
      <c r="A14" s="103" t="s">
        <v>80</v>
      </c>
      <c r="B14" s="2">
        <f t="shared" si="0"/>
        <v>31</v>
      </c>
      <c r="C14" s="2">
        <v>1</v>
      </c>
      <c r="D14" s="2">
        <v>24</v>
      </c>
      <c r="E14" s="2">
        <v>6</v>
      </c>
      <c r="G14" s="11"/>
    </row>
    <row r="15" spans="1:7" ht="16" x14ac:dyDescent="0.2">
      <c r="A15" s="103" t="s">
        <v>81</v>
      </c>
      <c r="B15" s="2">
        <f t="shared" si="0"/>
        <v>26</v>
      </c>
      <c r="C15" s="2">
        <v>0</v>
      </c>
      <c r="D15" s="2">
        <v>23</v>
      </c>
      <c r="E15" s="2">
        <v>3</v>
      </c>
      <c r="G15" s="11"/>
    </row>
    <row r="16" spans="1:7" ht="16" x14ac:dyDescent="0.2">
      <c r="A16" s="103" t="s">
        <v>82</v>
      </c>
      <c r="B16" s="2">
        <f t="shared" si="0"/>
        <v>1</v>
      </c>
      <c r="C16" s="2">
        <v>1</v>
      </c>
      <c r="D16" s="2">
        <v>0</v>
      </c>
      <c r="E16" s="2">
        <v>0</v>
      </c>
      <c r="G16" s="11"/>
    </row>
    <row r="17" spans="1:7" ht="16" x14ac:dyDescent="0.2">
      <c r="A17" s="103" t="s">
        <v>83</v>
      </c>
      <c r="B17" s="2">
        <f t="shared" si="0"/>
        <v>4</v>
      </c>
      <c r="C17" s="2">
        <v>3</v>
      </c>
      <c r="D17" s="2">
        <v>0</v>
      </c>
      <c r="E17" s="2">
        <v>1</v>
      </c>
      <c r="G17" s="11"/>
    </row>
    <row r="18" spans="1:7" ht="16" x14ac:dyDescent="0.2">
      <c r="A18" s="104" t="s">
        <v>84</v>
      </c>
      <c r="B18" s="105">
        <f>SUM(B5:B17)</f>
        <v>394</v>
      </c>
      <c r="C18" s="105">
        <f t="shared" ref="C18:E18" si="1">SUM(C5:C17)</f>
        <v>115</v>
      </c>
      <c r="D18" s="105">
        <f t="shared" si="1"/>
        <v>159</v>
      </c>
      <c r="E18" s="105">
        <f t="shared" si="1"/>
        <v>120</v>
      </c>
    </row>
    <row r="19" spans="1:7" x14ac:dyDescent="0.2">
      <c r="A19" s="106"/>
    </row>
    <row r="20" spans="1:7" x14ac:dyDescent="0.2">
      <c r="A20" s="8" t="s">
        <v>55</v>
      </c>
      <c r="B20" s="8"/>
      <c r="C20" s="8"/>
      <c r="D20" s="8"/>
    </row>
    <row r="21" spans="1:7" x14ac:dyDescent="0.2">
      <c r="A21" s="258"/>
      <c r="B21" s="258"/>
      <c r="C21" s="258"/>
      <c r="D21" s="258"/>
    </row>
  </sheetData>
  <mergeCells count="5">
    <mergeCell ref="A1:D1"/>
    <mergeCell ref="A3:A4"/>
    <mergeCell ref="B3:B4"/>
    <mergeCell ref="C3:D3"/>
    <mergeCell ref="A21:D21"/>
  </mergeCell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C000"/>
  </sheetPr>
  <dimension ref="A1:F13"/>
  <sheetViews>
    <sheetView showGridLines="0" zoomScale="120" zoomScaleNormal="120" workbookViewId="0">
      <selection activeCell="E4" sqref="E4:E10"/>
    </sheetView>
  </sheetViews>
  <sheetFormatPr baseColWidth="10" defaultColWidth="9.6640625" defaultRowHeight="15" x14ac:dyDescent="0.2"/>
  <cols>
    <col min="1" max="1" width="42.33203125" style="2" bestFit="1" customWidth="1"/>
    <col min="2" max="2" width="16.83203125" style="2" bestFit="1" customWidth="1"/>
    <col min="3" max="3" width="18" style="2" bestFit="1" customWidth="1"/>
    <col min="4" max="4" width="34.33203125" style="2" bestFit="1" customWidth="1"/>
    <col min="5" max="5" width="8.83203125" style="2" bestFit="1" customWidth="1"/>
    <col min="6" max="16384" width="9.6640625" style="2"/>
  </cols>
  <sheetData>
    <row r="1" spans="1:6" ht="16" x14ac:dyDescent="0.2">
      <c r="A1" s="259" t="s">
        <v>302</v>
      </c>
      <c r="B1" s="259"/>
      <c r="C1" s="259"/>
      <c r="D1" s="259"/>
      <c r="E1" s="259"/>
    </row>
    <row r="2" spans="1:6" ht="16" x14ac:dyDescent="0.2">
      <c r="A2" s="1"/>
      <c r="B2" s="1"/>
      <c r="C2" s="1"/>
      <c r="D2" s="1"/>
      <c r="E2" s="1"/>
    </row>
    <row r="3" spans="1:6" x14ac:dyDescent="0.2">
      <c r="A3" s="13" t="s">
        <v>303</v>
      </c>
      <c r="B3" s="13" t="s">
        <v>304</v>
      </c>
      <c r="C3" s="13" t="s">
        <v>305</v>
      </c>
      <c r="D3" s="13" t="s">
        <v>306</v>
      </c>
      <c r="E3" s="13" t="s">
        <v>33</v>
      </c>
    </row>
    <row r="4" spans="1:6" x14ac:dyDescent="0.2">
      <c r="A4" s="2" t="s">
        <v>307</v>
      </c>
      <c r="B4" s="17">
        <v>7350</v>
      </c>
      <c r="C4" s="17">
        <v>2686</v>
      </c>
      <c r="D4" s="17">
        <v>1699</v>
      </c>
      <c r="E4" s="17">
        <f>SUM(B4:D4)</f>
        <v>11735</v>
      </c>
      <c r="F4" s="17"/>
    </row>
    <row r="5" spans="1:6" x14ac:dyDescent="0.2">
      <c r="A5" s="2" t="s">
        <v>308</v>
      </c>
      <c r="B5" s="2">
        <v>606</v>
      </c>
      <c r="C5" s="2">
        <v>35</v>
      </c>
      <c r="D5" s="2">
        <v>17</v>
      </c>
      <c r="E5" s="17">
        <f t="shared" ref="E5:E10" si="0">SUM(B5:D5)</f>
        <v>658</v>
      </c>
      <c r="F5" s="17"/>
    </row>
    <row r="6" spans="1:6" x14ac:dyDescent="0.2">
      <c r="A6" s="2" t="s">
        <v>309</v>
      </c>
      <c r="B6" s="2">
        <v>765</v>
      </c>
      <c r="C6" s="2">
        <v>857</v>
      </c>
      <c r="D6" s="2">
        <v>184</v>
      </c>
      <c r="E6" s="17">
        <f t="shared" si="0"/>
        <v>1806</v>
      </c>
      <c r="F6" s="17"/>
    </row>
    <row r="7" spans="1:6" x14ac:dyDescent="0.2">
      <c r="A7" s="2" t="s">
        <v>310</v>
      </c>
      <c r="B7" s="2">
        <v>441</v>
      </c>
      <c r="C7" s="2">
        <v>119</v>
      </c>
      <c r="D7" s="2">
        <v>0</v>
      </c>
      <c r="E7" s="17">
        <f t="shared" si="0"/>
        <v>560</v>
      </c>
      <c r="F7" s="17"/>
    </row>
    <row r="8" spans="1:6" x14ac:dyDescent="0.2">
      <c r="A8" s="2" t="s">
        <v>311</v>
      </c>
      <c r="B8" s="2">
        <v>100</v>
      </c>
      <c r="C8" s="2">
        <v>90</v>
      </c>
      <c r="D8" s="2">
        <v>0</v>
      </c>
      <c r="E8" s="17">
        <f t="shared" si="0"/>
        <v>190</v>
      </c>
      <c r="F8" s="17"/>
    </row>
    <row r="9" spans="1:6" x14ac:dyDescent="0.2">
      <c r="A9" s="2" t="s">
        <v>312</v>
      </c>
      <c r="B9" s="2">
        <v>734</v>
      </c>
      <c r="C9" s="2">
        <v>162</v>
      </c>
      <c r="D9" s="2">
        <v>3</v>
      </c>
      <c r="E9" s="17">
        <f t="shared" si="0"/>
        <v>899</v>
      </c>
      <c r="F9" s="17"/>
    </row>
    <row r="10" spans="1:6" x14ac:dyDescent="0.2">
      <c r="A10" s="2" t="s">
        <v>313</v>
      </c>
      <c r="B10" s="17">
        <v>2660</v>
      </c>
      <c r="C10" s="2">
        <v>282</v>
      </c>
      <c r="D10" s="2">
        <v>616</v>
      </c>
      <c r="E10" s="17">
        <f t="shared" si="0"/>
        <v>3558</v>
      </c>
      <c r="F10" s="17"/>
    </row>
    <row r="11" spans="1:6" ht="16" x14ac:dyDescent="0.2">
      <c r="A11" s="34" t="s">
        <v>33</v>
      </c>
      <c r="B11" s="71">
        <f>SUM(B4:B10)</f>
        <v>12656</v>
      </c>
      <c r="C11" s="71">
        <f t="shared" ref="C11:E11" si="1">SUM(C4:C10)</f>
        <v>4231</v>
      </c>
      <c r="D11" s="71">
        <f t="shared" si="1"/>
        <v>2519</v>
      </c>
      <c r="E11" s="71">
        <f t="shared" si="1"/>
        <v>19406</v>
      </c>
      <c r="F11" s="17"/>
    </row>
    <row r="13" spans="1:6" x14ac:dyDescent="0.2">
      <c r="A13" s="8" t="s">
        <v>55</v>
      </c>
      <c r="B13" s="8"/>
      <c r="C13" s="8"/>
      <c r="D13" s="8"/>
      <c r="E13" s="8"/>
    </row>
  </sheetData>
  <mergeCells count="1">
    <mergeCell ref="A1:E1"/>
  </mergeCell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C000"/>
  </sheetPr>
  <dimension ref="A1:C14"/>
  <sheetViews>
    <sheetView showGridLines="0" workbookViewId="0">
      <selection activeCell="B15" sqref="B15"/>
    </sheetView>
  </sheetViews>
  <sheetFormatPr baseColWidth="10" defaultColWidth="9.6640625" defaultRowHeight="15" x14ac:dyDescent="0.2"/>
  <cols>
    <col min="1" max="1" width="64.1640625" style="2" bestFit="1" customWidth="1"/>
    <col min="2" max="2" width="25.6640625" style="2" bestFit="1" customWidth="1"/>
    <col min="3" max="3" width="24.5" style="2" bestFit="1" customWidth="1"/>
    <col min="4" max="16384" width="9.6640625" style="2"/>
  </cols>
  <sheetData>
    <row r="1" spans="1:3" ht="16" x14ac:dyDescent="0.2">
      <c r="A1" s="259" t="s">
        <v>314</v>
      </c>
      <c r="B1" s="259"/>
      <c r="C1" s="259"/>
    </row>
    <row r="2" spans="1:3" ht="16" x14ac:dyDescent="0.2">
      <c r="A2" s="1"/>
      <c r="B2" s="1"/>
      <c r="C2" s="1"/>
    </row>
    <row r="3" spans="1:3" x14ac:dyDescent="0.2">
      <c r="A3" s="13" t="s">
        <v>315</v>
      </c>
      <c r="B3" s="13" t="s">
        <v>316</v>
      </c>
      <c r="C3" s="13" t="s">
        <v>317</v>
      </c>
    </row>
    <row r="4" spans="1:3" x14ac:dyDescent="0.2">
      <c r="A4" s="2" t="s">
        <v>318</v>
      </c>
      <c r="B4" s="2">
        <v>47</v>
      </c>
      <c r="C4" s="2">
        <v>38</v>
      </c>
    </row>
    <row r="5" spans="1:3" x14ac:dyDescent="0.2">
      <c r="A5" s="2" t="s">
        <v>319</v>
      </c>
      <c r="B5" s="2">
        <v>61</v>
      </c>
      <c r="C5" s="2">
        <v>38</v>
      </c>
    </row>
    <row r="6" spans="1:3" x14ac:dyDescent="0.2">
      <c r="A6" s="2" t="s">
        <v>320</v>
      </c>
      <c r="B6" s="2">
        <v>35</v>
      </c>
      <c r="C6" s="2">
        <v>31</v>
      </c>
    </row>
    <row r="7" spans="1:3" x14ac:dyDescent="0.2">
      <c r="A7" s="2" t="s">
        <v>321</v>
      </c>
      <c r="B7" s="2">
        <v>100</v>
      </c>
      <c r="C7" s="2">
        <v>73</v>
      </c>
    </row>
    <row r="8" spans="1:3" x14ac:dyDescent="0.2">
      <c r="A8" s="2" t="s">
        <v>322</v>
      </c>
      <c r="B8" s="2">
        <v>2</v>
      </c>
      <c r="C8" s="2">
        <v>2</v>
      </c>
    </row>
    <row r="9" spans="1:3" x14ac:dyDescent="0.2">
      <c r="A9" s="2" t="s">
        <v>323</v>
      </c>
      <c r="B9" s="2">
        <v>17</v>
      </c>
      <c r="C9" s="2">
        <v>13</v>
      </c>
    </row>
    <row r="10" spans="1:3" x14ac:dyDescent="0.2">
      <c r="A10" s="2" t="s">
        <v>324</v>
      </c>
      <c r="B10" s="2">
        <v>9</v>
      </c>
      <c r="C10" s="2">
        <v>0</v>
      </c>
    </row>
    <row r="11" spans="1:3" ht="16" x14ac:dyDescent="0.2">
      <c r="A11" s="34" t="s">
        <v>33</v>
      </c>
      <c r="B11" s="71">
        <f>SUM(B4:B10)</f>
        <v>271</v>
      </c>
      <c r="C11" s="71">
        <f>SUM(C4:C10)</f>
        <v>195</v>
      </c>
    </row>
    <row r="13" spans="1:3" s="8" customFormat="1" ht="12" x14ac:dyDescent="0.15">
      <c r="A13" s="257" t="s">
        <v>55</v>
      </c>
      <c r="B13" s="257"/>
      <c r="C13" s="257"/>
    </row>
    <row r="14" spans="1:3" s="8" customFormat="1" ht="12" x14ac:dyDescent="0.15"/>
  </sheetData>
  <mergeCells count="2">
    <mergeCell ref="A1:C1"/>
    <mergeCell ref="A13:C13"/>
  </mergeCells>
  <pageMargins left="0.7" right="0.7" top="0.75" bottom="0.75" header="0.3" footer="0.3"/>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FFC000"/>
  </sheetPr>
  <dimension ref="A1:C20"/>
  <sheetViews>
    <sheetView showGridLines="0" zoomScale="88" workbookViewId="0">
      <selection activeCell="F11" sqref="F11"/>
    </sheetView>
  </sheetViews>
  <sheetFormatPr baseColWidth="10" defaultColWidth="9.6640625" defaultRowHeight="15" x14ac:dyDescent="0.2"/>
  <cols>
    <col min="1" max="1" width="84.5" style="2" bestFit="1" customWidth="1"/>
    <col min="2" max="2" width="19.1640625" style="2" bestFit="1" customWidth="1"/>
    <col min="3" max="3" width="12.5" style="2" bestFit="1" customWidth="1"/>
    <col min="4" max="16384" width="9.6640625" style="2"/>
  </cols>
  <sheetData>
    <row r="1" spans="1:3" ht="16" x14ac:dyDescent="0.2">
      <c r="A1" s="1" t="s">
        <v>344</v>
      </c>
      <c r="B1" s="1"/>
      <c r="C1" s="1"/>
    </row>
    <row r="2" spans="1:3" ht="16" x14ac:dyDescent="0.2">
      <c r="A2" s="1"/>
      <c r="B2" s="1"/>
      <c r="C2" s="1"/>
    </row>
    <row r="3" spans="1:3" x14ac:dyDescent="0.2">
      <c r="A3" s="13" t="s">
        <v>345</v>
      </c>
      <c r="B3" s="13" t="s">
        <v>346</v>
      </c>
      <c r="C3" s="13" t="s">
        <v>347</v>
      </c>
    </row>
    <row r="4" spans="1:3" x14ac:dyDescent="0.2">
      <c r="A4" s="2" t="s">
        <v>348</v>
      </c>
      <c r="B4" s="17">
        <v>55824</v>
      </c>
      <c r="C4" s="17">
        <v>38304</v>
      </c>
    </row>
    <row r="5" spans="1:3" x14ac:dyDescent="0.2">
      <c r="A5" s="2" t="s">
        <v>349</v>
      </c>
      <c r="B5" s="17">
        <v>10178</v>
      </c>
      <c r="C5" s="17">
        <v>6984</v>
      </c>
    </row>
    <row r="6" spans="1:3" x14ac:dyDescent="0.2">
      <c r="A6" s="2" t="s">
        <v>350</v>
      </c>
      <c r="B6" s="17">
        <v>1614</v>
      </c>
      <c r="C6" s="17">
        <v>1107</v>
      </c>
    </row>
    <row r="7" spans="1:3" x14ac:dyDescent="0.2">
      <c r="A7" s="2" t="s">
        <v>351</v>
      </c>
      <c r="B7" s="17">
        <v>1242</v>
      </c>
      <c r="C7" s="17">
        <v>852</v>
      </c>
    </row>
    <row r="8" spans="1:3" x14ac:dyDescent="0.2">
      <c r="A8" s="2" t="s">
        <v>352</v>
      </c>
      <c r="B8" s="17">
        <v>1012</v>
      </c>
      <c r="C8" s="17">
        <v>694</v>
      </c>
    </row>
    <row r="9" spans="1:3" x14ac:dyDescent="0.2">
      <c r="A9" s="2" t="s">
        <v>353</v>
      </c>
      <c r="B9" s="17">
        <v>625</v>
      </c>
      <c r="C9" s="17">
        <v>429</v>
      </c>
    </row>
    <row r="10" spans="1:3" x14ac:dyDescent="0.2">
      <c r="A10" s="2" t="s">
        <v>354</v>
      </c>
      <c r="B10" s="17">
        <v>550</v>
      </c>
      <c r="C10" s="17">
        <v>377</v>
      </c>
    </row>
    <row r="11" spans="1:3" x14ac:dyDescent="0.2">
      <c r="A11" s="2" t="s">
        <v>355</v>
      </c>
      <c r="B11" s="17">
        <v>339</v>
      </c>
      <c r="C11" s="17">
        <v>233</v>
      </c>
    </row>
    <row r="12" spans="1:3" x14ac:dyDescent="0.2">
      <c r="A12" s="2" t="s">
        <v>356</v>
      </c>
      <c r="B12" s="17">
        <v>285</v>
      </c>
      <c r="C12" s="17">
        <v>196</v>
      </c>
    </row>
    <row r="13" spans="1:3" x14ac:dyDescent="0.2">
      <c r="A13" s="2" t="s">
        <v>357</v>
      </c>
      <c r="B13" s="17">
        <v>282</v>
      </c>
      <c r="C13" s="17">
        <v>193</v>
      </c>
    </row>
    <row r="14" spans="1:3" x14ac:dyDescent="0.2">
      <c r="A14" s="115" t="s">
        <v>358</v>
      </c>
      <c r="B14" s="149">
        <f>SUM(B4:B13)</f>
        <v>71951</v>
      </c>
      <c r="C14" s="149">
        <f>SUM(C4:C13)</f>
        <v>49369</v>
      </c>
    </row>
    <row r="15" spans="1:3" x14ac:dyDescent="0.2">
      <c r="A15" s="2" t="s">
        <v>359</v>
      </c>
      <c r="B15" s="17">
        <v>3222</v>
      </c>
      <c r="C15" s="17">
        <v>2211</v>
      </c>
    </row>
    <row r="16" spans="1:3" ht="16" x14ac:dyDescent="0.2">
      <c r="A16" s="34" t="s">
        <v>33</v>
      </c>
      <c r="B16" s="71">
        <f>B14+B15</f>
        <v>75173</v>
      </c>
      <c r="C16" s="71">
        <f>C14+C15</f>
        <v>51580</v>
      </c>
    </row>
    <row r="18" spans="1:3" x14ac:dyDescent="0.2">
      <c r="A18" s="8" t="s">
        <v>360</v>
      </c>
      <c r="B18" s="8"/>
      <c r="C18" s="8"/>
    </row>
    <row r="19" spans="1:3" x14ac:dyDescent="0.2">
      <c r="A19" s="8" t="s">
        <v>55</v>
      </c>
      <c r="B19" s="8"/>
      <c r="C19" s="8"/>
    </row>
    <row r="20" spans="1:3" x14ac:dyDescent="0.2">
      <c r="A20" s="258"/>
      <c r="B20" s="258"/>
      <c r="C20" s="258"/>
    </row>
  </sheetData>
  <mergeCells count="1">
    <mergeCell ref="A20:C20"/>
  </mergeCell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FFC000"/>
  </sheetPr>
  <dimension ref="A1:C21"/>
  <sheetViews>
    <sheetView showGridLines="0" topLeftCell="A2" workbookViewId="0">
      <selection activeCell="A10" sqref="A10"/>
    </sheetView>
  </sheetViews>
  <sheetFormatPr baseColWidth="10" defaultColWidth="9.6640625" defaultRowHeight="15" x14ac:dyDescent="0.2"/>
  <cols>
    <col min="1" max="1" width="84.5" style="2" bestFit="1" customWidth="1"/>
    <col min="2" max="2" width="19.1640625" style="2" bestFit="1" customWidth="1"/>
    <col min="3" max="3" width="12.5" style="2" bestFit="1" customWidth="1"/>
    <col min="4" max="16384" width="9.6640625" style="2"/>
  </cols>
  <sheetData>
    <row r="1" spans="1:3" ht="16" x14ac:dyDescent="0.2">
      <c r="A1" s="1" t="s">
        <v>361</v>
      </c>
      <c r="B1" s="1"/>
      <c r="C1" s="1"/>
    </row>
    <row r="2" spans="1:3" ht="16" x14ac:dyDescent="0.2">
      <c r="A2" s="1"/>
      <c r="B2" s="1"/>
      <c r="C2" s="1"/>
    </row>
    <row r="3" spans="1:3" x14ac:dyDescent="0.2">
      <c r="A3" s="13" t="s">
        <v>345</v>
      </c>
      <c r="B3" s="13" t="s">
        <v>346</v>
      </c>
      <c r="C3" s="13" t="s">
        <v>347</v>
      </c>
    </row>
    <row r="4" spans="1:3" x14ac:dyDescent="0.2">
      <c r="A4" s="2" t="s">
        <v>348</v>
      </c>
      <c r="B4" s="150">
        <v>29336</v>
      </c>
      <c r="C4" s="150">
        <v>17703</v>
      </c>
    </row>
    <row r="5" spans="1:3" x14ac:dyDescent="0.2">
      <c r="A5" s="2" t="s">
        <v>349</v>
      </c>
      <c r="B5" s="150">
        <v>5300</v>
      </c>
      <c r="C5" s="150">
        <v>3198</v>
      </c>
    </row>
    <row r="6" spans="1:3" x14ac:dyDescent="0.2">
      <c r="A6" s="2" t="s">
        <v>350</v>
      </c>
      <c r="B6" s="150">
        <v>2639</v>
      </c>
      <c r="C6" s="150">
        <v>1593</v>
      </c>
    </row>
    <row r="7" spans="1:3" x14ac:dyDescent="0.2">
      <c r="A7" s="2" t="s">
        <v>352</v>
      </c>
      <c r="B7" s="150">
        <v>903</v>
      </c>
      <c r="C7" s="150">
        <v>545</v>
      </c>
    </row>
    <row r="8" spans="1:3" x14ac:dyDescent="0.2">
      <c r="A8" s="2" t="s">
        <v>356</v>
      </c>
      <c r="B8" s="150">
        <v>698</v>
      </c>
      <c r="C8" s="150">
        <v>421</v>
      </c>
    </row>
    <row r="9" spans="1:3" x14ac:dyDescent="0.2">
      <c r="A9" s="2" t="s">
        <v>351</v>
      </c>
      <c r="B9" s="150">
        <v>692</v>
      </c>
      <c r="C9" s="150">
        <v>418</v>
      </c>
    </row>
    <row r="10" spans="1:3" x14ac:dyDescent="0.2">
      <c r="A10" s="2" t="s">
        <v>362</v>
      </c>
      <c r="B10" s="150">
        <v>589</v>
      </c>
      <c r="C10" s="150">
        <v>355</v>
      </c>
    </row>
    <row r="11" spans="1:3" x14ac:dyDescent="0.2">
      <c r="A11" s="2" t="s">
        <v>363</v>
      </c>
      <c r="B11" s="150">
        <v>569</v>
      </c>
      <c r="C11" s="150">
        <v>343</v>
      </c>
    </row>
    <row r="12" spans="1:3" x14ac:dyDescent="0.2">
      <c r="A12" s="2" t="s">
        <v>364</v>
      </c>
      <c r="B12" s="150">
        <v>539</v>
      </c>
      <c r="C12" s="150">
        <v>325</v>
      </c>
    </row>
    <row r="13" spans="1:3" x14ac:dyDescent="0.2">
      <c r="A13" s="2" t="s">
        <v>365</v>
      </c>
      <c r="B13" s="150">
        <v>387</v>
      </c>
      <c r="C13" s="150">
        <v>234</v>
      </c>
    </row>
    <row r="14" spans="1:3" x14ac:dyDescent="0.2">
      <c r="A14" s="115" t="s">
        <v>358</v>
      </c>
      <c r="B14" s="149">
        <f>SUM(B4:B13)</f>
        <v>41652</v>
      </c>
      <c r="C14" s="149">
        <f>SUM(C4:C13)</f>
        <v>25135</v>
      </c>
    </row>
    <row r="15" spans="1:3" x14ac:dyDescent="0.2">
      <c r="A15" s="2" t="s">
        <v>359</v>
      </c>
      <c r="B15" s="17">
        <v>3231</v>
      </c>
      <c r="C15" s="17">
        <v>1950</v>
      </c>
    </row>
    <row r="16" spans="1:3" x14ac:dyDescent="0.2">
      <c r="A16" s="115" t="s">
        <v>33</v>
      </c>
      <c r="B16" s="149">
        <f>B14+B15</f>
        <v>44883</v>
      </c>
      <c r="C16" s="149">
        <f>C14+C15</f>
        <v>27085</v>
      </c>
    </row>
    <row r="17" spans="1:3" x14ac:dyDescent="0.2">
      <c r="A17" s="4"/>
      <c r="B17" s="113"/>
      <c r="C17" s="113"/>
    </row>
    <row r="18" spans="1:3" x14ac:dyDescent="0.2">
      <c r="A18" s="101" t="s">
        <v>360</v>
      </c>
      <c r="B18" s="114"/>
      <c r="C18" s="114"/>
    </row>
    <row r="19" spans="1:3" x14ac:dyDescent="0.2">
      <c r="A19" s="257" t="s">
        <v>55</v>
      </c>
      <c r="B19" s="257"/>
      <c r="C19" s="257"/>
    </row>
    <row r="20" spans="1:3" x14ac:dyDescent="0.2">
      <c r="A20" s="257"/>
      <c r="B20" s="257"/>
      <c r="C20" s="257"/>
    </row>
    <row r="21" spans="1:3" x14ac:dyDescent="0.2">
      <c r="A21" s="8"/>
      <c r="B21" s="8"/>
      <c r="C21" s="8"/>
    </row>
  </sheetData>
  <mergeCells count="2">
    <mergeCell ref="A19:C19"/>
    <mergeCell ref="A20:C20"/>
  </mergeCell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C20"/>
  <sheetViews>
    <sheetView showGridLines="0" workbookViewId="0">
      <selection activeCell="A3" sqref="A3:C16"/>
    </sheetView>
  </sheetViews>
  <sheetFormatPr baseColWidth="10" defaultColWidth="9.6640625" defaultRowHeight="15" x14ac:dyDescent="0.2"/>
  <cols>
    <col min="1" max="1" width="84.5" style="2" bestFit="1" customWidth="1"/>
    <col min="2" max="2" width="19.1640625" style="2" bestFit="1" customWidth="1"/>
    <col min="3" max="3" width="12.5" style="2" bestFit="1" customWidth="1"/>
    <col min="4" max="16384" width="9.6640625" style="2"/>
  </cols>
  <sheetData>
    <row r="1" spans="1:3" ht="16" x14ac:dyDescent="0.2">
      <c r="A1" s="1" t="s">
        <v>366</v>
      </c>
      <c r="B1" s="1"/>
      <c r="C1" s="1"/>
    </row>
    <row r="2" spans="1:3" ht="16" x14ac:dyDescent="0.2">
      <c r="A2" s="1"/>
      <c r="B2" s="1"/>
      <c r="C2" s="1"/>
    </row>
    <row r="3" spans="1:3" x14ac:dyDescent="0.2">
      <c r="A3" s="13" t="s">
        <v>345</v>
      </c>
      <c r="B3" s="13" t="s">
        <v>346</v>
      </c>
      <c r="C3" s="13" t="s">
        <v>347</v>
      </c>
    </row>
    <row r="4" spans="1:3" x14ac:dyDescent="0.2">
      <c r="A4" s="66" t="s">
        <v>348</v>
      </c>
      <c r="B4" s="150">
        <v>70030</v>
      </c>
      <c r="C4" s="150">
        <v>13202</v>
      </c>
    </row>
    <row r="5" spans="1:3" x14ac:dyDescent="0.2">
      <c r="A5" s="66" t="s">
        <v>350</v>
      </c>
      <c r="B5" s="150">
        <v>20263</v>
      </c>
      <c r="C5" s="150">
        <v>3820</v>
      </c>
    </row>
    <row r="6" spans="1:3" x14ac:dyDescent="0.2">
      <c r="A6" s="66" t="s">
        <v>349</v>
      </c>
      <c r="B6" s="150">
        <v>17749</v>
      </c>
      <c r="C6" s="150">
        <v>3346</v>
      </c>
    </row>
    <row r="7" spans="1:3" x14ac:dyDescent="0.2">
      <c r="A7" s="66" t="s">
        <v>356</v>
      </c>
      <c r="B7" s="150">
        <v>5894</v>
      </c>
      <c r="C7" s="150">
        <v>1111</v>
      </c>
    </row>
    <row r="8" spans="1:3" x14ac:dyDescent="0.2">
      <c r="A8" s="66" t="s">
        <v>362</v>
      </c>
      <c r="B8" s="150">
        <v>5708</v>
      </c>
      <c r="C8" s="150">
        <v>1076</v>
      </c>
    </row>
    <row r="9" spans="1:3" x14ac:dyDescent="0.2">
      <c r="A9" s="66" t="s">
        <v>351</v>
      </c>
      <c r="B9" s="150">
        <v>3867</v>
      </c>
      <c r="C9" s="150">
        <v>729</v>
      </c>
    </row>
    <row r="10" spans="1:3" x14ac:dyDescent="0.2">
      <c r="A10" s="2" t="s">
        <v>367</v>
      </c>
      <c r="B10" s="150">
        <v>3584</v>
      </c>
      <c r="C10" s="150">
        <v>676</v>
      </c>
    </row>
    <row r="11" spans="1:3" x14ac:dyDescent="0.2">
      <c r="A11" s="66" t="s">
        <v>364</v>
      </c>
      <c r="B11" s="150">
        <v>3388</v>
      </c>
      <c r="C11" s="150">
        <v>639</v>
      </c>
    </row>
    <row r="12" spans="1:3" x14ac:dyDescent="0.2">
      <c r="A12" s="2" t="s">
        <v>368</v>
      </c>
      <c r="B12" s="150">
        <v>3313</v>
      </c>
      <c r="C12" s="150">
        <v>625</v>
      </c>
    </row>
    <row r="13" spans="1:3" x14ac:dyDescent="0.2">
      <c r="A13" s="66" t="s">
        <v>363</v>
      </c>
      <c r="B13" s="150">
        <v>3213</v>
      </c>
      <c r="C13" s="150">
        <v>606</v>
      </c>
    </row>
    <row r="14" spans="1:3" x14ac:dyDescent="0.2">
      <c r="A14" s="115" t="s">
        <v>358</v>
      </c>
      <c r="B14" s="149">
        <f>SUM(B4:B13)</f>
        <v>137009</v>
      </c>
      <c r="C14" s="149">
        <f>SUM(C4:C13)</f>
        <v>25830</v>
      </c>
    </row>
    <row r="15" spans="1:3" x14ac:dyDescent="0.2">
      <c r="A15" s="2" t="s">
        <v>359</v>
      </c>
      <c r="B15" s="17">
        <v>16809</v>
      </c>
      <c r="C15" s="17">
        <v>3169</v>
      </c>
    </row>
    <row r="16" spans="1:3" x14ac:dyDescent="0.2">
      <c r="A16" s="115" t="s">
        <v>33</v>
      </c>
      <c r="B16" s="149">
        <f>B14+B15</f>
        <v>153818</v>
      </c>
      <c r="C16" s="149">
        <f>C14+C15</f>
        <v>28999</v>
      </c>
    </row>
    <row r="18" spans="1:3" x14ac:dyDescent="0.2">
      <c r="A18" s="8" t="s">
        <v>360</v>
      </c>
      <c r="B18" s="8"/>
      <c r="C18" s="8"/>
    </row>
    <row r="19" spans="1:3" x14ac:dyDescent="0.2">
      <c r="A19" s="8" t="s">
        <v>55</v>
      </c>
      <c r="B19" s="8"/>
      <c r="C19" s="8"/>
    </row>
    <row r="20" spans="1:3" x14ac:dyDescent="0.2">
      <c r="A20" s="258"/>
      <c r="B20" s="258"/>
      <c r="C20" s="258"/>
    </row>
  </sheetData>
  <mergeCells count="1">
    <mergeCell ref="A20:C20"/>
  </mergeCells>
  <pageMargins left="0.7" right="0.7" top="0.75" bottom="0.75" header="0.3" footer="0.3"/>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C20"/>
  <sheetViews>
    <sheetView showGridLines="0" zoomScaleNormal="100" workbookViewId="0">
      <selection activeCell="A3" sqref="A3:C16"/>
    </sheetView>
  </sheetViews>
  <sheetFormatPr baseColWidth="10" defaultColWidth="9.6640625" defaultRowHeight="15" x14ac:dyDescent="0.2"/>
  <cols>
    <col min="1" max="1" width="84.5" style="2" bestFit="1" customWidth="1"/>
    <col min="2" max="2" width="19.1640625" style="2" bestFit="1" customWidth="1"/>
    <col min="3" max="3" width="12.5" style="2" bestFit="1" customWidth="1"/>
    <col min="4" max="16384" width="9.6640625" style="2"/>
  </cols>
  <sheetData>
    <row r="1" spans="1:3" ht="16" x14ac:dyDescent="0.2">
      <c r="A1" s="1" t="s">
        <v>369</v>
      </c>
      <c r="B1" s="1"/>
      <c r="C1" s="1"/>
    </row>
    <row r="2" spans="1:3" ht="16" x14ac:dyDescent="0.2">
      <c r="A2" s="1"/>
      <c r="B2" s="1"/>
      <c r="C2" s="1"/>
    </row>
    <row r="3" spans="1:3" x14ac:dyDescent="0.2">
      <c r="A3" s="13" t="s">
        <v>345</v>
      </c>
      <c r="B3" s="13" t="s">
        <v>346</v>
      </c>
      <c r="C3" s="13" t="s">
        <v>347</v>
      </c>
    </row>
    <row r="4" spans="1:3" x14ac:dyDescent="0.2">
      <c r="A4" s="66" t="s">
        <v>348</v>
      </c>
      <c r="B4" s="150">
        <v>17788</v>
      </c>
      <c r="C4" s="150">
        <v>15244</v>
      </c>
    </row>
    <row r="5" spans="1:3" x14ac:dyDescent="0.2">
      <c r="A5" s="66" t="s">
        <v>350</v>
      </c>
      <c r="B5" s="150">
        <v>7846</v>
      </c>
      <c r="C5" s="150">
        <v>6724</v>
      </c>
    </row>
    <row r="6" spans="1:3" x14ac:dyDescent="0.2">
      <c r="A6" s="66" t="s">
        <v>349</v>
      </c>
      <c r="B6" s="150">
        <v>4008</v>
      </c>
      <c r="C6" s="150">
        <v>3435</v>
      </c>
    </row>
    <row r="7" spans="1:3" x14ac:dyDescent="0.2">
      <c r="A7" s="66" t="s">
        <v>368</v>
      </c>
      <c r="B7" s="150">
        <v>2180</v>
      </c>
      <c r="C7" s="150">
        <v>1868</v>
      </c>
    </row>
    <row r="8" spans="1:3" x14ac:dyDescent="0.2">
      <c r="A8" s="66" t="s">
        <v>370</v>
      </c>
      <c r="B8" s="150">
        <v>1842</v>
      </c>
      <c r="C8" s="150">
        <v>1579</v>
      </c>
    </row>
    <row r="9" spans="1:3" x14ac:dyDescent="0.2">
      <c r="A9" s="66" t="s">
        <v>356</v>
      </c>
      <c r="B9" s="150">
        <v>1140</v>
      </c>
      <c r="C9" s="150">
        <v>977</v>
      </c>
    </row>
    <row r="10" spans="1:3" x14ac:dyDescent="0.2">
      <c r="A10" s="66" t="s">
        <v>363</v>
      </c>
      <c r="B10" s="150">
        <v>1062</v>
      </c>
      <c r="C10" s="150">
        <v>910</v>
      </c>
    </row>
    <row r="11" spans="1:3" x14ac:dyDescent="0.2">
      <c r="A11" s="66" t="s">
        <v>371</v>
      </c>
      <c r="B11" s="150">
        <v>1060</v>
      </c>
      <c r="C11" s="150">
        <v>908</v>
      </c>
    </row>
    <row r="12" spans="1:3" x14ac:dyDescent="0.2">
      <c r="A12" s="66" t="s">
        <v>351</v>
      </c>
      <c r="B12" s="150">
        <v>1004</v>
      </c>
      <c r="C12" s="150">
        <v>860</v>
      </c>
    </row>
    <row r="13" spans="1:3" x14ac:dyDescent="0.2">
      <c r="A13" s="66" t="s">
        <v>372</v>
      </c>
      <c r="B13" s="150">
        <v>657</v>
      </c>
      <c r="C13" s="150">
        <v>563</v>
      </c>
    </row>
    <row r="14" spans="1:3" x14ac:dyDescent="0.2">
      <c r="A14" s="115" t="s">
        <v>358</v>
      </c>
      <c r="B14" s="149">
        <f>SUM(B4:B13)</f>
        <v>38587</v>
      </c>
      <c r="C14" s="149">
        <f>SUM(C4:C13)</f>
        <v>33068</v>
      </c>
    </row>
    <row r="15" spans="1:3" x14ac:dyDescent="0.2">
      <c r="A15" s="2" t="s">
        <v>359</v>
      </c>
      <c r="B15" s="17">
        <v>5532</v>
      </c>
      <c r="C15" s="17">
        <v>4741</v>
      </c>
    </row>
    <row r="16" spans="1:3" x14ac:dyDescent="0.2">
      <c r="A16" s="115" t="s">
        <v>33</v>
      </c>
      <c r="B16" s="149">
        <f>B14+B15</f>
        <v>44119</v>
      </c>
      <c r="C16" s="149">
        <f>C14+C15</f>
        <v>37809</v>
      </c>
    </row>
    <row r="18" spans="1:3" x14ac:dyDescent="0.2">
      <c r="A18" s="8" t="s">
        <v>360</v>
      </c>
      <c r="B18" s="8"/>
      <c r="C18" s="8"/>
    </row>
    <row r="19" spans="1:3" s="8" customFormat="1" ht="12" x14ac:dyDescent="0.15">
      <c r="A19" s="8" t="s">
        <v>55</v>
      </c>
    </row>
    <row r="20" spans="1:3" s="8" customFormat="1" ht="12" x14ac:dyDescent="0.15">
      <c r="A20" s="257"/>
      <c r="B20" s="257"/>
      <c r="C20" s="257"/>
    </row>
  </sheetData>
  <mergeCells count="1">
    <mergeCell ref="A20:C20"/>
  </mergeCells>
  <pageMargins left="0.7" right="0.7" top="0.75" bottom="0.75" header="0.3" footer="0.3"/>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C20"/>
  <sheetViews>
    <sheetView showGridLines="0" zoomScale="90" zoomScaleNormal="90" workbookViewId="0">
      <selection activeCell="A3" sqref="A3:C16"/>
    </sheetView>
  </sheetViews>
  <sheetFormatPr baseColWidth="10" defaultColWidth="9.6640625" defaultRowHeight="15" x14ac:dyDescent="0.2"/>
  <cols>
    <col min="1" max="1" width="84.5" style="2" bestFit="1" customWidth="1"/>
    <col min="2" max="2" width="19.1640625" style="2" bestFit="1" customWidth="1"/>
    <col min="3" max="3" width="12.5" style="2" bestFit="1" customWidth="1"/>
    <col min="4" max="16384" width="9.6640625" style="2"/>
  </cols>
  <sheetData>
    <row r="1" spans="1:3" ht="16" x14ac:dyDescent="0.2">
      <c r="A1" s="259" t="s">
        <v>373</v>
      </c>
      <c r="B1" s="259"/>
      <c r="C1" s="259"/>
    </row>
    <row r="2" spans="1:3" ht="16" x14ac:dyDescent="0.2">
      <c r="A2" s="1"/>
      <c r="B2" s="1"/>
      <c r="C2" s="1"/>
    </row>
    <row r="3" spans="1:3" x14ac:dyDescent="0.2">
      <c r="A3" s="13" t="s">
        <v>345</v>
      </c>
      <c r="B3" s="13" t="s">
        <v>346</v>
      </c>
      <c r="C3" s="13" t="s">
        <v>347</v>
      </c>
    </row>
    <row r="4" spans="1:3" x14ac:dyDescent="0.2">
      <c r="A4" s="2" t="s">
        <v>348</v>
      </c>
      <c r="B4" s="17">
        <v>173030</v>
      </c>
      <c r="C4" s="17">
        <v>18051</v>
      </c>
    </row>
    <row r="5" spans="1:3" x14ac:dyDescent="0.2">
      <c r="A5" s="2" t="s">
        <v>349</v>
      </c>
      <c r="B5" s="17">
        <v>37251</v>
      </c>
      <c r="C5" s="17">
        <v>3886</v>
      </c>
    </row>
    <row r="6" spans="1:3" x14ac:dyDescent="0.2">
      <c r="A6" s="2" t="s">
        <v>350</v>
      </c>
      <c r="B6" s="17">
        <v>32368</v>
      </c>
      <c r="C6" s="17">
        <v>3377</v>
      </c>
    </row>
    <row r="7" spans="1:3" x14ac:dyDescent="0.2">
      <c r="A7" s="2" t="s">
        <v>356</v>
      </c>
      <c r="B7" s="17">
        <v>8022</v>
      </c>
      <c r="C7" s="17">
        <v>837</v>
      </c>
    </row>
    <row r="8" spans="1:3" x14ac:dyDescent="0.2">
      <c r="A8" s="2" t="s">
        <v>351</v>
      </c>
      <c r="B8" s="17">
        <v>6806</v>
      </c>
      <c r="C8" s="17">
        <v>710</v>
      </c>
    </row>
    <row r="9" spans="1:3" x14ac:dyDescent="0.2">
      <c r="A9" s="2" t="s">
        <v>362</v>
      </c>
      <c r="B9" s="17">
        <v>6792</v>
      </c>
      <c r="C9" s="17">
        <v>709</v>
      </c>
    </row>
    <row r="10" spans="1:3" x14ac:dyDescent="0.2">
      <c r="A10" s="2" t="s">
        <v>368</v>
      </c>
      <c r="B10" s="17">
        <v>5528</v>
      </c>
      <c r="C10" s="17">
        <v>577</v>
      </c>
    </row>
    <row r="11" spans="1:3" x14ac:dyDescent="0.2">
      <c r="A11" s="2" t="s">
        <v>374</v>
      </c>
      <c r="B11" s="17">
        <v>5448</v>
      </c>
      <c r="C11" s="17">
        <v>568</v>
      </c>
    </row>
    <row r="12" spans="1:3" x14ac:dyDescent="0.2">
      <c r="A12" s="2" t="s">
        <v>371</v>
      </c>
      <c r="B12" s="17">
        <v>5208</v>
      </c>
      <c r="C12" s="17">
        <v>543</v>
      </c>
    </row>
    <row r="13" spans="1:3" x14ac:dyDescent="0.2">
      <c r="A13" s="2" t="s">
        <v>363</v>
      </c>
      <c r="B13" s="17">
        <v>5045</v>
      </c>
      <c r="C13" s="17">
        <v>526</v>
      </c>
    </row>
    <row r="14" spans="1:3" x14ac:dyDescent="0.2">
      <c r="A14" s="115" t="s">
        <v>358</v>
      </c>
      <c r="B14" s="149">
        <f>SUM(B4:B13)</f>
        <v>285498</v>
      </c>
      <c r="C14" s="149">
        <f>SUM(C4:C13)</f>
        <v>29784</v>
      </c>
    </row>
    <row r="15" spans="1:3" x14ac:dyDescent="0.2">
      <c r="A15" s="2" t="s">
        <v>359</v>
      </c>
      <c r="B15" s="17">
        <v>32647</v>
      </c>
      <c r="C15" s="17">
        <v>3406</v>
      </c>
    </row>
    <row r="16" spans="1:3" x14ac:dyDescent="0.2">
      <c r="A16" s="115" t="s">
        <v>33</v>
      </c>
      <c r="B16" s="149">
        <f>B14+B15</f>
        <v>318145</v>
      </c>
      <c r="C16" s="149">
        <f>C14+C15</f>
        <v>33190</v>
      </c>
    </row>
    <row r="18" spans="1:3" x14ac:dyDescent="0.2">
      <c r="A18" s="8" t="s">
        <v>360</v>
      </c>
      <c r="B18" s="8"/>
      <c r="C18" s="8"/>
    </row>
    <row r="19" spans="1:3" x14ac:dyDescent="0.2">
      <c r="A19" s="8" t="s">
        <v>55</v>
      </c>
      <c r="B19" s="8"/>
      <c r="C19" s="8"/>
    </row>
    <row r="20" spans="1:3" x14ac:dyDescent="0.2">
      <c r="A20" s="264" t="s">
        <v>184</v>
      </c>
      <c r="B20" s="258"/>
      <c r="C20" s="258"/>
    </row>
  </sheetData>
  <mergeCells count="2">
    <mergeCell ref="A1:C1"/>
    <mergeCell ref="A20:C20"/>
  </mergeCells>
  <pageMargins left="0.7" right="0.7" top="0.75" bottom="0.75" header="0.3" footer="0.3"/>
  <pageSetup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C30"/>
  <sheetViews>
    <sheetView showGridLines="0" zoomScale="90" zoomScaleNormal="90" workbookViewId="0">
      <selection activeCell="A3" sqref="A3:C26"/>
    </sheetView>
  </sheetViews>
  <sheetFormatPr baseColWidth="10" defaultColWidth="9.6640625" defaultRowHeight="15" x14ac:dyDescent="0.2"/>
  <cols>
    <col min="1" max="1" width="93.83203125" style="2" bestFit="1" customWidth="1"/>
    <col min="2" max="2" width="26.83203125" style="2" bestFit="1" customWidth="1"/>
    <col min="3" max="3" width="7.6640625" style="2" bestFit="1" customWidth="1"/>
    <col min="4" max="16384" width="9.6640625" style="2"/>
  </cols>
  <sheetData>
    <row r="1" spans="1:3" ht="16" x14ac:dyDescent="0.2">
      <c r="A1" s="259" t="s">
        <v>375</v>
      </c>
      <c r="B1" s="259"/>
      <c r="C1" s="259"/>
    </row>
    <row r="2" spans="1:3" ht="16" x14ac:dyDescent="0.2">
      <c r="A2" s="1"/>
      <c r="B2" s="1"/>
      <c r="C2" s="1"/>
    </row>
    <row r="3" spans="1:3" x14ac:dyDescent="0.2">
      <c r="A3" s="13" t="s">
        <v>345</v>
      </c>
      <c r="B3" s="13" t="s">
        <v>376</v>
      </c>
      <c r="C3" s="13" t="s">
        <v>347</v>
      </c>
    </row>
    <row r="4" spans="1:3" x14ac:dyDescent="0.2">
      <c r="A4" s="66" t="s">
        <v>377</v>
      </c>
      <c r="B4" s="66">
        <v>640</v>
      </c>
      <c r="C4" s="66">
        <v>67</v>
      </c>
    </row>
    <row r="5" spans="1:3" x14ac:dyDescent="0.2">
      <c r="A5" s="66" t="s">
        <v>367</v>
      </c>
      <c r="B5" s="66">
        <v>390</v>
      </c>
      <c r="C5" s="66">
        <v>41</v>
      </c>
    </row>
    <row r="6" spans="1:3" x14ac:dyDescent="0.2">
      <c r="A6" s="66" t="s">
        <v>378</v>
      </c>
      <c r="B6" s="66">
        <v>351</v>
      </c>
      <c r="C6" s="66">
        <v>37</v>
      </c>
    </row>
    <row r="7" spans="1:3" x14ac:dyDescent="0.2">
      <c r="A7" s="66" t="s">
        <v>379</v>
      </c>
      <c r="B7" s="66">
        <v>113</v>
      </c>
      <c r="C7" s="66">
        <v>12</v>
      </c>
    </row>
    <row r="8" spans="1:3" x14ac:dyDescent="0.2">
      <c r="A8" s="66" t="s">
        <v>380</v>
      </c>
      <c r="B8" s="66">
        <v>62</v>
      </c>
      <c r="C8" s="66">
        <v>6</v>
      </c>
    </row>
    <row r="9" spans="1:3" x14ac:dyDescent="0.2">
      <c r="A9" s="66" t="s">
        <v>381</v>
      </c>
      <c r="B9" s="66">
        <v>61</v>
      </c>
      <c r="C9" s="66">
        <v>6</v>
      </c>
    </row>
    <row r="10" spans="1:3" x14ac:dyDescent="0.2">
      <c r="A10" s="66" t="s">
        <v>382</v>
      </c>
      <c r="B10" s="66">
        <v>60</v>
      </c>
      <c r="C10" s="66">
        <v>6</v>
      </c>
    </row>
    <row r="11" spans="1:3" x14ac:dyDescent="0.2">
      <c r="A11" s="66" t="s">
        <v>383</v>
      </c>
      <c r="B11" s="66">
        <v>54</v>
      </c>
      <c r="C11" s="66">
        <v>6</v>
      </c>
    </row>
    <row r="12" spans="1:3" x14ac:dyDescent="0.2">
      <c r="A12" s="66" t="s">
        <v>384</v>
      </c>
      <c r="B12" s="66">
        <v>44</v>
      </c>
      <c r="C12" s="66">
        <v>5</v>
      </c>
    </row>
    <row r="13" spans="1:3" x14ac:dyDescent="0.2">
      <c r="A13" s="66" t="s">
        <v>385</v>
      </c>
      <c r="B13" s="66">
        <v>29</v>
      </c>
      <c r="C13" s="66">
        <v>3</v>
      </c>
    </row>
    <row r="14" spans="1:3" x14ac:dyDescent="0.2">
      <c r="A14" s="66" t="s">
        <v>386</v>
      </c>
      <c r="B14" s="66">
        <v>26</v>
      </c>
      <c r="C14" s="66">
        <v>3</v>
      </c>
    </row>
    <row r="15" spans="1:3" x14ac:dyDescent="0.2">
      <c r="A15" s="66" t="s">
        <v>387</v>
      </c>
      <c r="B15" s="66">
        <v>22</v>
      </c>
      <c r="C15" s="66">
        <v>2</v>
      </c>
    </row>
    <row r="16" spans="1:3" x14ac:dyDescent="0.2">
      <c r="A16" s="66" t="s">
        <v>388</v>
      </c>
      <c r="B16" s="66">
        <v>18</v>
      </c>
      <c r="C16" s="66">
        <v>2</v>
      </c>
    </row>
    <row r="17" spans="1:3" x14ac:dyDescent="0.2">
      <c r="A17" s="66" t="s">
        <v>389</v>
      </c>
      <c r="B17" s="66">
        <v>15</v>
      </c>
      <c r="C17" s="66">
        <v>2</v>
      </c>
    </row>
    <row r="18" spans="1:3" x14ac:dyDescent="0.2">
      <c r="A18" s="66" t="s">
        <v>390</v>
      </c>
      <c r="B18" s="66">
        <v>13</v>
      </c>
      <c r="C18" s="66">
        <v>1</v>
      </c>
    </row>
    <row r="19" spans="1:3" x14ac:dyDescent="0.2">
      <c r="A19" s="66" t="s">
        <v>391</v>
      </c>
      <c r="B19" s="66">
        <v>12</v>
      </c>
      <c r="C19" s="66">
        <v>1</v>
      </c>
    </row>
    <row r="20" spans="1:3" x14ac:dyDescent="0.2">
      <c r="A20" s="66" t="s">
        <v>392</v>
      </c>
      <c r="B20" s="66">
        <v>12</v>
      </c>
      <c r="C20" s="66">
        <v>1</v>
      </c>
    </row>
    <row r="21" spans="1:3" x14ac:dyDescent="0.2">
      <c r="A21" s="66" t="s">
        <v>393</v>
      </c>
      <c r="B21" s="66">
        <v>12</v>
      </c>
      <c r="C21" s="66">
        <v>1</v>
      </c>
    </row>
    <row r="22" spans="1:3" x14ac:dyDescent="0.2">
      <c r="A22" s="66" t="s">
        <v>394</v>
      </c>
      <c r="B22" s="66">
        <v>11</v>
      </c>
      <c r="C22" s="66">
        <v>1</v>
      </c>
    </row>
    <row r="23" spans="1:3" x14ac:dyDescent="0.2">
      <c r="A23" s="66" t="s">
        <v>395</v>
      </c>
      <c r="B23" s="66">
        <v>11</v>
      </c>
      <c r="C23" s="66">
        <v>1</v>
      </c>
    </row>
    <row r="24" spans="1:3" x14ac:dyDescent="0.2">
      <c r="A24" s="115" t="s">
        <v>358</v>
      </c>
      <c r="B24" s="149">
        <f>SUM(B4:B23)</f>
        <v>1956</v>
      </c>
      <c r="C24" s="149">
        <f>SUM(C4:C23)</f>
        <v>204</v>
      </c>
    </row>
    <row r="25" spans="1:3" x14ac:dyDescent="0.2">
      <c r="A25" s="2" t="s">
        <v>396</v>
      </c>
      <c r="B25" s="17">
        <v>363</v>
      </c>
      <c r="C25" s="17">
        <v>38</v>
      </c>
    </row>
    <row r="26" spans="1:3" x14ac:dyDescent="0.2">
      <c r="A26" s="115" t="s">
        <v>33</v>
      </c>
      <c r="B26" s="149">
        <f>B24+B25</f>
        <v>2319</v>
      </c>
      <c r="C26" s="149">
        <f>C24+C25</f>
        <v>242</v>
      </c>
    </row>
    <row r="28" spans="1:3" x14ac:dyDescent="0.2">
      <c r="A28" s="8" t="s">
        <v>397</v>
      </c>
      <c r="B28" s="8"/>
      <c r="C28" s="8"/>
    </row>
    <row r="29" spans="1:3" x14ac:dyDescent="0.2">
      <c r="A29" s="257" t="s">
        <v>55</v>
      </c>
      <c r="B29" s="257"/>
      <c r="C29" s="257"/>
    </row>
    <row r="30" spans="1:3" x14ac:dyDescent="0.2">
      <c r="A30" s="258"/>
      <c r="B30" s="258"/>
      <c r="C30" s="258"/>
    </row>
  </sheetData>
  <mergeCells count="3">
    <mergeCell ref="A1:C1"/>
    <mergeCell ref="A29:C29"/>
    <mergeCell ref="A30:C30"/>
  </mergeCell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C30"/>
  <sheetViews>
    <sheetView showGridLines="0" topLeftCell="A14" zoomScale="90" zoomScaleNormal="90" workbookViewId="0">
      <selection activeCell="A24" sqref="A24:C26"/>
    </sheetView>
  </sheetViews>
  <sheetFormatPr baseColWidth="10" defaultColWidth="9.6640625" defaultRowHeight="15" x14ac:dyDescent="0.2"/>
  <cols>
    <col min="1" max="1" width="127.1640625" style="2" bestFit="1" customWidth="1"/>
    <col min="2" max="2" width="26.83203125" style="2" bestFit="1" customWidth="1"/>
    <col min="3" max="3" width="7.6640625" style="2" bestFit="1" customWidth="1"/>
    <col min="4" max="16384" width="9.6640625" style="2"/>
  </cols>
  <sheetData>
    <row r="1" spans="1:3" ht="16" x14ac:dyDescent="0.2">
      <c r="A1" s="259" t="s">
        <v>398</v>
      </c>
      <c r="B1" s="259"/>
      <c r="C1" s="259"/>
    </row>
    <row r="2" spans="1:3" x14ac:dyDescent="0.2">
      <c r="A2" s="65"/>
      <c r="B2" s="65"/>
      <c r="C2" s="65"/>
    </row>
    <row r="3" spans="1:3" x14ac:dyDescent="0.2">
      <c r="A3" s="13" t="s">
        <v>345</v>
      </c>
      <c r="B3" s="13" t="s">
        <v>376</v>
      </c>
      <c r="C3" s="13" t="s">
        <v>347</v>
      </c>
    </row>
    <row r="4" spans="1:3" x14ac:dyDescent="0.2">
      <c r="A4" s="151" t="s">
        <v>377</v>
      </c>
      <c r="B4" s="151">
        <v>780</v>
      </c>
      <c r="C4" s="151">
        <v>81</v>
      </c>
    </row>
    <row r="5" spans="1:3" x14ac:dyDescent="0.2">
      <c r="A5" s="151" t="s">
        <v>367</v>
      </c>
      <c r="B5" s="151">
        <v>328</v>
      </c>
      <c r="C5" s="151">
        <v>34</v>
      </c>
    </row>
    <row r="6" spans="1:3" x14ac:dyDescent="0.2">
      <c r="A6" s="151" t="s">
        <v>378</v>
      </c>
      <c r="B6" s="151">
        <v>301</v>
      </c>
      <c r="C6" s="151">
        <v>31</v>
      </c>
    </row>
    <row r="7" spans="1:3" x14ac:dyDescent="0.2">
      <c r="A7" s="151" t="s">
        <v>382</v>
      </c>
      <c r="B7" s="151">
        <v>241</v>
      </c>
      <c r="C7" s="151">
        <v>25</v>
      </c>
    </row>
    <row r="8" spans="1:3" x14ac:dyDescent="0.2">
      <c r="A8" s="151" t="s">
        <v>379</v>
      </c>
      <c r="B8" s="151">
        <v>192</v>
      </c>
      <c r="C8" s="151">
        <v>20</v>
      </c>
    </row>
    <row r="9" spans="1:3" x14ac:dyDescent="0.2">
      <c r="A9" s="151" t="s">
        <v>394</v>
      </c>
      <c r="B9" s="151">
        <v>106</v>
      </c>
      <c r="C9" s="151">
        <v>11</v>
      </c>
    </row>
    <row r="10" spans="1:3" x14ac:dyDescent="0.2">
      <c r="A10" s="151" t="s">
        <v>380</v>
      </c>
      <c r="B10" s="151">
        <v>103</v>
      </c>
      <c r="C10" s="151">
        <v>11</v>
      </c>
    </row>
    <row r="11" spans="1:3" x14ac:dyDescent="0.2">
      <c r="A11" s="151" t="s">
        <v>381</v>
      </c>
      <c r="B11" s="151">
        <v>80</v>
      </c>
      <c r="C11" s="151">
        <v>8</v>
      </c>
    </row>
    <row r="12" spans="1:3" x14ac:dyDescent="0.2">
      <c r="A12" s="151" t="s">
        <v>393</v>
      </c>
      <c r="B12" s="151">
        <v>73</v>
      </c>
      <c r="C12" s="151">
        <v>8</v>
      </c>
    </row>
    <row r="13" spans="1:3" x14ac:dyDescent="0.2">
      <c r="A13" s="151" t="s">
        <v>387</v>
      </c>
      <c r="B13" s="151">
        <v>71</v>
      </c>
      <c r="C13" s="151">
        <v>7</v>
      </c>
    </row>
    <row r="14" spans="1:3" x14ac:dyDescent="0.2">
      <c r="A14" s="151" t="s">
        <v>383</v>
      </c>
      <c r="B14" s="151">
        <v>58</v>
      </c>
      <c r="C14" s="151">
        <v>6</v>
      </c>
    </row>
    <row r="15" spans="1:3" x14ac:dyDescent="0.2">
      <c r="A15" s="151" t="s">
        <v>384</v>
      </c>
      <c r="B15" s="151">
        <v>47</v>
      </c>
      <c r="C15" s="151">
        <v>5</v>
      </c>
    </row>
    <row r="16" spans="1:3" x14ac:dyDescent="0.2">
      <c r="A16" s="151" t="s">
        <v>385</v>
      </c>
      <c r="B16" s="151">
        <v>31</v>
      </c>
      <c r="C16" s="151">
        <v>3</v>
      </c>
    </row>
    <row r="17" spans="1:3" x14ac:dyDescent="0.2">
      <c r="A17" s="151" t="s">
        <v>386</v>
      </c>
      <c r="B17" s="151">
        <v>27</v>
      </c>
      <c r="C17" s="151">
        <v>3</v>
      </c>
    </row>
    <row r="18" spans="1:3" x14ac:dyDescent="0.2">
      <c r="A18" s="151" t="s">
        <v>389</v>
      </c>
      <c r="B18" s="151">
        <v>20</v>
      </c>
      <c r="C18" s="151">
        <v>2</v>
      </c>
    </row>
    <row r="19" spans="1:3" x14ac:dyDescent="0.2">
      <c r="A19" s="151" t="s">
        <v>391</v>
      </c>
      <c r="B19" s="151">
        <v>15</v>
      </c>
      <c r="C19" s="151">
        <v>2</v>
      </c>
    </row>
    <row r="20" spans="1:3" x14ac:dyDescent="0.2">
      <c r="A20" s="151" t="s">
        <v>399</v>
      </c>
      <c r="B20" s="151">
        <v>14</v>
      </c>
      <c r="C20" s="151">
        <v>1</v>
      </c>
    </row>
    <row r="21" spans="1:3" x14ac:dyDescent="0.2">
      <c r="A21" s="151" t="s">
        <v>388</v>
      </c>
      <c r="B21" s="151">
        <v>13</v>
      </c>
      <c r="C21" s="151">
        <v>1</v>
      </c>
    </row>
    <row r="22" spans="1:3" x14ac:dyDescent="0.2">
      <c r="A22" s="151" t="s">
        <v>400</v>
      </c>
      <c r="B22" s="151">
        <v>12</v>
      </c>
      <c r="C22" s="151">
        <v>1</v>
      </c>
    </row>
    <row r="23" spans="1:3" x14ac:dyDescent="0.2">
      <c r="A23" s="151" t="s">
        <v>401</v>
      </c>
      <c r="B23" s="151">
        <v>10</v>
      </c>
      <c r="C23" s="151">
        <v>1</v>
      </c>
    </row>
    <row r="24" spans="1:3" x14ac:dyDescent="0.2">
      <c r="A24" s="115" t="s">
        <v>358</v>
      </c>
      <c r="B24" s="149">
        <f>SUM(B4:B23)</f>
        <v>2522</v>
      </c>
      <c r="C24" s="149">
        <f>SUM(C4:C23)</f>
        <v>261</v>
      </c>
    </row>
    <row r="25" spans="1:3" x14ac:dyDescent="0.2">
      <c r="A25" s="2" t="s">
        <v>396</v>
      </c>
      <c r="B25" s="17">
        <v>394</v>
      </c>
      <c r="C25" s="17">
        <v>41</v>
      </c>
    </row>
    <row r="26" spans="1:3" x14ac:dyDescent="0.2">
      <c r="A26" s="115" t="s">
        <v>33</v>
      </c>
      <c r="B26" s="149">
        <f>B24+B25</f>
        <v>2916</v>
      </c>
      <c r="C26" s="149">
        <f>C24+C25</f>
        <v>302</v>
      </c>
    </row>
    <row r="28" spans="1:3" x14ac:dyDescent="0.2">
      <c r="A28" s="8" t="s">
        <v>402</v>
      </c>
    </row>
    <row r="29" spans="1:3" x14ac:dyDescent="0.2">
      <c r="A29" s="257" t="s">
        <v>55</v>
      </c>
      <c r="B29" s="257"/>
      <c r="C29" s="257"/>
    </row>
    <row r="30" spans="1:3" x14ac:dyDescent="0.2">
      <c r="A30" s="258"/>
      <c r="B30" s="258"/>
      <c r="C30" s="258"/>
    </row>
  </sheetData>
  <mergeCells count="3">
    <mergeCell ref="A1:C1"/>
    <mergeCell ref="A29:C29"/>
    <mergeCell ref="A30:C30"/>
  </mergeCell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FFC000"/>
  </sheetPr>
  <dimension ref="A1:C30"/>
  <sheetViews>
    <sheetView showGridLines="0" topLeftCell="A14" zoomScaleNormal="100" workbookViewId="0">
      <selection activeCell="A24" sqref="A24:C26"/>
    </sheetView>
  </sheetViews>
  <sheetFormatPr baseColWidth="10" defaultColWidth="9.6640625" defaultRowHeight="15" x14ac:dyDescent="0.2"/>
  <cols>
    <col min="1" max="1" width="93.83203125" style="2" bestFit="1" customWidth="1"/>
    <col min="2" max="2" width="26.83203125" style="2" bestFit="1" customWidth="1"/>
    <col min="3" max="3" width="11.5" style="2" bestFit="1" customWidth="1"/>
    <col min="4" max="16384" width="9.6640625" style="2"/>
  </cols>
  <sheetData>
    <row r="1" spans="1:3" ht="16" x14ac:dyDescent="0.2">
      <c r="A1" s="259" t="s">
        <v>403</v>
      </c>
      <c r="B1" s="259"/>
      <c r="C1" s="259"/>
    </row>
    <row r="2" spans="1:3" ht="16" x14ac:dyDescent="0.2">
      <c r="A2" s="1"/>
      <c r="B2" s="1"/>
      <c r="C2" s="1"/>
    </row>
    <row r="3" spans="1:3" x14ac:dyDescent="0.2">
      <c r="A3" s="13" t="s">
        <v>345</v>
      </c>
      <c r="B3" s="13" t="s">
        <v>376</v>
      </c>
      <c r="C3" s="13" t="s">
        <v>347</v>
      </c>
    </row>
    <row r="4" spans="1:3" x14ac:dyDescent="0.2">
      <c r="A4" s="66" t="s">
        <v>377</v>
      </c>
      <c r="B4" s="66">
        <v>1420</v>
      </c>
      <c r="C4" s="66">
        <v>148</v>
      </c>
    </row>
    <row r="5" spans="1:3" x14ac:dyDescent="0.2">
      <c r="A5" s="66" t="s">
        <v>367</v>
      </c>
      <c r="B5" s="66">
        <v>718</v>
      </c>
      <c r="C5" s="66">
        <v>75</v>
      </c>
    </row>
    <row r="6" spans="1:3" x14ac:dyDescent="0.2">
      <c r="A6" s="66" t="s">
        <v>378</v>
      </c>
      <c r="B6" s="66">
        <v>652</v>
      </c>
      <c r="C6" s="66">
        <v>68</v>
      </c>
    </row>
    <row r="7" spans="1:3" x14ac:dyDescent="0.2">
      <c r="A7" s="66" t="s">
        <v>379</v>
      </c>
      <c r="B7" s="66">
        <v>305</v>
      </c>
      <c r="C7" s="66">
        <v>32</v>
      </c>
    </row>
    <row r="8" spans="1:3" x14ac:dyDescent="0.2">
      <c r="A8" s="66" t="s">
        <v>382</v>
      </c>
      <c r="B8" s="66">
        <v>301</v>
      </c>
      <c r="C8" s="66">
        <v>31</v>
      </c>
    </row>
    <row r="9" spans="1:3" x14ac:dyDescent="0.2">
      <c r="A9" s="66" t="s">
        <v>380</v>
      </c>
      <c r="B9" s="66">
        <v>165</v>
      </c>
      <c r="C9" s="66">
        <v>17</v>
      </c>
    </row>
    <row r="10" spans="1:3" x14ac:dyDescent="0.2">
      <c r="A10" s="66" t="s">
        <v>381</v>
      </c>
      <c r="B10" s="66">
        <v>141</v>
      </c>
      <c r="C10" s="66">
        <v>15</v>
      </c>
    </row>
    <row r="11" spans="1:3" x14ac:dyDescent="0.2">
      <c r="A11" s="66" t="s">
        <v>394</v>
      </c>
      <c r="B11" s="66">
        <v>117</v>
      </c>
      <c r="C11" s="66">
        <v>12</v>
      </c>
    </row>
    <row r="12" spans="1:3" x14ac:dyDescent="0.2">
      <c r="A12" s="66" t="s">
        <v>383</v>
      </c>
      <c r="B12" s="66">
        <v>112</v>
      </c>
      <c r="C12" s="66">
        <v>12</v>
      </c>
    </row>
    <row r="13" spans="1:3" x14ac:dyDescent="0.2">
      <c r="A13" s="66" t="s">
        <v>387</v>
      </c>
      <c r="B13" s="66">
        <v>93</v>
      </c>
      <c r="C13" s="66">
        <v>10</v>
      </c>
    </row>
    <row r="14" spans="1:3" x14ac:dyDescent="0.2">
      <c r="A14" s="66" t="s">
        <v>384</v>
      </c>
      <c r="B14" s="66">
        <v>91</v>
      </c>
      <c r="C14" s="66">
        <v>9</v>
      </c>
    </row>
    <row r="15" spans="1:3" x14ac:dyDescent="0.2">
      <c r="A15" s="66" t="s">
        <v>393</v>
      </c>
      <c r="B15" s="66">
        <v>85</v>
      </c>
      <c r="C15" s="66">
        <v>9</v>
      </c>
    </row>
    <row r="16" spans="1:3" x14ac:dyDescent="0.2">
      <c r="A16" s="66" t="s">
        <v>385</v>
      </c>
      <c r="B16" s="66">
        <v>60</v>
      </c>
      <c r="C16" s="66">
        <v>6</v>
      </c>
    </row>
    <row r="17" spans="1:3" x14ac:dyDescent="0.2">
      <c r="A17" s="66" t="s">
        <v>404</v>
      </c>
      <c r="B17" s="66">
        <v>53</v>
      </c>
      <c r="C17" s="66">
        <v>6</v>
      </c>
    </row>
    <row r="18" spans="1:3" x14ac:dyDescent="0.2">
      <c r="A18" s="66" t="s">
        <v>389</v>
      </c>
      <c r="B18" s="66">
        <v>35</v>
      </c>
      <c r="C18" s="66">
        <v>4</v>
      </c>
    </row>
    <row r="19" spans="1:3" x14ac:dyDescent="0.2">
      <c r="A19" s="66" t="s">
        <v>388</v>
      </c>
      <c r="B19" s="66">
        <v>31</v>
      </c>
      <c r="C19" s="66">
        <v>3</v>
      </c>
    </row>
    <row r="20" spans="1:3" x14ac:dyDescent="0.2">
      <c r="A20" s="66" t="s">
        <v>391</v>
      </c>
      <c r="B20" s="66">
        <v>27</v>
      </c>
      <c r="C20" s="66">
        <v>3</v>
      </c>
    </row>
    <row r="21" spans="1:3" x14ac:dyDescent="0.2">
      <c r="A21" s="66" t="s">
        <v>399</v>
      </c>
      <c r="B21" s="66">
        <v>21</v>
      </c>
      <c r="C21" s="66">
        <v>2</v>
      </c>
    </row>
    <row r="22" spans="1:3" x14ac:dyDescent="0.2">
      <c r="A22" s="66" t="s">
        <v>400</v>
      </c>
      <c r="B22" s="66">
        <v>20</v>
      </c>
      <c r="C22" s="66">
        <v>2</v>
      </c>
    </row>
    <row r="23" spans="1:3" x14ac:dyDescent="0.2">
      <c r="A23" s="66" t="s">
        <v>390</v>
      </c>
      <c r="B23" s="66">
        <v>19</v>
      </c>
      <c r="C23" s="66">
        <v>2</v>
      </c>
    </row>
    <row r="24" spans="1:3" x14ac:dyDescent="0.2">
      <c r="A24" s="115" t="s">
        <v>358</v>
      </c>
      <c r="B24" s="149">
        <f>SUM(B4:B23)</f>
        <v>4466</v>
      </c>
      <c r="C24" s="149">
        <f>SUM(C4:C23)</f>
        <v>466</v>
      </c>
    </row>
    <row r="25" spans="1:3" x14ac:dyDescent="0.2">
      <c r="A25" s="2" t="s">
        <v>396</v>
      </c>
      <c r="B25" s="17">
        <v>769</v>
      </c>
      <c r="C25" s="17">
        <v>80</v>
      </c>
    </row>
    <row r="26" spans="1:3" x14ac:dyDescent="0.2">
      <c r="A26" s="115" t="s">
        <v>33</v>
      </c>
      <c r="B26" s="149">
        <f>B24+B25</f>
        <v>5235</v>
      </c>
      <c r="C26" s="149">
        <f>C24+C25</f>
        <v>546</v>
      </c>
    </row>
    <row r="27" spans="1:3" x14ac:dyDescent="0.2">
      <c r="B27" s="17"/>
    </row>
    <row r="28" spans="1:3" x14ac:dyDescent="0.2">
      <c r="A28" s="8" t="s">
        <v>360</v>
      </c>
      <c r="B28" s="17"/>
    </row>
    <row r="29" spans="1:3" x14ac:dyDescent="0.2">
      <c r="A29" s="257" t="s">
        <v>405</v>
      </c>
      <c r="B29" s="257"/>
      <c r="C29" s="257"/>
    </row>
    <row r="30" spans="1:3" x14ac:dyDescent="0.2">
      <c r="A30" s="258"/>
      <c r="B30" s="258"/>
      <c r="C30" s="258"/>
    </row>
  </sheetData>
  <mergeCells count="3">
    <mergeCell ref="A1:C1"/>
    <mergeCell ref="A29:C29"/>
    <mergeCell ref="A30:C30"/>
  </mergeCells>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C000"/>
  </sheetPr>
  <dimension ref="A1:E13"/>
  <sheetViews>
    <sheetView showGridLines="0" workbookViewId="0">
      <selection activeCell="C7" sqref="C7"/>
    </sheetView>
  </sheetViews>
  <sheetFormatPr baseColWidth="10" defaultColWidth="9.6640625" defaultRowHeight="15" x14ac:dyDescent="0.2"/>
  <cols>
    <col min="1" max="1" width="28.1640625" style="2" bestFit="1" customWidth="1"/>
    <col min="2" max="2" width="8.83203125" style="2" bestFit="1" customWidth="1"/>
    <col min="3" max="3" width="12.5" style="2" bestFit="1" customWidth="1"/>
    <col min="4" max="4" width="11.5" style="2" bestFit="1" customWidth="1"/>
    <col min="5" max="5" width="133.6640625" style="2" bestFit="1" customWidth="1"/>
    <col min="6" max="16384" width="9.6640625" style="2"/>
  </cols>
  <sheetData>
    <row r="1" spans="1:5" ht="16" x14ac:dyDescent="0.2">
      <c r="A1" s="1" t="s">
        <v>325</v>
      </c>
      <c r="B1" s="1"/>
      <c r="C1" s="1"/>
      <c r="D1" s="1"/>
      <c r="E1" s="1"/>
    </row>
    <row r="2" spans="1:5" ht="16" x14ac:dyDescent="0.2">
      <c r="A2" s="1"/>
      <c r="B2" s="1"/>
      <c r="C2" s="1"/>
      <c r="D2" s="1"/>
      <c r="E2" s="1"/>
    </row>
    <row r="3" spans="1:5" x14ac:dyDescent="0.2">
      <c r="A3" s="13" t="s">
        <v>326</v>
      </c>
      <c r="B3" s="13" t="s">
        <v>327</v>
      </c>
      <c r="C3" s="13" t="s">
        <v>328</v>
      </c>
      <c r="D3" s="13" t="s">
        <v>329</v>
      </c>
    </row>
    <row r="4" spans="1:5" x14ac:dyDescent="0.2">
      <c r="A4" s="2" t="s">
        <v>330</v>
      </c>
      <c r="B4" s="2">
        <v>290</v>
      </c>
      <c r="C4" s="2">
        <v>95</v>
      </c>
      <c r="D4" s="17">
        <v>3010</v>
      </c>
    </row>
    <row r="5" spans="1:5" x14ac:dyDescent="0.2">
      <c r="A5" s="2" t="s">
        <v>442</v>
      </c>
      <c r="B5" s="2">
        <v>53</v>
      </c>
      <c r="C5" s="2">
        <v>5</v>
      </c>
      <c r="D5" s="2">
        <v>693</v>
      </c>
    </row>
    <row r="6" spans="1:5" x14ac:dyDescent="0.2">
      <c r="A6" s="2" t="s">
        <v>443</v>
      </c>
      <c r="B6" s="2">
        <v>13</v>
      </c>
      <c r="C6" s="2">
        <v>0</v>
      </c>
      <c r="D6" s="2">
        <v>239</v>
      </c>
    </row>
    <row r="7" spans="1:5" x14ac:dyDescent="0.2">
      <c r="A7" s="107" t="s">
        <v>84</v>
      </c>
      <c r="B7" s="107">
        <f>SUM(B4:B6)</f>
        <v>356</v>
      </c>
      <c r="C7" s="107">
        <f>SUM(C4:C6)</f>
        <v>100</v>
      </c>
      <c r="D7" s="107">
        <f>SUM(D4:D6)</f>
        <v>3942</v>
      </c>
    </row>
    <row r="9" spans="1:5" x14ac:dyDescent="0.2">
      <c r="A9" s="2" t="s">
        <v>331</v>
      </c>
      <c r="B9" s="8"/>
      <c r="C9" s="8"/>
      <c r="D9" s="8"/>
      <c r="E9" s="8"/>
    </row>
    <row r="10" spans="1:5" x14ac:dyDescent="0.2">
      <c r="A10" s="2" t="s">
        <v>440</v>
      </c>
      <c r="B10" s="8"/>
      <c r="C10" s="8"/>
      <c r="D10" s="8"/>
      <c r="E10" s="8"/>
    </row>
    <row r="11" spans="1:5" x14ac:dyDescent="0.2">
      <c r="A11" s="2" t="s">
        <v>441</v>
      </c>
      <c r="B11" s="8"/>
      <c r="C11" s="8"/>
      <c r="D11" s="8"/>
      <c r="E11" s="8"/>
    </row>
    <row r="12" spans="1:5" x14ac:dyDescent="0.2">
      <c r="B12" s="8"/>
      <c r="C12" s="8"/>
      <c r="D12" s="108"/>
      <c r="E12" s="8"/>
    </row>
    <row r="13" spans="1:5" x14ac:dyDescent="0.2">
      <c r="A13" s="8" t="s">
        <v>55</v>
      </c>
      <c r="B13" s="8"/>
      <c r="C13" s="8"/>
      <c r="D13" s="8"/>
      <c r="E13" s="8"/>
    </row>
  </sheetData>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FFC000"/>
  </sheetPr>
  <dimension ref="A1:D16"/>
  <sheetViews>
    <sheetView showGridLines="0" workbookViewId="0">
      <selection activeCell="B15" sqref="B15"/>
    </sheetView>
  </sheetViews>
  <sheetFormatPr baseColWidth="10" defaultColWidth="9.6640625" defaultRowHeight="15" x14ac:dyDescent="0.2"/>
  <cols>
    <col min="1" max="1" width="39.83203125" style="2" bestFit="1" customWidth="1"/>
    <col min="2" max="2" width="28.5" style="2" customWidth="1"/>
    <col min="3" max="3" width="38.1640625" style="2" customWidth="1"/>
    <col min="4" max="4" width="7.6640625" style="2" bestFit="1" customWidth="1"/>
    <col min="5" max="16384" width="9.6640625" style="2"/>
  </cols>
  <sheetData>
    <row r="1" spans="1:4" ht="16" x14ac:dyDescent="0.2">
      <c r="A1" s="1" t="s">
        <v>332</v>
      </c>
      <c r="B1" s="1"/>
      <c r="C1" s="1"/>
      <c r="D1" s="1"/>
    </row>
    <row r="2" spans="1:4" ht="16" x14ac:dyDescent="0.2">
      <c r="A2" s="1"/>
      <c r="B2" s="1"/>
      <c r="C2" s="1"/>
      <c r="D2" s="1"/>
    </row>
    <row r="3" spans="1:4" x14ac:dyDescent="0.2">
      <c r="A3" s="109" t="s">
        <v>168</v>
      </c>
      <c r="B3" s="109" t="s">
        <v>28</v>
      </c>
      <c r="C3" s="109" t="s">
        <v>333</v>
      </c>
    </row>
    <row r="4" spans="1:4" x14ac:dyDescent="0.2">
      <c r="A4" s="270" t="s">
        <v>334</v>
      </c>
      <c r="B4" s="270"/>
      <c r="C4" s="110">
        <f>SUM(C5:C8)</f>
        <v>5698</v>
      </c>
    </row>
    <row r="5" spans="1:4" x14ac:dyDescent="0.2">
      <c r="A5" s="111"/>
      <c r="B5" s="111" t="s">
        <v>335</v>
      </c>
      <c r="C5" s="112">
        <v>40</v>
      </c>
    </row>
    <row r="6" spans="1:4" x14ac:dyDescent="0.2">
      <c r="A6" s="111"/>
      <c r="B6" s="111" t="s">
        <v>336</v>
      </c>
      <c r="C6" s="112">
        <v>645</v>
      </c>
    </row>
    <row r="7" spans="1:4" x14ac:dyDescent="0.2">
      <c r="A7" s="111"/>
      <c r="B7" s="111" t="s">
        <v>337</v>
      </c>
      <c r="C7" s="112">
        <v>4091</v>
      </c>
    </row>
    <row r="8" spans="1:4" x14ac:dyDescent="0.2">
      <c r="A8" s="111"/>
      <c r="B8" s="111" t="s">
        <v>338</v>
      </c>
      <c r="C8" s="112">
        <v>922</v>
      </c>
    </row>
    <row r="9" spans="1:4" x14ac:dyDescent="0.2">
      <c r="A9" s="270" t="s">
        <v>339</v>
      </c>
      <c r="B9" s="270"/>
      <c r="C9" s="110">
        <f>SUM(C10:C13)</f>
        <v>3675</v>
      </c>
    </row>
    <row r="10" spans="1:4" x14ac:dyDescent="0.2">
      <c r="A10" s="111"/>
      <c r="B10" s="111" t="s">
        <v>340</v>
      </c>
      <c r="C10" s="112">
        <v>395</v>
      </c>
    </row>
    <row r="11" spans="1:4" x14ac:dyDescent="0.2">
      <c r="A11" s="111"/>
      <c r="B11" s="111" t="s">
        <v>341</v>
      </c>
      <c r="C11" s="112">
        <v>2000</v>
      </c>
    </row>
    <row r="12" spans="1:4" x14ac:dyDescent="0.2">
      <c r="A12" s="111"/>
      <c r="B12" s="111" t="s">
        <v>342</v>
      </c>
      <c r="C12" s="112">
        <v>775</v>
      </c>
    </row>
    <row r="13" spans="1:4" x14ac:dyDescent="0.2">
      <c r="A13" s="111"/>
      <c r="B13" s="111" t="s">
        <v>343</v>
      </c>
      <c r="C13" s="112">
        <v>505</v>
      </c>
    </row>
    <row r="14" spans="1:4" x14ac:dyDescent="0.2">
      <c r="A14" s="20"/>
      <c r="B14" s="20"/>
      <c r="C14" s="20"/>
    </row>
    <row r="16" spans="1:4" x14ac:dyDescent="0.2">
      <c r="A16" s="8" t="s">
        <v>55</v>
      </c>
    </row>
  </sheetData>
  <mergeCells count="2">
    <mergeCell ref="A4:B4"/>
    <mergeCell ref="A9:B9"/>
  </mergeCell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FFC000"/>
  </sheetPr>
  <dimension ref="A1:E12"/>
  <sheetViews>
    <sheetView showGridLines="0" workbookViewId="0">
      <selection activeCell="B15" sqref="B15"/>
    </sheetView>
  </sheetViews>
  <sheetFormatPr baseColWidth="10" defaultColWidth="9.6640625" defaultRowHeight="15" x14ac:dyDescent="0.2"/>
  <cols>
    <col min="1" max="1" width="36" style="2" bestFit="1" customWidth="1"/>
    <col min="2" max="2" width="19.1640625" style="2" bestFit="1" customWidth="1"/>
    <col min="3" max="3" width="28.1640625" style="2" bestFit="1" customWidth="1"/>
    <col min="4" max="4" width="29.5" style="2" bestFit="1" customWidth="1"/>
    <col min="5" max="5" width="28.1640625" style="2" bestFit="1" customWidth="1"/>
    <col min="6" max="16384" width="9.6640625" style="2"/>
  </cols>
  <sheetData>
    <row r="1" spans="1:5" ht="16" x14ac:dyDescent="0.2">
      <c r="A1" s="259" t="s">
        <v>406</v>
      </c>
      <c r="B1" s="259"/>
      <c r="C1" s="259"/>
      <c r="D1" s="259"/>
      <c r="E1" s="259"/>
    </row>
    <row r="2" spans="1:5" ht="16" x14ac:dyDescent="0.2">
      <c r="A2" s="1"/>
      <c r="B2" s="1"/>
      <c r="C2" s="1"/>
      <c r="D2" s="1"/>
      <c r="E2" s="1"/>
    </row>
    <row r="3" spans="1:5" ht="16" x14ac:dyDescent="0.2">
      <c r="A3" s="254" t="s">
        <v>407</v>
      </c>
      <c r="B3" s="254" t="s">
        <v>408</v>
      </c>
      <c r="C3" s="256" t="s">
        <v>409</v>
      </c>
      <c r="D3" s="256"/>
      <c r="E3" s="256"/>
    </row>
    <row r="4" spans="1:5" x14ac:dyDescent="0.2">
      <c r="A4" s="255"/>
      <c r="B4" s="255"/>
      <c r="C4" s="3" t="s">
        <v>31</v>
      </c>
      <c r="D4" s="3" t="s">
        <v>32</v>
      </c>
      <c r="E4" s="3" t="s">
        <v>33</v>
      </c>
    </row>
    <row r="5" spans="1:5" x14ac:dyDescent="0.2">
      <c r="A5" s="2" t="s">
        <v>410</v>
      </c>
      <c r="B5" s="2">
        <v>23</v>
      </c>
      <c r="C5" s="2">
        <v>307</v>
      </c>
      <c r="D5" s="2">
        <v>186</v>
      </c>
      <c r="E5" s="2">
        <v>493</v>
      </c>
    </row>
    <row r="6" spans="1:5" x14ac:dyDescent="0.2">
      <c r="A6" s="2" t="s">
        <v>411</v>
      </c>
      <c r="B6" s="2">
        <v>21</v>
      </c>
      <c r="C6" s="17">
        <v>221</v>
      </c>
      <c r="D6" s="2">
        <v>164</v>
      </c>
      <c r="E6" s="17">
        <v>385</v>
      </c>
    </row>
    <row r="7" spans="1:5" x14ac:dyDescent="0.2">
      <c r="A7" s="2" t="s">
        <v>412</v>
      </c>
      <c r="B7" s="2">
        <v>3</v>
      </c>
      <c r="C7" s="2">
        <v>58</v>
      </c>
      <c r="D7" s="2">
        <v>62</v>
      </c>
      <c r="E7" s="2">
        <v>120</v>
      </c>
    </row>
    <row r="8" spans="1:5" x14ac:dyDescent="0.2">
      <c r="A8" s="2" t="s">
        <v>413</v>
      </c>
      <c r="B8" s="2">
        <v>26</v>
      </c>
      <c r="C8" s="17">
        <v>487</v>
      </c>
      <c r="D8" s="2">
        <v>237</v>
      </c>
      <c r="E8" s="17">
        <v>724</v>
      </c>
    </row>
    <row r="9" spans="1:5" x14ac:dyDescent="0.2">
      <c r="A9" s="2" t="s">
        <v>414</v>
      </c>
      <c r="B9" s="2">
        <v>3</v>
      </c>
      <c r="C9" s="2">
        <v>13</v>
      </c>
      <c r="D9" s="2">
        <v>35</v>
      </c>
      <c r="E9" s="2">
        <v>48</v>
      </c>
    </row>
    <row r="10" spans="1:5" ht="16" x14ac:dyDescent="0.2">
      <c r="A10" s="34" t="s">
        <v>33</v>
      </c>
      <c r="B10" s="90">
        <f>SUM(B5:B9)</f>
        <v>76</v>
      </c>
      <c r="C10" s="90">
        <f t="shared" ref="C10:E10" si="0">SUM(C5:C9)</f>
        <v>1086</v>
      </c>
      <c r="D10" s="90">
        <f t="shared" si="0"/>
        <v>684</v>
      </c>
      <c r="E10" s="90">
        <f t="shared" si="0"/>
        <v>1770</v>
      </c>
    </row>
    <row r="12" spans="1:5" x14ac:dyDescent="0.2">
      <c r="A12" s="8" t="s">
        <v>55</v>
      </c>
      <c r="B12" s="8"/>
      <c r="C12" s="8"/>
      <c r="D12" s="8"/>
      <c r="E12" s="8"/>
    </row>
  </sheetData>
  <mergeCells count="4">
    <mergeCell ref="A1:E1"/>
    <mergeCell ref="A3:A4"/>
    <mergeCell ref="B3:B4"/>
    <mergeCell ref="C3:E3"/>
  </mergeCells>
  <pageMargins left="0.7" right="0.7" top="0.75" bottom="0.75" header="0.3" footer="0.3"/>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FFC000"/>
  </sheetPr>
  <dimension ref="A1:B11"/>
  <sheetViews>
    <sheetView showGridLines="0" workbookViewId="0">
      <selection activeCell="B17" sqref="B17"/>
    </sheetView>
  </sheetViews>
  <sheetFormatPr baseColWidth="10" defaultColWidth="9.6640625" defaultRowHeight="15" x14ac:dyDescent="0.2"/>
  <cols>
    <col min="1" max="1" width="44.83203125" style="2" bestFit="1" customWidth="1"/>
    <col min="2" max="2" width="37.1640625" style="2" bestFit="1" customWidth="1"/>
    <col min="3" max="16384" width="9.6640625" style="2"/>
  </cols>
  <sheetData>
    <row r="1" spans="1:2" ht="16" x14ac:dyDescent="0.2">
      <c r="A1" s="1" t="s">
        <v>415</v>
      </c>
      <c r="B1" s="1"/>
    </row>
    <row r="2" spans="1:2" ht="16" x14ac:dyDescent="0.2">
      <c r="A2" s="1"/>
      <c r="B2" s="1"/>
    </row>
    <row r="3" spans="1:2" x14ac:dyDescent="0.2">
      <c r="A3" s="13" t="s">
        <v>416</v>
      </c>
      <c r="B3" s="13" t="s">
        <v>417</v>
      </c>
    </row>
    <row r="4" spans="1:2" x14ac:dyDescent="0.2">
      <c r="A4" s="2" t="s">
        <v>418</v>
      </c>
      <c r="B4" s="2">
        <v>80</v>
      </c>
    </row>
    <row r="5" spans="1:2" x14ac:dyDescent="0.2">
      <c r="A5" s="2" t="s">
        <v>419</v>
      </c>
      <c r="B5" s="2">
        <v>9</v>
      </c>
    </row>
    <row r="6" spans="1:2" x14ac:dyDescent="0.2">
      <c r="A6" s="2" t="s">
        <v>420</v>
      </c>
      <c r="B6" s="2">
        <v>170</v>
      </c>
    </row>
    <row r="7" spans="1:2" x14ac:dyDescent="0.2">
      <c r="A7" s="2" t="s">
        <v>421</v>
      </c>
      <c r="B7" s="2">
        <v>7</v>
      </c>
    </row>
    <row r="8" spans="1:2" x14ac:dyDescent="0.2">
      <c r="A8" s="2" t="s">
        <v>422</v>
      </c>
      <c r="B8" s="2">
        <v>4</v>
      </c>
    </row>
    <row r="9" spans="1:2" ht="16" x14ac:dyDescent="0.2">
      <c r="A9" s="70" t="s">
        <v>33</v>
      </c>
      <c r="B9" s="71">
        <f>SUM(B4:B8)</f>
        <v>270</v>
      </c>
    </row>
    <row r="11" spans="1:2" x14ac:dyDescent="0.2">
      <c r="A11" s="8" t="s">
        <v>55</v>
      </c>
      <c r="B11" s="8"/>
    </row>
  </sheetData>
  <pageMargins left="0.7" right="0.7" top="0.75" bottom="0.75" header="0.3" footer="0.3"/>
  <pageSetup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FFC000"/>
  </sheetPr>
  <dimension ref="A1:B20"/>
  <sheetViews>
    <sheetView showGridLines="0" workbookViewId="0">
      <selection activeCell="B15" sqref="B15"/>
    </sheetView>
  </sheetViews>
  <sheetFormatPr baseColWidth="10" defaultColWidth="9.6640625" defaultRowHeight="15" x14ac:dyDescent="0.2"/>
  <cols>
    <col min="1" max="1" width="118.33203125" style="2" bestFit="1" customWidth="1"/>
    <col min="2" max="2" width="28.1640625" style="2" bestFit="1" customWidth="1"/>
    <col min="3" max="16384" width="9.6640625" style="2"/>
  </cols>
  <sheetData>
    <row r="1" spans="1:2" ht="16" x14ac:dyDescent="0.2">
      <c r="A1" s="259" t="s">
        <v>423</v>
      </c>
      <c r="B1" s="259"/>
    </row>
    <row r="2" spans="1:2" ht="16" x14ac:dyDescent="0.2">
      <c r="A2" s="1"/>
      <c r="B2" s="1"/>
    </row>
    <row r="3" spans="1:2" x14ac:dyDescent="0.2">
      <c r="A3" s="116" t="s">
        <v>424</v>
      </c>
      <c r="B3" s="116" t="s">
        <v>425</v>
      </c>
    </row>
    <row r="4" spans="1:2" x14ac:dyDescent="0.2">
      <c r="A4" s="117" t="s">
        <v>426</v>
      </c>
      <c r="B4" s="117">
        <v>453</v>
      </c>
    </row>
    <row r="5" spans="1:2" x14ac:dyDescent="0.2">
      <c r="A5" s="2" t="s">
        <v>427</v>
      </c>
      <c r="B5" s="2">
        <v>246</v>
      </c>
    </row>
    <row r="6" spans="1:2" x14ac:dyDescent="0.2">
      <c r="A6" s="2" t="s">
        <v>428</v>
      </c>
      <c r="B6" s="2">
        <v>756</v>
      </c>
    </row>
    <row r="7" spans="1:2" x14ac:dyDescent="0.2">
      <c r="A7" s="2" t="s">
        <v>429</v>
      </c>
      <c r="B7" s="2">
        <v>163</v>
      </c>
    </row>
    <row r="8" spans="1:2" x14ac:dyDescent="0.2">
      <c r="A8" s="2" t="s">
        <v>430</v>
      </c>
      <c r="B8" s="2">
        <v>67</v>
      </c>
    </row>
    <row r="9" spans="1:2" x14ac:dyDescent="0.2">
      <c r="A9" s="2" t="s">
        <v>431</v>
      </c>
      <c r="B9" s="2">
        <v>174</v>
      </c>
    </row>
    <row r="10" spans="1:2" x14ac:dyDescent="0.2">
      <c r="A10" s="2" t="s">
        <v>432</v>
      </c>
      <c r="B10" s="2">
        <v>12</v>
      </c>
    </row>
    <row r="11" spans="1:2" x14ac:dyDescent="0.2">
      <c r="A11" s="2" t="s">
        <v>433</v>
      </c>
      <c r="B11" s="2">
        <v>103</v>
      </c>
    </row>
    <row r="12" spans="1:2" x14ac:dyDescent="0.2">
      <c r="A12" s="2" t="s">
        <v>434</v>
      </c>
      <c r="B12" s="2">
        <v>103</v>
      </c>
    </row>
    <row r="13" spans="1:2" x14ac:dyDescent="0.2">
      <c r="A13" s="2" t="s">
        <v>435</v>
      </c>
      <c r="B13" s="2">
        <v>103</v>
      </c>
    </row>
    <row r="14" spans="1:2" x14ac:dyDescent="0.2">
      <c r="A14" s="2" t="s">
        <v>436</v>
      </c>
      <c r="B14" s="2">
        <v>57</v>
      </c>
    </row>
    <row r="15" spans="1:2" x14ac:dyDescent="0.2">
      <c r="A15" s="2" t="s">
        <v>437</v>
      </c>
      <c r="B15" s="2">
        <v>354</v>
      </c>
    </row>
    <row r="16" spans="1:2" x14ac:dyDescent="0.2">
      <c r="A16" s="2" t="s">
        <v>438</v>
      </c>
      <c r="B16" s="2">
        <v>42</v>
      </c>
    </row>
    <row r="17" spans="1:2" x14ac:dyDescent="0.2">
      <c r="A17" s="118" t="s">
        <v>439</v>
      </c>
      <c r="B17" s="118">
        <v>71</v>
      </c>
    </row>
    <row r="18" spans="1:2" ht="16" x14ac:dyDescent="0.2">
      <c r="A18" s="119" t="s">
        <v>33</v>
      </c>
      <c r="B18" s="88">
        <f>SUM(B4:B17)</f>
        <v>2704</v>
      </c>
    </row>
    <row r="20" spans="1:2" x14ac:dyDescent="0.2">
      <c r="A20" s="257" t="s">
        <v>55</v>
      </c>
      <c r="B20" s="257"/>
    </row>
  </sheetData>
  <mergeCells count="2">
    <mergeCell ref="A1:B1"/>
    <mergeCell ref="A20:B20"/>
  </mergeCells>
  <pageMargins left="0.7" right="0.7" top="0.75" bottom="0.75" header="0.3" footer="0.3"/>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92D050"/>
  </sheetPr>
  <dimension ref="A1:J26"/>
  <sheetViews>
    <sheetView showGridLines="0" zoomScale="90" zoomScaleNormal="90" workbookViewId="0">
      <selection activeCell="L40" sqref="L40"/>
    </sheetView>
  </sheetViews>
  <sheetFormatPr baseColWidth="10" defaultColWidth="8.83203125" defaultRowHeight="15" x14ac:dyDescent="0.2"/>
  <cols>
    <col min="1" max="1" width="36.5" style="2" bestFit="1" customWidth="1"/>
    <col min="2" max="2" width="10.83203125" style="2" bestFit="1" customWidth="1"/>
    <col min="3" max="3" width="10.5" style="2" bestFit="1" customWidth="1"/>
    <col min="4" max="4" width="9.1640625" style="2" bestFit="1" customWidth="1"/>
    <col min="5" max="5" width="10.5" style="2" bestFit="1" customWidth="1"/>
    <col min="6" max="16384" width="8.83203125" style="2"/>
  </cols>
  <sheetData>
    <row r="1" spans="1:5" ht="16" x14ac:dyDescent="0.2">
      <c r="A1" s="1" t="s">
        <v>569</v>
      </c>
      <c r="B1" s="1"/>
      <c r="C1" s="1"/>
      <c r="D1" s="1"/>
      <c r="E1" s="1"/>
    </row>
    <row r="3" spans="1:5" x14ac:dyDescent="0.2">
      <c r="A3" s="13" t="s">
        <v>447</v>
      </c>
      <c r="B3" s="13" t="s">
        <v>448</v>
      </c>
      <c r="C3" s="13" t="s">
        <v>449</v>
      </c>
      <c r="D3" s="13" t="s">
        <v>450</v>
      </c>
      <c r="E3" s="13" t="s">
        <v>451</v>
      </c>
    </row>
    <row r="4" spans="1:5" ht="16" x14ac:dyDescent="0.2">
      <c r="A4" s="124" t="s">
        <v>452</v>
      </c>
      <c r="B4" s="125">
        <v>173606</v>
      </c>
      <c r="C4" s="125">
        <v>11709</v>
      </c>
      <c r="D4" s="125">
        <v>8208</v>
      </c>
      <c r="E4" s="125">
        <v>2372</v>
      </c>
    </row>
    <row r="5" spans="1:5" ht="16" x14ac:dyDescent="0.2">
      <c r="A5" s="126" t="s">
        <v>453</v>
      </c>
      <c r="B5" s="32">
        <v>7563</v>
      </c>
      <c r="C5" s="127">
        <v>891</v>
      </c>
      <c r="D5" s="127">
        <v>313</v>
      </c>
      <c r="E5" s="127">
        <v>499</v>
      </c>
    </row>
    <row r="6" spans="1:5" ht="16" x14ac:dyDescent="0.2">
      <c r="A6" s="126" t="s">
        <v>454</v>
      </c>
      <c r="B6" s="32">
        <v>29049</v>
      </c>
      <c r="C6" s="32">
        <v>2355</v>
      </c>
      <c r="D6" s="32">
        <v>1846</v>
      </c>
      <c r="E6" s="127">
        <v>707</v>
      </c>
    </row>
    <row r="7" spans="1:5" ht="16" x14ac:dyDescent="0.2">
      <c r="A7" s="126" t="s">
        <v>455</v>
      </c>
      <c r="B7" s="32">
        <v>91411</v>
      </c>
      <c r="C7" s="32">
        <v>5252</v>
      </c>
      <c r="D7" s="32">
        <v>4183</v>
      </c>
      <c r="E7" s="127">
        <v>764</v>
      </c>
    </row>
    <row r="8" spans="1:5" ht="16" x14ac:dyDescent="0.2">
      <c r="A8" s="126" t="s">
        <v>456</v>
      </c>
      <c r="B8" s="32">
        <v>45583</v>
      </c>
      <c r="C8" s="32">
        <v>3211</v>
      </c>
      <c r="D8" s="32">
        <v>1866</v>
      </c>
      <c r="E8" s="127">
        <v>402</v>
      </c>
    </row>
    <row r="9" spans="1:5" ht="16" x14ac:dyDescent="0.2">
      <c r="A9" s="124" t="s">
        <v>457</v>
      </c>
      <c r="B9" s="125">
        <v>13434</v>
      </c>
      <c r="C9" s="125">
        <v>840</v>
      </c>
      <c r="D9" s="125">
        <v>173</v>
      </c>
      <c r="E9" s="125">
        <v>101</v>
      </c>
    </row>
    <row r="10" spans="1:5" ht="16" x14ac:dyDescent="0.2">
      <c r="A10" s="126" t="s">
        <v>458</v>
      </c>
      <c r="B10" s="32">
        <v>13239</v>
      </c>
      <c r="C10" s="127">
        <v>764</v>
      </c>
      <c r="D10" s="127">
        <v>128</v>
      </c>
      <c r="E10" s="127">
        <v>85</v>
      </c>
    </row>
    <row r="11" spans="1:5" ht="16" x14ac:dyDescent="0.2">
      <c r="A11" s="126" t="s">
        <v>459</v>
      </c>
      <c r="B11" s="32">
        <v>195</v>
      </c>
      <c r="C11" s="127">
        <v>76</v>
      </c>
      <c r="D11" s="127">
        <v>45</v>
      </c>
      <c r="E11" s="127">
        <v>16</v>
      </c>
    </row>
    <row r="12" spans="1:5" ht="16" x14ac:dyDescent="0.2">
      <c r="A12" s="124" t="s">
        <v>460</v>
      </c>
      <c r="B12" s="125">
        <v>71211</v>
      </c>
      <c r="C12" s="125">
        <v>499</v>
      </c>
      <c r="D12" s="125">
        <v>5681</v>
      </c>
      <c r="E12" s="125">
        <v>54</v>
      </c>
    </row>
    <row r="13" spans="1:5" ht="16" x14ac:dyDescent="0.2">
      <c r="A13" s="124" t="s">
        <v>461</v>
      </c>
      <c r="B13" s="125">
        <v>38056</v>
      </c>
      <c r="C13" s="125">
        <v>2192</v>
      </c>
      <c r="D13" s="125">
        <v>1247</v>
      </c>
      <c r="E13" s="125">
        <v>156</v>
      </c>
    </row>
    <row r="14" spans="1:5" ht="16" x14ac:dyDescent="0.2">
      <c r="A14" s="126" t="s">
        <v>462</v>
      </c>
      <c r="B14" s="32">
        <v>22278</v>
      </c>
      <c r="C14" s="32">
        <v>1354</v>
      </c>
      <c r="D14" s="32">
        <v>714</v>
      </c>
      <c r="E14" s="32">
        <v>120</v>
      </c>
    </row>
    <row r="15" spans="1:5" ht="16" x14ac:dyDescent="0.2">
      <c r="A15" s="126" t="s">
        <v>463</v>
      </c>
      <c r="B15" s="32">
        <v>13864</v>
      </c>
      <c r="C15" s="32">
        <v>719</v>
      </c>
      <c r="D15" s="32">
        <v>453</v>
      </c>
      <c r="E15" s="32">
        <v>30</v>
      </c>
    </row>
    <row r="16" spans="1:5" ht="16" x14ac:dyDescent="0.2">
      <c r="A16" s="126" t="s">
        <v>464</v>
      </c>
      <c r="B16" s="32">
        <v>1914</v>
      </c>
      <c r="C16" s="32">
        <v>119</v>
      </c>
      <c r="D16" s="32">
        <v>80</v>
      </c>
      <c r="E16" s="32">
        <v>6</v>
      </c>
    </row>
    <row r="17" spans="1:10" ht="16" x14ac:dyDescent="0.2">
      <c r="A17" s="124" t="s">
        <v>465</v>
      </c>
      <c r="B17" s="125">
        <v>47052</v>
      </c>
      <c r="C17" s="125">
        <v>3461</v>
      </c>
      <c r="D17" s="125" t="s">
        <v>466</v>
      </c>
      <c r="E17" s="125">
        <v>86</v>
      </c>
    </row>
    <row r="18" spans="1:10" ht="16" x14ac:dyDescent="0.2">
      <c r="A18" s="126" t="s">
        <v>467</v>
      </c>
      <c r="B18" s="32">
        <v>1751</v>
      </c>
      <c r="C18" s="32">
        <v>161</v>
      </c>
      <c r="D18" s="128" t="s">
        <v>466</v>
      </c>
      <c r="E18" s="32">
        <v>4</v>
      </c>
    </row>
    <row r="19" spans="1:10" ht="16" x14ac:dyDescent="0.2">
      <c r="A19" s="126" t="s">
        <v>468</v>
      </c>
      <c r="B19" s="32">
        <v>34588</v>
      </c>
      <c r="C19" s="32">
        <v>2837</v>
      </c>
      <c r="D19" s="128" t="s">
        <v>466</v>
      </c>
      <c r="E19" s="32">
        <v>77</v>
      </c>
    </row>
    <row r="20" spans="1:10" ht="16" x14ac:dyDescent="0.2">
      <c r="A20" s="126" t="s">
        <v>469</v>
      </c>
      <c r="B20" s="32">
        <v>10713</v>
      </c>
      <c r="C20" s="32">
        <v>739</v>
      </c>
      <c r="D20" s="128" t="s">
        <v>466</v>
      </c>
      <c r="E20" s="32">
        <v>44</v>
      </c>
    </row>
    <row r="21" spans="1:10" ht="16" x14ac:dyDescent="0.2">
      <c r="A21" s="70" t="s">
        <v>33</v>
      </c>
      <c r="B21" s="129">
        <f>SUM(B17+B13+B12+B9+B4)</f>
        <v>343359</v>
      </c>
      <c r="C21" s="129">
        <f>SUM(C17+C13+C12+C9+C4)</f>
        <v>18701</v>
      </c>
      <c r="D21" s="129">
        <f>SUM(D13+D12+D9+D4)</f>
        <v>15309</v>
      </c>
      <c r="E21" s="129">
        <f>SUM(E17+E13+E12+E9+E4)</f>
        <v>2769</v>
      </c>
      <c r="G21" s="17"/>
      <c r="H21" s="17"/>
      <c r="I21" s="17"/>
      <c r="J21" s="17"/>
    </row>
    <row r="22" spans="1:10" x14ac:dyDescent="0.2">
      <c r="B22" s="17"/>
      <c r="C22" s="17"/>
      <c r="D22" s="17"/>
      <c r="E22" s="17"/>
    </row>
    <row r="24" spans="1:10" ht="51.5" customHeight="1" x14ac:dyDescent="0.2">
      <c r="A24" s="271" t="s">
        <v>470</v>
      </c>
      <c r="B24" s="271"/>
      <c r="C24" s="271"/>
      <c r="D24" s="271"/>
      <c r="E24" s="271"/>
    </row>
    <row r="25" spans="1:10" x14ac:dyDescent="0.2">
      <c r="A25" s="130" t="s">
        <v>471</v>
      </c>
      <c r="B25" s="131"/>
      <c r="C25" s="131"/>
      <c r="D25" s="131"/>
      <c r="E25" s="131"/>
    </row>
    <row r="26" spans="1:10" ht="14.5" customHeight="1" x14ac:dyDescent="0.2">
      <c r="A26" s="101" t="s">
        <v>570</v>
      </c>
      <c r="B26" s="101"/>
      <c r="C26" s="101"/>
      <c r="D26" s="101"/>
      <c r="E26" s="101"/>
    </row>
  </sheetData>
  <mergeCells count="1">
    <mergeCell ref="A24:E24"/>
  </mergeCells>
  <pageMargins left="0.7" right="0.7" top="0.75" bottom="0.75" header="0.3" footer="0.3"/>
  <pageSetup orientation="portrait"/>
  <ignoredErrors>
    <ignoredError sqref="D21" formula="1"/>
  </ignoredError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92D050"/>
  </sheetPr>
  <dimension ref="A1:D20"/>
  <sheetViews>
    <sheetView showGridLines="0" zoomScale="90" zoomScaleNormal="90" workbookViewId="0">
      <selection activeCell="A19" sqref="A19"/>
    </sheetView>
  </sheetViews>
  <sheetFormatPr baseColWidth="10" defaultColWidth="8.83203125" defaultRowHeight="15" x14ac:dyDescent="0.2"/>
  <cols>
    <col min="1" max="1" width="17.5" style="2" bestFit="1" customWidth="1"/>
    <col min="2" max="2" width="11.6640625" style="2" bestFit="1" customWidth="1"/>
    <col min="3" max="3" width="23.5" style="2" bestFit="1" customWidth="1"/>
    <col min="4" max="4" width="14" style="2" bestFit="1" customWidth="1"/>
    <col min="5" max="16384" width="8.83203125" style="2"/>
  </cols>
  <sheetData>
    <row r="1" spans="1:4" ht="16" x14ac:dyDescent="0.2">
      <c r="A1" s="1" t="s">
        <v>542</v>
      </c>
      <c r="B1" s="1"/>
      <c r="C1" s="1"/>
      <c r="D1" s="1"/>
    </row>
    <row r="2" spans="1:4" ht="16" x14ac:dyDescent="0.2">
      <c r="A2" s="1"/>
      <c r="B2" s="1"/>
      <c r="C2" s="1"/>
      <c r="D2" s="1"/>
    </row>
    <row r="3" spans="1:4" x14ac:dyDescent="0.2">
      <c r="A3" s="13" t="s">
        <v>64</v>
      </c>
      <c r="B3" s="13" t="s">
        <v>444</v>
      </c>
      <c r="C3" s="13" t="s">
        <v>445</v>
      </c>
      <c r="D3" s="13" t="s">
        <v>446</v>
      </c>
    </row>
    <row r="4" spans="1:4" x14ac:dyDescent="0.2">
      <c r="A4" s="31" t="s">
        <v>71</v>
      </c>
      <c r="B4" s="2">
        <v>3</v>
      </c>
      <c r="C4" s="2">
        <v>95.4</v>
      </c>
      <c r="D4" s="2">
        <v>1</v>
      </c>
    </row>
    <row r="5" spans="1:4" x14ac:dyDescent="0.2">
      <c r="A5" s="31" t="s">
        <v>72</v>
      </c>
      <c r="B5" s="2">
        <v>1</v>
      </c>
      <c r="C5" s="121">
        <v>99.4</v>
      </c>
      <c r="D5" s="2">
        <v>1.3</v>
      </c>
    </row>
    <row r="6" spans="1:4" x14ac:dyDescent="0.2">
      <c r="A6" s="31" t="s">
        <v>73</v>
      </c>
      <c r="B6" s="2">
        <v>0.4</v>
      </c>
      <c r="C6" s="2">
        <v>94.5</v>
      </c>
      <c r="D6" s="2">
        <v>1.5</v>
      </c>
    </row>
    <row r="7" spans="1:4" x14ac:dyDescent="0.2">
      <c r="A7" s="31" t="s">
        <v>74</v>
      </c>
      <c r="B7" s="2">
        <v>0.1</v>
      </c>
      <c r="C7" s="2">
        <v>95.2</v>
      </c>
      <c r="D7" s="2">
        <v>2</v>
      </c>
    </row>
    <row r="8" spans="1:4" x14ac:dyDescent="0.2">
      <c r="A8" s="31" t="s">
        <v>75</v>
      </c>
      <c r="B8" s="2">
        <v>0.9</v>
      </c>
      <c r="C8" s="2">
        <v>93.7</v>
      </c>
      <c r="D8" s="2">
        <v>0.9</v>
      </c>
    </row>
    <row r="9" spans="1:4" x14ac:dyDescent="0.2">
      <c r="A9" s="31" t="s">
        <v>76</v>
      </c>
      <c r="B9" s="2">
        <v>0.2</v>
      </c>
      <c r="C9" s="2">
        <v>96.1</v>
      </c>
      <c r="D9" s="2">
        <v>1.2</v>
      </c>
    </row>
    <row r="10" spans="1:4" x14ac:dyDescent="0.2">
      <c r="A10" s="31" t="s">
        <v>77</v>
      </c>
      <c r="B10" s="2">
        <v>0.3</v>
      </c>
      <c r="C10" s="2">
        <v>96.5</v>
      </c>
      <c r="D10" s="2">
        <v>1.9</v>
      </c>
    </row>
    <row r="11" spans="1:4" x14ac:dyDescent="0.2">
      <c r="A11" s="31" t="s">
        <v>78</v>
      </c>
      <c r="B11" s="2">
        <v>0.7</v>
      </c>
      <c r="C11" s="2">
        <v>94.6</v>
      </c>
      <c r="D11" s="121">
        <v>1.1000000000000001</v>
      </c>
    </row>
    <row r="12" spans="1:4" x14ac:dyDescent="0.2">
      <c r="A12" s="31" t="s">
        <v>79</v>
      </c>
      <c r="B12" s="2">
        <v>-0.4</v>
      </c>
      <c r="C12" s="2">
        <v>101</v>
      </c>
      <c r="D12" s="2">
        <v>1.1000000000000001</v>
      </c>
    </row>
    <row r="13" spans="1:4" x14ac:dyDescent="0.2">
      <c r="A13" s="31" t="s">
        <v>80</v>
      </c>
      <c r="B13" s="121">
        <v>0</v>
      </c>
      <c r="C13" s="2">
        <v>99.1</v>
      </c>
      <c r="D13" s="2">
        <v>1.1000000000000001</v>
      </c>
    </row>
    <row r="14" spans="1:4" x14ac:dyDescent="0.2">
      <c r="A14" s="31" t="s">
        <v>81</v>
      </c>
      <c r="B14" s="2">
        <v>4.0999999999999996</v>
      </c>
      <c r="C14" s="121">
        <v>89.9</v>
      </c>
      <c r="D14" s="121">
        <v>1.2</v>
      </c>
    </row>
    <row r="15" spans="1:4" x14ac:dyDescent="0.2">
      <c r="A15" s="31" t="s">
        <v>82</v>
      </c>
      <c r="B15" s="2">
        <v>-0.6</v>
      </c>
      <c r="C15" s="2">
        <v>98.5</v>
      </c>
      <c r="D15" s="121">
        <v>0.5</v>
      </c>
    </row>
    <row r="16" spans="1:4" x14ac:dyDescent="0.2">
      <c r="A16" s="31" t="s">
        <v>83</v>
      </c>
      <c r="B16" s="2">
        <v>0.6</v>
      </c>
      <c r="C16" s="2">
        <v>97.8</v>
      </c>
      <c r="D16" s="2">
        <v>1.6</v>
      </c>
    </row>
    <row r="17" spans="1:4" ht="16" x14ac:dyDescent="0.2">
      <c r="A17" s="34" t="s">
        <v>84</v>
      </c>
      <c r="B17" s="122">
        <v>0.6</v>
      </c>
      <c r="C17" s="123">
        <v>95.2</v>
      </c>
      <c r="D17" s="122">
        <v>1.2</v>
      </c>
    </row>
    <row r="19" spans="1:4" x14ac:dyDescent="0.2">
      <c r="A19" s="8" t="s">
        <v>566</v>
      </c>
      <c r="B19" s="8"/>
      <c r="C19" s="8"/>
      <c r="D19" s="8"/>
    </row>
    <row r="20" spans="1:4" x14ac:dyDescent="0.2">
      <c r="A20" s="258"/>
      <c r="B20" s="258"/>
      <c r="C20" s="258"/>
      <c r="D20" s="258"/>
    </row>
  </sheetData>
  <mergeCells count="1">
    <mergeCell ref="A20:D20"/>
  </mergeCells>
  <pageMargins left="0.7" right="0.7" top="0.75" bottom="0.75" header="0.3" footer="0.3"/>
  <pageSetup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92D050"/>
  </sheetPr>
  <dimension ref="A1:E20"/>
  <sheetViews>
    <sheetView showGridLines="0" zoomScale="90" zoomScaleNormal="90" workbookViewId="0">
      <selection activeCell="I12" sqref="I12"/>
    </sheetView>
  </sheetViews>
  <sheetFormatPr baseColWidth="10" defaultColWidth="8.83203125" defaultRowHeight="15" x14ac:dyDescent="0.2"/>
  <cols>
    <col min="1" max="1" width="17.5" style="2" bestFit="1" customWidth="1"/>
    <col min="2" max="2" width="10.5" style="2" bestFit="1" customWidth="1"/>
    <col min="3" max="3" width="11.6640625" style="2" bestFit="1" customWidth="1"/>
    <col min="4" max="4" width="23.5" style="2" bestFit="1" customWidth="1"/>
    <col min="5" max="5" width="14" style="2" bestFit="1" customWidth="1"/>
    <col min="6" max="16384" width="8.83203125" style="2"/>
  </cols>
  <sheetData>
    <row r="1" spans="1:5" ht="16" x14ac:dyDescent="0.2">
      <c r="A1" s="1" t="s">
        <v>559</v>
      </c>
      <c r="B1" s="1"/>
      <c r="C1" s="1"/>
      <c r="D1" s="1"/>
      <c r="E1" s="1"/>
    </row>
    <row r="2" spans="1:5" ht="16" x14ac:dyDescent="0.2">
      <c r="A2" s="1"/>
      <c r="B2" s="1"/>
      <c r="C2" s="1"/>
      <c r="D2" s="1"/>
      <c r="E2" s="1"/>
    </row>
    <row r="3" spans="1:5" x14ac:dyDescent="0.2">
      <c r="A3" s="13" t="s">
        <v>64</v>
      </c>
      <c r="B3" s="13" t="s">
        <v>544</v>
      </c>
      <c r="C3" s="13" t="s">
        <v>545</v>
      </c>
      <c r="D3" s="13" t="s">
        <v>445</v>
      </c>
      <c r="E3" s="13" t="s">
        <v>446</v>
      </c>
    </row>
    <row r="4" spans="1:5" x14ac:dyDescent="0.2">
      <c r="A4" s="31" t="s">
        <v>71</v>
      </c>
      <c r="B4" s="2">
        <v>5.2</v>
      </c>
      <c r="C4" s="2">
        <v>93.4</v>
      </c>
      <c r="D4" s="2">
        <v>84.8</v>
      </c>
      <c r="E4" s="121">
        <v>1.1000000000000001</v>
      </c>
    </row>
    <row r="5" spans="1:5" x14ac:dyDescent="0.2">
      <c r="A5" s="31" t="s">
        <v>72</v>
      </c>
      <c r="B5" s="2">
        <v>1.4</v>
      </c>
      <c r="C5" s="2">
        <v>97.8</v>
      </c>
      <c r="D5" s="2">
        <v>93.8</v>
      </c>
      <c r="E5" s="2">
        <v>3.8</v>
      </c>
    </row>
    <row r="6" spans="1:5" x14ac:dyDescent="0.2">
      <c r="A6" s="31" t="s">
        <v>73</v>
      </c>
      <c r="B6" s="2">
        <v>4.3</v>
      </c>
      <c r="C6" s="121">
        <v>101</v>
      </c>
      <c r="D6" s="2">
        <v>87</v>
      </c>
      <c r="E6" s="2">
        <v>9.1</v>
      </c>
    </row>
    <row r="7" spans="1:5" x14ac:dyDescent="0.2">
      <c r="A7" s="31" t="s">
        <v>74</v>
      </c>
      <c r="B7" s="121">
        <v>3.7</v>
      </c>
      <c r="C7" s="2">
        <v>92.9</v>
      </c>
      <c r="D7" s="2">
        <v>84.7</v>
      </c>
      <c r="E7" s="2">
        <v>0.9</v>
      </c>
    </row>
    <row r="8" spans="1:5" x14ac:dyDescent="0.2">
      <c r="A8" s="31" t="s">
        <v>75</v>
      </c>
      <c r="B8" s="2">
        <v>4.0999999999999996</v>
      </c>
      <c r="C8" s="2">
        <v>97.4</v>
      </c>
      <c r="D8" s="2">
        <v>90.9</v>
      </c>
      <c r="E8" s="2">
        <v>5.0999999999999996</v>
      </c>
    </row>
    <row r="9" spans="1:5" x14ac:dyDescent="0.2">
      <c r="A9" s="31" t="s">
        <v>76</v>
      </c>
      <c r="B9" s="2">
        <v>3</v>
      </c>
      <c r="C9" s="2">
        <v>97</v>
      </c>
      <c r="D9" s="2">
        <v>83.1</v>
      </c>
      <c r="E9" s="2">
        <v>7.6</v>
      </c>
    </row>
    <row r="10" spans="1:5" x14ac:dyDescent="0.2">
      <c r="A10" s="31" t="s">
        <v>77</v>
      </c>
      <c r="B10" s="2">
        <v>4.5</v>
      </c>
      <c r="C10" s="2">
        <v>101.3</v>
      </c>
      <c r="D10" s="2">
        <v>92.5</v>
      </c>
      <c r="E10" s="2">
        <v>1.7</v>
      </c>
    </row>
    <row r="11" spans="1:5" x14ac:dyDescent="0.2">
      <c r="A11" s="31" t="s">
        <v>78</v>
      </c>
      <c r="B11" s="2">
        <v>6.4</v>
      </c>
      <c r="C11" s="2">
        <v>96.3</v>
      </c>
      <c r="D11" s="2">
        <v>80.8</v>
      </c>
      <c r="E11" s="2">
        <v>3.5</v>
      </c>
    </row>
    <row r="12" spans="1:5" x14ac:dyDescent="0.2">
      <c r="A12" s="31" t="s">
        <v>79</v>
      </c>
      <c r="B12" s="121">
        <v>6.2</v>
      </c>
      <c r="C12" s="2">
        <v>102</v>
      </c>
      <c r="D12" s="2">
        <v>86.1</v>
      </c>
      <c r="E12" s="2">
        <v>10.4</v>
      </c>
    </row>
    <row r="13" spans="1:5" x14ac:dyDescent="0.2">
      <c r="A13" s="31" t="s">
        <v>80</v>
      </c>
      <c r="B13" s="121">
        <v>5.8</v>
      </c>
      <c r="C13" s="2">
        <v>98.9</v>
      </c>
      <c r="D13" s="2">
        <v>77.7</v>
      </c>
      <c r="E13" s="2">
        <v>6.8</v>
      </c>
    </row>
    <row r="14" spans="1:5" x14ac:dyDescent="0.2">
      <c r="A14" s="31" t="s">
        <v>81</v>
      </c>
      <c r="B14" s="2">
        <v>1.8</v>
      </c>
      <c r="C14" s="2">
        <v>91.7</v>
      </c>
      <c r="D14" s="2">
        <v>90.3</v>
      </c>
      <c r="E14" s="2">
        <v>0.6</v>
      </c>
    </row>
    <row r="15" spans="1:5" x14ac:dyDescent="0.2">
      <c r="A15" s="31" t="s">
        <v>82</v>
      </c>
      <c r="B15" s="2">
        <v>1.7</v>
      </c>
      <c r="C15" s="2">
        <v>91.7</v>
      </c>
      <c r="D15" s="2">
        <v>91.6</v>
      </c>
      <c r="E15" s="2">
        <v>5.2</v>
      </c>
    </row>
    <row r="16" spans="1:5" x14ac:dyDescent="0.2">
      <c r="A16" s="31" t="s">
        <v>83</v>
      </c>
      <c r="B16" s="2">
        <v>2.8</v>
      </c>
      <c r="C16" s="2">
        <v>94.6</v>
      </c>
      <c r="D16" s="2">
        <v>92.4</v>
      </c>
      <c r="E16" s="2">
        <v>13</v>
      </c>
    </row>
    <row r="17" spans="1:5" ht="16" x14ac:dyDescent="0.2">
      <c r="A17" s="34" t="s">
        <v>84</v>
      </c>
      <c r="B17" s="123">
        <v>4.2</v>
      </c>
      <c r="C17" s="123">
        <v>97.9</v>
      </c>
      <c r="D17" s="123">
        <v>87.1</v>
      </c>
      <c r="E17" s="123">
        <v>6.1</v>
      </c>
    </row>
    <row r="19" spans="1:5" x14ac:dyDescent="0.2">
      <c r="A19" s="8" t="s">
        <v>567</v>
      </c>
      <c r="B19" s="8"/>
      <c r="C19" s="8"/>
      <c r="D19" s="8"/>
      <c r="E19" s="8"/>
    </row>
    <row r="20" spans="1:5" x14ac:dyDescent="0.2">
      <c r="A20" s="258"/>
      <c r="B20" s="258"/>
      <c r="C20" s="258"/>
      <c r="D20" s="258"/>
      <c r="E20" s="258"/>
    </row>
  </sheetData>
  <mergeCells count="1">
    <mergeCell ref="A20:E20"/>
  </mergeCells>
  <pageMargins left="0.7" right="0.7" top="0.75" bottom="0.75" header="0.3" footer="0.3"/>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92D050"/>
  </sheetPr>
  <dimension ref="A1:E19"/>
  <sheetViews>
    <sheetView showGridLines="0" zoomScale="90" zoomScaleNormal="90" workbookViewId="0">
      <selection activeCell="A19" sqref="A19"/>
    </sheetView>
  </sheetViews>
  <sheetFormatPr baseColWidth="10" defaultColWidth="8.83203125" defaultRowHeight="15" x14ac:dyDescent="0.2"/>
  <cols>
    <col min="1" max="1" width="17.5" style="2" bestFit="1" customWidth="1"/>
    <col min="2" max="2" width="10.5" style="2" bestFit="1" customWidth="1"/>
    <col min="3" max="3" width="11.6640625" style="2" bestFit="1" customWidth="1"/>
    <col min="4" max="4" width="23.5" style="2" bestFit="1" customWidth="1"/>
    <col min="5" max="5" width="14" style="2" bestFit="1" customWidth="1"/>
    <col min="6" max="16384" width="8.83203125" style="2"/>
  </cols>
  <sheetData>
    <row r="1" spans="1:5" ht="16" x14ac:dyDescent="0.2">
      <c r="A1" s="1" t="s">
        <v>560</v>
      </c>
      <c r="B1" s="1"/>
      <c r="C1" s="1"/>
      <c r="D1" s="1"/>
      <c r="E1" s="1"/>
    </row>
    <row r="2" spans="1:5" ht="16" x14ac:dyDescent="0.2">
      <c r="A2" s="1"/>
      <c r="B2" s="1"/>
      <c r="C2" s="1"/>
      <c r="D2" s="1"/>
      <c r="E2" s="1"/>
    </row>
    <row r="3" spans="1:5" x14ac:dyDescent="0.2">
      <c r="A3" s="13" t="s">
        <v>64</v>
      </c>
      <c r="B3" s="13" t="s">
        <v>544</v>
      </c>
      <c r="C3" s="13" t="s">
        <v>545</v>
      </c>
      <c r="D3" s="13" t="s">
        <v>445</v>
      </c>
      <c r="E3" s="13" t="s">
        <v>446</v>
      </c>
    </row>
    <row r="4" spans="1:5" x14ac:dyDescent="0.2">
      <c r="A4" s="31" t="s">
        <v>71</v>
      </c>
      <c r="B4" s="2">
        <v>11.5</v>
      </c>
      <c r="C4" s="2">
        <v>102.2</v>
      </c>
      <c r="D4" s="2">
        <v>58.8</v>
      </c>
      <c r="E4" s="2">
        <v>8.5</v>
      </c>
    </row>
    <row r="5" spans="1:5" x14ac:dyDescent="0.2">
      <c r="A5" s="31" t="s">
        <v>72</v>
      </c>
      <c r="B5" s="121">
        <v>5</v>
      </c>
      <c r="C5" s="2">
        <v>118.1</v>
      </c>
      <c r="D5" s="2">
        <v>83</v>
      </c>
      <c r="E5" s="2">
        <v>2.6</v>
      </c>
    </row>
    <row r="6" spans="1:5" x14ac:dyDescent="0.2">
      <c r="A6" s="31" t="s">
        <v>73</v>
      </c>
      <c r="B6" s="121">
        <v>9.3000000000000007</v>
      </c>
      <c r="C6" s="2">
        <v>118.5</v>
      </c>
      <c r="D6" s="2">
        <v>73.099999999999994</v>
      </c>
      <c r="E6" s="2">
        <v>12.6</v>
      </c>
    </row>
    <row r="7" spans="1:5" x14ac:dyDescent="0.2">
      <c r="A7" s="31" t="s">
        <v>74</v>
      </c>
      <c r="B7" s="2">
        <v>11.5</v>
      </c>
      <c r="C7" s="2">
        <v>70.599999999999994</v>
      </c>
      <c r="D7" s="2">
        <v>67.2</v>
      </c>
      <c r="E7" s="2">
        <v>1.9</v>
      </c>
    </row>
    <row r="8" spans="1:5" x14ac:dyDescent="0.2">
      <c r="A8" s="31" t="s">
        <v>75</v>
      </c>
      <c r="B8" s="121">
        <v>7.4</v>
      </c>
      <c r="C8" s="2">
        <v>101.8</v>
      </c>
      <c r="D8" s="2">
        <v>76</v>
      </c>
      <c r="E8" s="2">
        <v>5</v>
      </c>
    </row>
    <row r="9" spans="1:5" x14ac:dyDescent="0.2">
      <c r="A9" s="31" t="s">
        <v>76</v>
      </c>
      <c r="B9" s="2">
        <v>8</v>
      </c>
      <c r="C9" s="2">
        <v>92.9</v>
      </c>
      <c r="D9" s="2">
        <v>70.7</v>
      </c>
      <c r="E9" s="2">
        <v>2.1</v>
      </c>
    </row>
    <row r="10" spans="1:5" x14ac:dyDescent="0.2">
      <c r="A10" s="31" t="s">
        <v>77</v>
      </c>
      <c r="B10" s="2">
        <v>0.2</v>
      </c>
      <c r="C10" s="2">
        <v>73.900000000000006</v>
      </c>
      <c r="D10" s="2">
        <v>100.9</v>
      </c>
      <c r="E10" s="2">
        <v>5</v>
      </c>
    </row>
    <row r="11" spans="1:5" x14ac:dyDescent="0.2">
      <c r="A11" s="31" t="s">
        <v>78</v>
      </c>
      <c r="B11" s="2">
        <v>13.8</v>
      </c>
      <c r="C11" s="2">
        <v>92.8</v>
      </c>
      <c r="D11" s="2">
        <v>56.1</v>
      </c>
      <c r="E11" s="2">
        <v>8.6</v>
      </c>
    </row>
    <row r="12" spans="1:5" x14ac:dyDescent="0.2">
      <c r="A12" s="31" t="s">
        <v>79</v>
      </c>
      <c r="B12" s="2">
        <v>9.4</v>
      </c>
      <c r="C12" s="2">
        <v>115.3</v>
      </c>
      <c r="D12" s="2">
        <v>74.900000000000006</v>
      </c>
      <c r="E12" s="2">
        <v>5.0999999999999996</v>
      </c>
    </row>
    <row r="13" spans="1:5" x14ac:dyDescent="0.2">
      <c r="A13" s="31" t="s">
        <v>80</v>
      </c>
      <c r="B13" s="2">
        <v>5.4</v>
      </c>
      <c r="C13" s="2">
        <v>98</v>
      </c>
      <c r="D13" s="121">
        <v>76.400000000000006</v>
      </c>
      <c r="E13" s="2">
        <v>8.4</v>
      </c>
    </row>
    <row r="14" spans="1:5" x14ac:dyDescent="0.2">
      <c r="A14" s="31" t="s">
        <v>81</v>
      </c>
      <c r="B14" s="2">
        <v>8.1999999999999993</v>
      </c>
      <c r="C14" s="121">
        <v>104.1</v>
      </c>
      <c r="D14" s="2">
        <v>76.900000000000006</v>
      </c>
      <c r="E14" s="2">
        <v>1.7</v>
      </c>
    </row>
    <row r="15" spans="1:5" x14ac:dyDescent="0.2">
      <c r="A15" s="31" t="s">
        <v>82</v>
      </c>
      <c r="B15" s="2">
        <v>6.4</v>
      </c>
      <c r="C15" s="2">
        <v>102.3</v>
      </c>
      <c r="D15" s="2">
        <v>83.6</v>
      </c>
      <c r="E15" s="2">
        <v>0.3</v>
      </c>
    </row>
    <row r="16" spans="1:5" x14ac:dyDescent="0.2">
      <c r="A16" s="31" t="s">
        <v>83</v>
      </c>
      <c r="B16" s="2">
        <v>9.1999999999999993</v>
      </c>
      <c r="C16" s="2">
        <v>106.4</v>
      </c>
      <c r="D16" s="121">
        <v>74.3</v>
      </c>
      <c r="E16" s="121">
        <v>10.9</v>
      </c>
    </row>
    <row r="17" spans="1:5" ht="16" x14ac:dyDescent="0.2">
      <c r="A17" s="34" t="s">
        <v>84</v>
      </c>
      <c r="B17" s="133">
        <v>8.5</v>
      </c>
      <c r="C17" s="134">
        <v>104</v>
      </c>
      <c r="D17" s="133">
        <v>73</v>
      </c>
      <c r="E17" s="133">
        <v>7.4</v>
      </c>
    </row>
    <row r="19" spans="1:5" x14ac:dyDescent="0.2">
      <c r="A19" s="8" t="s">
        <v>567</v>
      </c>
      <c r="B19" s="8"/>
      <c r="C19" s="8"/>
      <c r="D19" s="8"/>
      <c r="E19" s="8"/>
    </row>
  </sheetData>
  <pageMargins left="0.7" right="0.7" top="0.75" bottom="0.75" header="0.3" footer="0.3"/>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92D050"/>
  </sheetPr>
  <dimension ref="A1:C17"/>
  <sheetViews>
    <sheetView showGridLines="0" zoomScale="90" zoomScaleNormal="90" workbookViewId="0">
      <selection activeCell="A17" sqref="A17"/>
    </sheetView>
  </sheetViews>
  <sheetFormatPr baseColWidth="10" defaultColWidth="8.83203125" defaultRowHeight="15" x14ac:dyDescent="0.2"/>
  <cols>
    <col min="1" max="1" width="17.5" style="2" bestFit="1" customWidth="1"/>
    <col min="2" max="2" width="10.5" style="2" bestFit="1" customWidth="1"/>
    <col min="3" max="3" width="11.6640625" style="2" bestFit="1" customWidth="1"/>
    <col min="4" max="16384" width="8.83203125" style="2"/>
  </cols>
  <sheetData>
    <row r="1" spans="1:3" ht="16" x14ac:dyDescent="0.2">
      <c r="A1" s="1" t="s">
        <v>561</v>
      </c>
      <c r="B1" s="1"/>
      <c r="C1" s="1"/>
    </row>
    <row r="2" spans="1:3" ht="16" x14ac:dyDescent="0.2">
      <c r="A2" s="1"/>
      <c r="B2" s="1"/>
      <c r="C2" s="1"/>
    </row>
    <row r="3" spans="1:3" x14ac:dyDescent="0.2">
      <c r="A3" s="13" t="s">
        <v>64</v>
      </c>
      <c r="B3" s="13" t="s">
        <v>544</v>
      </c>
      <c r="C3" s="13" t="s">
        <v>545</v>
      </c>
    </row>
    <row r="4" spans="1:3" x14ac:dyDescent="0.2">
      <c r="A4" s="31" t="s">
        <v>71</v>
      </c>
      <c r="B4" s="2">
        <v>-1.5</v>
      </c>
      <c r="C4" s="2">
        <v>94.8</v>
      </c>
    </row>
    <row r="5" spans="1:3" x14ac:dyDescent="0.2">
      <c r="A5" s="31" t="s">
        <v>72</v>
      </c>
      <c r="B5" s="2">
        <v>7.6</v>
      </c>
      <c r="C5" s="2">
        <v>114.3</v>
      </c>
    </row>
    <row r="6" spans="1:3" x14ac:dyDescent="0.2">
      <c r="A6" s="31" t="s">
        <v>73</v>
      </c>
      <c r="B6" s="2">
        <v>13.3</v>
      </c>
      <c r="C6" s="2">
        <v>136.5</v>
      </c>
    </row>
    <row r="7" spans="1:3" x14ac:dyDescent="0.2">
      <c r="A7" s="31" t="s">
        <v>74</v>
      </c>
      <c r="B7" s="2">
        <v>-11.7</v>
      </c>
      <c r="C7" s="2">
        <v>20.6</v>
      </c>
    </row>
    <row r="8" spans="1:3" x14ac:dyDescent="0.2">
      <c r="A8" s="31" t="s">
        <v>75</v>
      </c>
      <c r="B8" s="2">
        <v>7.7</v>
      </c>
      <c r="C8" s="2">
        <v>92.6</v>
      </c>
    </row>
    <row r="9" spans="1:3" x14ac:dyDescent="0.2">
      <c r="A9" s="31" t="s">
        <v>76</v>
      </c>
      <c r="B9" s="2">
        <v>19.100000000000001</v>
      </c>
      <c r="C9" s="2">
        <v>39</v>
      </c>
    </row>
    <row r="10" spans="1:3" x14ac:dyDescent="0.2">
      <c r="A10" s="31" t="s">
        <v>77</v>
      </c>
      <c r="B10" s="2">
        <v>42</v>
      </c>
      <c r="C10" s="2">
        <v>83.1</v>
      </c>
    </row>
    <row r="11" spans="1:3" x14ac:dyDescent="0.2">
      <c r="A11" s="31" t="s">
        <v>78</v>
      </c>
      <c r="B11" s="2">
        <v>6.9</v>
      </c>
      <c r="C11" s="121">
        <v>62.6</v>
      </c>
    </row>
    <row r="12" spans="1:3" x14ac:dyDescent="0.2">
      <c r="A12" s="31" t="s">
        <v>79</v>
      </c>
      <c r="B12" s="2">
        <v>1.8</v>
      </c>
      <c r="C12" s="2">
        <v>22.7</v>
      </c>
    </row>
    <row r="13" spans="1:3" x14ac:dyDescent="0.2">
      <c r="A13" s="31" t="s">
        <v>80</v>
      </c>
      <c r="B13" s="2">
        <v>12.5</v>
      </c>
      <c r="C13" s="2">
        <v>37.799999999999997</v>
      </c>
    </row>
    <row r="14" spans="1:3" x14ac:dyDescent="0.2">
      <c r="A14" s="31" t="s">
        <v>81</v>
      </c>
      <c r="B14" s="2">
        <v>18.2</v>
      </c>
      <c r="C14" s="2">
        <v>43.4</v>
      </c>
    </row>
    <row r="15" spans="1:3" ht="16" x14ac:dyDescent="0.2">
      <c r="A15" s="34" t="s">
        <v>84</v>
      </c>
      <c r="B15" s="133">
        <v>10.5</v>
      </c>
      <c r="C15" s="133">
        <v>90.7</v>
      </c>
    </row>
    <row r="17" spans="1:3" x14ac:dyDescent="0.2">
      <c r="A17" s="8" t="s">
        <v>567</v>
      </c>
      <c r="B17" s="8"/>
      <c r="C17" s="8"/>
    </row>
  </sheetData>
  <pageMargins left="0.7" right="0.7" top="0.75" bottom="0.75" header="0.3" footer="0.3"/>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92D050"/>
  </sheetPr>
  <dimension ref="A1:F21"/>
  <sheetViews>
    <sheetView showGridLines="0" zoomScale="90" zoomScaleNormal="90" workbookViewId="0">
      <selection activeCell="A21" sqref="A21"/>
    </sheetView>
  </sheetViews>
  <sheetFormatPr baseColWidth="10" defaultColWidth="8.83203125" defaultRowHeight="15" x14ac:dyDescent="0.2"/>
  <cols>
    <col min="1" max="1" width="17.5" style="2" bestFit="1" customWidth="1"/>
    <col min="2" max="6" width="16" style="2" customWidth="1"/>
    <col min="7" max="16384" width="8.83203125" style="2"/>
  </cols>
  <sheetData>
    <row r="1" spans="1:6" ht="16" x14ac:dyDescent="0.2">
      <c r="A1" s="1" t="s">
        <v>562</v>
      </c>
      <c r="B1" s="1"/>
      <c r="C1" s="1"/>
      <c r="D1" s="1"/>
      <c r="E1" s="1"/>
      <c r="F1" s="1"/>
    </row>
    <row r="3" spans="1:6" ht="16" x14ac:dyDescent="0.2">
      <c r="A3" s="254" t="s">
        <v>64</v>
      </c>
      <c r="B3" s="256" t="s">
        <v>534</v>
      </c>
      <c r="C3" s="256"/>
      <c r="D3" s="256"/>
      <c r="E3" s="256"/>
      <c r="F3" s="256"/>
    </row>
    <row r="4" spans="1:6" x14ac:dyDescent="0.2">
      <c r="A4" s="255"/>
      <c r="B4" s="3" t="s">
        <v>546</v>
      </c>
      <c r="C4" s="3" t="s">
        <v>547</v>
      </c>
      <c r="D4" s="3" t="s">
        <v>548</v>
      </c>
      <c r="E4" s="3" t="s">
        <v>549</v>
      </c>
      <c r="F4" s="3" t="s">
        <v>550</v>
      </c>
    </row>
    <row r="5" spans="1:6" ht="16" x14ac:dyDescent="0.2">
      <c r="A5" s="103" t="s">
        <v>71</v>
      </c>
      <c r="B5" s="2">
        <v>77.7</v>
      </c>
      <c r="C5" s="2">
        <v>89.3</v>
      </c>
      <c r="D5" s="2">
        <v>74.2</v>
      </c>
      <c r="E5" s="2">
        <v>65.5</v>
      </c>
      <c r="F5" s="2">
        <v>24.9</v>
      </c>
    </row>
    <row r="6" spans="1:6" ht="16" x14ac:dyDescent="0.2">
      <c r="A6" s="103" t="s">
        <v>72</v>
      </c>
      <c r="B6" s="121">
        <v>81.099999999999994</v>
      </c>
      <c r="C6" s="2">
        <v>101.6</v>
      </c>
      <c r="D6" s="121">
        <v>99.7</v>
      </c>
      <c r="E6" s="2">
        <v>96.5</v>
      </c>
      <c r="F6" s="2">
        <v>72.3</v>
      </c>
    </row>
    <row r="7" spans="1:6" ht="16" x14ac:dyDescent="0.2">
      <c r="A7" s="103" t="s">
        <v>73</v>
      </c>
      <c r="B7" s="2">
        <v>57</v>
      </c>
      <c r="C7" s="2">
        <v>89.4</v>
      </c>
      <c r="D7" s="2">
        <v>90.5</v>
      </c>
      <c r="E7" s="2">
        <v>76.400000000000006</v>
      </c>
      <c r="F7" s="2">
        <v>58.7</v>
      </c>
    </row>
    <row r="8" spans="1:6" ht="16" x14ac:dyDescent="0.2">
      <c r="A8" s="103" t="s">
        <v>74</v>
      </c>
      <c r="B8" s="2">
        <v>81.900000000000006</v>
      </c>
      <c r="C8" s="2">
        <v>111.1</v>
      </c>
      <c r="D8" s="2">
        <v>92</v>
      </c>
      <c r="E8" s="2">
        <v>60.5</v>
      </c>
      <c r="F8" s="2">
        <v>9.6</v>
      </c>
    </row>
    <row r="9" spans="1:6" ht="16" x14ac:dyDescent="0.2">
      <c r="A9" s="103" t="s">
        <v>75</v>
      </c>
      <c r="B9" s="2">
        <v>61.8</v>
      </c>
      <c r="C9" s="2">
        <v>97</v>
      </c>
      <c r="D9" s="2">
        <v>94</v>
      </c>
      <c r="E9" s="2">
        <v>71.3</v>
      </c>
      <c r="F9" s="2">
        <v>43.9</v>
      </c>
    </row>
    <row r="10" spans="1:6" ht="16" x14ac:dyDescent="0.2">
      <c r="A10" s="103" t="s">
        <v>76</v>
      </c>
      <c r="B10" s="2">
        <v>72.7</v>
      </c>
      <c r="C10" s="2">
        <v>105.1</v>
      </c>
      <c r="D10" s="2">
        <v>92.4</v>
      </c>
      <c r="E10" s="2">
        <v>71.3</v>
      </c>
      <c r="F10" s="2">
        <v>14.2</v>
      </c>
    </row>
    <row r="11" spans="1:6" ht="16" x14ac:dyDescent="0.2">
      <c r="A11" s="103" t="s">
        <v>77</v>
      </c>
      <c r="B11" s="2">
        <v>82.8</v>
      </c>
      <c r="C11" s="2">
        <v>102.6</v>
      </c>
      <c r="D11" s="2">
        <v>96.7</v>
      </c>
      <c r="E11" s="2">
        <v>55.9</v>
      </c>
      <c r="F11" s="2">
        <v>13</v>
      </c>
    </row>
    <row r="12" spans="1:6" ht="16" x14ac:dyDescent="0.2">
      <c r="A12" s="103" t="s">
        <v>78</v>
      </c>
      <c r="B12" s="2">
        <v>63.8</v>
      </c>
      <c r="C12" s="2">
        <v>104.9</v>
      </c>
      <c r="D12" s="2">
        <v>95.6</v>
      </c>
      <c r="E12" s="2">
        <v>77.3</v>
      </c>
      <c r="F12" s="2">
        <v>27.7</v>
      </c>
    </row>
    <row r="13" spans="1:6" ht="16" x14ac:dyDescent="0.2">
      <c r="A13" s="103" t="s">
        <v>79</v>
      </c>
      <c r="B13" s="2">
        <v>69.5</v>
      </c>
      <c r="C13" s="2">
        <v>87.5</v>
      </c>
      <c r="D13" s="2">
        <v>90</v>
      </c>
      <c r="E13" s="2">
        <v>97.8</v>
      </c>
      <c r="F13" s="2">
        <v>14.5</v>
      </c>
    </row>
    <row r="14" spans="1:6" ht="16" x14ac:dyDescent="0.2">
      <c r="A14" s="103" t="s">
        <v>80</v>
      </c>
      <c r="B14" s="2">
        <v>72.400000000000006</v>
      </c>
      <c r="C14" s="121">
        <v>76.5</v>
      </c>
      <c r="D14" s="2">
        <v>67</v>
      </c>
      <c r="E14" s="121">
        <v>59.9</v>
      </c>
      <c r="F14" s="2">
        <v>13.4</v>
      </c>
    </row>
    <row r="15" spans="1:6" ht="16" x14ac:dyDescent="0.2">
      <c r="A15" s="103" t="s">
        <v>81</v>
      </c>
      <c r="B15" s="2">
        <v>76.400000000000006</v>
      </c>
      <c r="C15" s="2">
        <v>94.9</v>
      </c>
      <c r="D15" s="2">
        <v>91.5</v>
      </c>
      <c r="E15" s="121">
        <v>101.3</v>
      </c>
      <c r="F15" s="2">
        <v>16.600000000000001</v>
      </c>
    </row>
    <row r="16" spans="1:6" ht="16" x14ac:dyDescent="0.2">
      <c r="A16" s="103" t="s">
        <v>82</v>
      </c>
      <c r="B16" s="2">
        <v>72.5</v>
      </c>
      <c r="C16" s="2">
        <v>96.9</v>
      </c>
      <c r="D16" s="2">
        <v>89.7</v>
      </c>
      <c r="E16" s="121">
        <v>77.900000000000006</v>
      </c>
      <c r="F16" s="121">
        <v>0</v>
      </c>
    </row>
    <row r="17" spans="1:6" ht="16" x14ac:dyDescent="0.2">
      <c r="A17" s="103" t="s">
        <v>83</v>
      </c>
      <c r="B17" s="121">
        <v>73.400000000000006</v>
      </c>
      <c r="C17" s="2">
        <v>87.3</v>
      </c>
      <c r="D17" s="2">
        <v>85.6</v>
      </c>
      <c r="E17" s="2">
        <v>81.5</v>
      </c>
      <c r="F17" s="121">
        <v>0</v>
      </c>
    </row>
    <row r="18" spans="1:6" ht="16" x14ac:dyDescent="0.2">
      <c r="A18" s="104" t="s">
        <v>500</v>
      </c>
      <c r="B18" s="133">
        <v>66.099999999999994</v>
      </c>
      <c r="C18" s="133">
        <v>95.4</v>
      </c>
      <c r="D18" s="133">
        <v>90.4</v>
      </c>
      <c r="E18" s="133">
        <v>74.2</v>
      </c>
      <c r="F18" s="133">
        <v>39.200000000000003</v>
      </c>
    </row>
    <row r="19" spans="1:6" x14ac:dyDescent="0.2">
      <c r="A19" s="106"/>
      <c r="B19" s="65"/>
      <c r="C19" s="65"/>
      <c r="D19" s="65"/>
      <c r="E19" s="65"/>
      <c r="F19" s="65"/>
    </row>
    <row r="20" spans="1:6" x14ac:dyDescent="0.2">
      <c r="A20" s="140" t="s">
        <v>551</v>
      </c>
    </row>
    <row r="21" spans="1:6" x14ac:dyDescent="0.2">
      <c r="A21" s="8" t="s">
        <v>568</v>
      </c>
      <c r="B21" s="8"/>
      <c r="C21" s="8"/>
      <c r="D21" s="8"/>
      <c r="E21" s="8"/>
      <c r="F21" s="8"/>
    </row>
  </sheetData>
  <mergeCells count="2">
    <mergeCell ref="A3:A4"/>
    <mergeCell ref="B3:F3"/>
  </mergeCells>
  <pageMargins left="0.7" right="0.7" top="0.75" bottom="0.75" header="0.3" footer="0.3"/>
  <pageSetup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92D050"/>
  </sheetPr>
  <dimension ref="A1:E23"/>
  <sheetViews>
    <sheetView showGridLines="0" zoomScale="90" zoomScaleNormal="90" workbookViewId="0">
      <selection activeCell="A19" sqref="A19"/>
    </sheetView>
  </sheetViews>
  <sheetFormatPr baseColWidth="10" defaultColWidth="8.83203125" defaultRowHeight="15" x14ac:dyDescent="0.2"/>
  <cols>
    <col min="1" max="1" width="17.5" style="2" bestFit="1" customWidth="1"/>
    <col min="2" max="2" width="53.5" style="2" bestFit="1" customWidth="1"/>
    <col min="3" max="3" width="40" style="2" bestFit="1" customWidth="1"/>
    <col min="4" max="4" width="25.83203125" style="2" bestFit="1" customWidth="1"/>
    <col min="5" max="5" width="10.83203125" style="2" bestFit="1" customWidth="1"/>
    <col min="6" max="16384" width="8.83203125" style="2"/>
  </cols>
  <sheetData>
    <row r="1" spans="1:5" ht="16" x14ac:dyDescent="0.2">
      <c r="A1" s="1" t="s">
        <v>563</v>
      </c>
      <c r="B1" s="1"/>
      <c r="C1" s="1"/>
      <c r="D1" s="1"/>
    </row>
    <row r="2" spans="1:5" ht="16" x14ac:dyDescent="0.2">
      <c r="A2" s="1"/>
      <c r="B2" s="1"/>
      <c r="C2" s="1"/>
      <c r="D2" s="1"/>
    </row>
    <row r="3" spans="1:5" x14ac:dyDescent="0.2">
      <c r="A3" s="13" t="s">
        <v>64</v>
      </c>
      <c r="B3" s="13" t="s">
        <v>552</v>
      </c>
      <c r="C3" s="13" t="s">
        <v>553</v>
      </c>
      <c r="D3" s="13" t="s">
        <v>554</v>
      </c>
    </row>
    <row r="4" spans="1:5" ht="16" x14ac:dyDescent="0.2">
      <c r="A4" s="103" t="s">
        <v>71</v>
      </c>
      <c r="B4" s="17">
        <v>7487</v>
      </c>
      <c r="C4" s="2">
        <v>538</v>
      </c>
      <c r="D4" s="141">
        <v>7.1999999999999995E-2</v>
      </c>
      <c r="E4" s="142"/>
    </row>
    <row r="5" spans="1:5" ht="16" x14ac:dyDescent="0.2">
      <c r="A5" s="103" t="s">
        <v>72</v>
      </c>
      <c r="B5" s="17">
        <v>13222</v>
      </c>
      <c r="C5" s="2">
        <v>403</v>
      </c>
      <c r="D5" s="141">
        <v>0.03</v>
      </c>
      <c r="E5" s="142"/>
    </row>
    <row r="6" spans="1:5" ht="16" x14ac:dyDescent="0.2">
      <c r="A6" s="103" t="s">
        <v>73</v>
      </c>
      <c r="B6" s="17">
        <v>51001</v>
      </c>
      <c r="C6" s="17">
        <v>1277</v>
      </c>
      <c r="D6" s="141">
        <v>2.5000000000000001E-2</v>
      </c>
      <c r="E6" s="142"/>
    </row>
    <row r="7" spans="1:5" ht="16" x14ac:dyDescent="0.2">
      <c r="A7" s="103" t="s">
        <v>74</v>
      </c>
      <c r="B7" s="17">
        <v>13485</v>
      </c>
      <c r="C7" s="2">
        <v>610</v>
      </c>
      <c r="D7" s="141">
        <v>4.4999999999999998E-2</v>
      </c>
      <c r="E7" s="142"/>
    </row>
    <row r="8" spans="1:5" ht="16" x14ac:dyDescent="0.2">
      <c r="A8" s="103" t="s">
        <v>75</v>
      </c>
      <c r="B8" s="17">
        <v>47683</v>
      </c>
      <c r="C8" s="17">
        <v>1201</v>
      </c>
      <c r="D8" s="141">
        <v>2.5000000000000001E-2</v>
      </c>
      <c r="E8" s="142"/>
    </row>
    <row r="9" spans="1:5" ht="16" x14ac:dyDescent="0.2">
      <c r="A9" s="103" t="s">
        <v>76</v>
      </c>
      <c r="B9" s="17">
        <v>20992</v>
      </c>
      <c r="C9" s="2">
        <v>381</v>
      </c>
      <c r="D9" s="141">
        <v>1.7999999999999999E-2</v>
      </c>
      <c r="E9" s="142"/>
    </row>
    <row r="10" spans="1:5" ht="16" x14ac:dyDescent="0.2">
      <c r="A10" s="79" t="s">
        <v>555</v>
      </c>
      <c r="B10" s="143" t="s">
        <v>556</v>
      </c>
      <c r="C10" s="143" t="s">
        <v>556</v>
      </c>
      <c r="D10" s="144" t="s">
        <v>556</v>
      </c>
      <c r="E10" s="142"/>
    </row>
    <row r="11" spans="1:5" ht="16" x14ac:dyDescent="0.2">
      <c r="A11" s="103" t="s">
        <v>78</v>
      </c>
      <c r="B11" s="17">
        <v>15670</v>
      </c>
      <c r="C11" s="2">
        <v>801</v>
      </c>
      <c r="D11" s="141">
        <v>5.0999999999999997E-2</v>
      </c>
      <c r="E11" s="142"/>
    </row>
    <row r="12" spans="1:5" ht="16" x14ac:dyDescent="0.2">
      <c r="A12" s="103" t="s">
        <v>79</v>
      </c>
      <c r="B12" s="17">
        <v>6623</v>
      </c>
      <c r="C12" s="2">
        <v>425</v>
      </c>
      <c r="D12" s="141">
        <v>6.4000000000000001E-2</v>
      </c>
      <c r="E12" s="142"/>
    </row>
    <row r="13" spans="1:5" ht="16" x14ac:dyDescent="0.2">
      <c r="A13" s="103" t="s">
        <v>80</v>
      </c>
      <c r="B13" s="17">
        <v>12047</v>
      </c>
      <c r="C13" s="2">
        <v>509</v>
      </c>
      <c r="D13" s="141">
        <v>4.2000000000000003E-2</v>
      </c>
      <c r="E13" s="142"/>
    </row>
    <row r="14" spans="1:5" ht="16" x14ac:dyDescent="0.2">
      <c r="A14" s="103" t="s">
        <v>81</v>
      </c>
      <c r="B14" s="17">
        <v>1785</v>
      </c>
      <c r="C14" s="2">
        <v>410</v>
      </c>
      <c r="D14" s="141">
        <v>0.23</v>
      </c>
      <c r="E14" s="142"/>
    </row>
    <row r="15" spans="1:5" ht="16" x14ac:dyDescent="0.2">
      <c r="A15" s="103" t="s">
        <v>82</v>
      </c>
      <c r="B15" s="17">
        <v>3931</v>
      </c>
      <c r="C15" s="2">
        <v>46</v>
      </c>
      <c r="D15" s="141">
        <v>1.2E-2</v>
      </c>
      <c r="E15" s="142"/>
    </row>
    <row r="16" spans="1:5" ht="16" x14ac:dyDescent="0.2">
      <c r="A16" s="103" t="s">
        <v>83</v>
      </c>
      <c r="B16" s="17">
        <v>2451</v>
      </c>
      <c r="C16" s="2">
        <v>331</v>
      </c>
      <c r="D16" s="141">
        <v>0.13500000000000001</v>
      </c>
      <c r="E16" s="142"/>
    </row>
    <row r="17" spans="1:5" ht="16" x14ac:dyDescent="0.2">
      <c r="A17" s="104" t="s">
        <v>500</v>
      </c>
      <c r="B17" s="67">
        <v>196377</v>
      </c>
      <c r="C17" s="67">
        <v>6932</v>
      </c>
      <c r="D17" s="145">
        <v>3.5000000000000003E-2</v>
      </c>
      <c r="E17" s="142"/>
    </row>
    <row r="18" spans="1:5" x14ac:dyDescent="0.2">
      <c r="B18" s="17"/>
      <c r="C18" s="17"/>
    </row>
    <row r="19" spans="1:5" x14ac:dyDescent="0.2">
      <c r="A19" s="135" t="s">
        <v>564</v>
      </c>
      <c r="B19" s="17"/>
      <c r="C19" s="17"/>
    </row>
    <row r="20" spans="1:5" x14ac:dyDescent="0.2">
      <c r="A20" s="135" t="s">
        <v>557</v>
      </c>
      <c r="B20" s="17"/>
      <c r="C20" s="17"/>
    </row>
    <row r="21" spans="1:5" x14ac:dyDescent="0.2">
      <c r="A21" s="135" t="s">
        <v>558</v>
      </c>
      <c r="B21" s="17"/>
      <c r="C21" s="17"/>
    </row>
    <row r="22" spans="1:5" x14ac:dyDescent="0.2">
      <c r="A22" s="8" t="s">
        <v>565</v>
      </c>
      <c r="B22" s="8"/>
      <c r="C22" s="8"/>
      <c r="D22" s="8"/>
    </row>
    <row r="23" spans="1:5" x14ac:dyDescent="0.2">
      <c r="A23" s="264"/>
      <c r="B23" s="258"/>
      <c r="C23" s="258"/>
      <c r="D23" s="258"/>
    </row>
  </sheetData>
  <mergeCells count="1">
    <mergeCell ref="A23:D23"/>
  </mergeCells>
  <pageMargins left="0.7" right="0.7" top="0.75" bottom="0.75" header="0.3" footer="0.3"/>
  <pageSetup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92D050"/>
  </sheetPr>
  <dimension ref="A1:E21"/>
  <sheetViews>
    <sheetView showGridLines="0" zoomScale="90" zoomScaleNormal="90" workbookViewId="0">
      <selection activeCell="E11" sqref="E11"/>
    </sheetView>
  </sheetViews>
  <sheetFormatPr baseColWidth="10" defaultColWidth="8.83203125" defaultRowHeight="15" x14ac:dyDescent="0.2"/>
  <cols>
    <col min="1" max="1" width="17.5" style="2" bestFit="1" customWidth="1"/>
    <col min="2" max="3" width="14" style="2" bestFit="1" customWidth="1"/>
    <col min="4" max="4" width="15.33203125" style="2" bestFit="1" customWidth="1"/>
    <col min="5" max="5" width="22.33203125" style="2" bestFit="1" customWidth="1"/>
    <col min="6" max="16384" width="8.83203125" style="2"/>
  </cols>
  <sheetData>
    <row r="1" spans="1:5" ht="16" x14ac:dyDescent="0.2">
      <c r="A1" s="1" t="s">
        <v>577</v>
      </c>
      <c r="B1" s="1"/>
      <c r="C1" s="1"/>
      <c r="D1" s="1"/>
      <c r="E1" s="1"/>
    </row>
    <row r="2" spans="1:5" ht="16" x14ac:dyDescent="0.2">
      <c r="A2" s="1"/>
      <c r="B2" s="1"/>
      <c r="C2" s="1"/>
      <c r="D2" s="1"/>
      <c r="E2" s="1"/>
    </row>
    <row r="3" spans="1:5" x14ac:dyDescent="0.2">
      <c r="A3" s="13" t="s">
        <v>64</v>
      </c>
      <c r="B3" s="13" t="s">
        <v>496</v>
      </c>
      <c r="C3" s="13" t="s">
        <v>497</v>
      </c>
      <c r="D3" s="13" t="s">
        <v>498</v>
      </c>
      <c r="E3" s="13" t="s">
        <v>499</v>
      </c>
    </row>
    <row r="4" spans="1:5" ht="16" x14ac:dyDescent="0.2">
      <c r="A4" s="103" t="s">
        <v>71</v>
      </c>
      <c r="B4" s="2">
        <v>67.8</v>
      </c>
      <c r="C4" s="2">
        <v>85.3</v>
      </c>
      <c r="D4" s="2">
        <v>77.400000000000006</v>
      </c>
      <c r="E4" s="2">
        <v>76.900000000000006</v>
      </c>
    </row>
    <row r="5" spans="1:5" ht="16" x14ac:dyDescent="0.2">
      <c r="A5" s="103" t="s">
        <v>72</v>
      </c>
      <c r="B5" s="2">
        <v>78.8</v>
      </c>
      <c r="C5" s="2">
        <v>77.7</v>
      </c>
      <c r="D5" s="2">
        <v>80.599999999999994</v>
      </c>
      <c r="E5" s="121">
        <v>79.099999999999994</v>
      </c>
    </row>
    <row r="6" spans="1:5" ht="16" x14ac:dyDescent="0.2">
      <c r="A6" s="103" t="s">
        <v>73</v>
      </c>
      <c r="B6" s="2">
        <v>43.7</v>
      </c>
      <c r="C6" s="121">
        <v>62.4</v>
      </c>
      <c r="D6" s="2">
        <v>61.6</v>
      </c>
      <c r="E6" s="2">
        <v>56.1</v>
      </c>
    </row>
    <row r="7" spans="1:5" ht="16" x14ac:dyDescent="0.2">
      <c r="A7" s="103" t="s">
        <v>74</v>
      </c>
      <c r="B7" s="2">
        <v>64.599999999999994</v>
      </c>
      <c r="C7" s="2">
        <v>97.9</v>
      </c>
      <c r="D7" s="2">
        <v>82.5</v>
      </c>
      <c r="E7" s="2">
        <v>81.900000000000006</v>
      </c>
    </row>
    <row r="8" spans="1:5" ht="16" x14ac:dyDescent="0.2">
      <c r="A8" s="103" t="s">
        <v>75</v>
      </c>
      <c r="B8" s="2">
        <v>42</v>
      </c>
      <c r="C8" s="2">
        <v>68.900000000000006</v>
      </c>
      <c r="D8" s="2">
        <v>72.400000000000006</v>
      </c>
      <c r="E8" s="121">
        <v>61.4</v>
      </c>
    </row>
    <row r="9" spans="1:5" ht="16" x14ac:dyDescent="0.2">
      <c r="A9" s="103" t="s">
        <v>76</v>
      </c>
      <c r="B9" s="2">
        <v>57.2</v>
      </c>
      <c r="C9" s="2">
        <v>80</v>
      </c>
      <c r="D9" s="121">
        <v>78.900000000000006</v>
      </c>
      <c r="E9" s="2">
        <v>72.3</v>
      </c>
    </row>
    <row r="10" spans="1:5" ht="16" x14ac:dyDescent="0.2">
      <c r="A10" s="103" t="s">
        <v>77</v>
      </c>
      <c r="B10" s="2">
        <v>73</v>
      </c>
      <c r="C10" s="2">
        <v>92.5</v>
      </c>
      <c r="D10" s="2">
        <v>82.5</v>
      </c>
      <c r="E10" s="2">
        <v>82.8</v>
      </c>
    </row>
    <row r="11" spans="1:5" ht="16" x14ac:dyDescent="0.2">
      <c r="A11" s="103" t="s">
        <v>78</v>
      </c>
      <c r="B11" s="2">
        <v>33</v>
      </c>
      <c r="C11" s="2">
        <v>82.5</v>
      </c>
      <c r="D11" s="2">
        <v>74.400000000000006</v>
      </c>
      <c r="E11" s="2">
        <v>63.8</v>
      </c>
    </row>
    <row r="12" spans="1:5" ht="16" x14ac:dyDescent="0.2">
      <c r="A12" s="103" t="s">
        <v>79</v>
      </c>
      <c r="B12" s="2">
        <v>72</v>
      </c>
      <c r="C12" s="2">
        <v>61.7</v>
      </c>
      <c r="D12" s="2">
        <v>74.7</v>
      </c>
      <c r="E12" s="2">
        <v>69.5</v>
      </c>
    </row>
    <row r="13" spans="1:5" ht="16" x14ac:dyDescent="0.2">
      <c r="A13" s="103" t="s">
        <v>80</v>
      </c>
      <c r="B13" s="2">
        <v>68.2</v>
      </c>
      <c r="C13" s="2">
        <v>78.099999999999994</v>
      </c>
      <c r="D13" s="2">
        <v>66.099999999999994</v>
      </c>
      <c r="E13" s="2">
        <v>70.8</v>
      </c>
    </row>
    <row r="14" spans="1:5" ht="16" x14ac:dyDescent="0.2">
      <c r="A14" s="103" t="s">
        <v>81</v>
      </c>
      <c r="B14" s="2">
        <v>75.7</v>
      </c>
      <c r="C14" s="2">
        <v>77</v>
      </c>
      <c r="D14" s="2">
        <v>76.5</v>
      </c>
      <c r="E14" s="2">
        <v>76.400000000000006</v>
      </c>
    </row>
    <row r="15" spans="1:5" ht="16" x14ac:dyDescent="0.2">
      <c r="A15" s="103" t="s">
        <v>82</v>
      </c>
      <c r="B15" s="2">
        <v>54.4</v>
      </c>
      <c r="C15" s="2">
        <v>75.599999999999994</v>
      </c>
      <c r="D15" s="2">
        <v>86.6</v>
      </c>
      <c r="E15" s="2">
        <v>72.5</v>
      </c>
    </row>
    <row r="16" spans="1:5" ht="16" x14ac:dyDescent="0.2">
      <c r="A16" s="103" t="s">
        <v>83</v>
      </c>
      <c r="B16" s="2">
        <v>70.2</v>
      </c>
      <c r="C16" s="121">
        <v>74</v>
      </c>
      <c r="D16" s="2">
        <v>75.8</v>
      </c>
      <c r="E16" s="121">
        <v>73.400000000000006</v>
      </c>
    </row>
    <row r="17" spans="1:5" ht="16" x14ac:dyDescent="0.2">
      <c r="A17" s="104" t="s">
        <v>500</v>
      </c>
      <c r="B17" s="133">
        <v>51.4</v>
      </c>
      <c r="C17" s="134">
        <v>73</v>
      </c>
      <c r="D17" s="133">
        <v>71.599999999999994</v>
      </c>
      <c r="E17" s="133">
        <v>65.5</v>
      </c>
    </row>
    <row r="19" spans="1:5" x14ac:dyDescent="0.2">
      <c r="A19" s="135" t="s">
        <v>501</v>
      </c>
    </row>
    <row r="20" spans="1:5" x14ac:dyDescent="0.2">
      <c r="A20" s="8" t="s">
        <v>543</v>
      </c>
      <c r="B20" s="8"/>
      <c r="C20" s="8"/>
      <c r="D20" s="8"/>
      <c r="E20" s="8"/>
    </row>
    <row r="21" spans="1:5" x14ac:dyDescent="0.2">
      <c r="A21" s="264" t="s">
        <v>184</v>
      </c>
      <c r="B21" s="258"/>
      <c r="C21" s="258"/>
      <c r="D21" s="258"/>
      <c r="E21" s="258"/>
    </row>
  </sheetData>
  <mergeCells count="1">
    <mergeCell ref="A21:E21"/>
  </mergeCells>
  <pageMargins left="0.7" right="0.7" top="0.75" bottom="0.75" header="0.3" footer="0.3"/>
  <pageSetup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92D050"/>
  </sheetPr>
  <dimension ref="A1:L21"/>
  <sheetViews>
    <sheetView showGridLines="0" zoomScale="90" zoomScaleNormal="90" workbookViewId="0">
      <selection activeCell="A14" sqref="A14"/>
    </sheetView>
  </sheetViews>
  <sheetFormatPr baseColWidth="10" defaultColWidth="8.83203125" defaultRowHeight="15" x14ac:dyDescent="0.2"/>
  <cols>
    <col min="1" max="1" width="76.83203125" style="2" customWidth="1"/>
    <col min="2" max="2" width="23.1640625" style="2" bestFit="1" customWidth="1"/>
    <col min="3" max="3" width="31.6640625" style="2" bestFit="1" customWidth="1"/>
    <col min="4" max="4" width="23.83203125" style="2" bestFit="1" customWidth="1"/>
    <col min="5" max="5" width="32.1640625" style="2" bestFit="1" customWidth="1"/>
    <col min="6" max="6" width="19.83203125" style="2" bestFit="1" customWidth="1"/>
    <col min="7" max="7" width="28.5" style="2" bestFit="1" customWidth="1"/>
    <col min="8" max="8" width="17.83203125" style="2" bestFit="1" customWidth="1"/>
    <col min="9" max="9" width="15.83203125" style="2" bestFit="1" customWidth="1"/>
    <col min="10" max="10" width="7" style="2" bestFit="1" customWidth="1"/>
    <col min="11" max="11" width="8.83203125" style="2" bestFit="1" customWidth="1"/>
    <col min="12" max="12" width="10.83203125" style="2" bestFit="1" customWidth="1"/>
    <col min="13" max="16384" width="8.83203125" style="2"/>
  </cols>
  <sheetData>
    <row r="1" spans="1:12" ht="16" x14ac:dyDescent="0.2">
      <c r="A1" s="44" t="s">
        <v>578</v>
      </c>
      <c r="B1" s="44"/>
      <c r="C1" s="44"/>
      <c r="D1" s="1"/>
      <c r="E1" s="1"/>
      <c r="F1" s="1"/>
      <c r="G1" s="1"/>
      <c r="H1" s="1"/>
      <c r="I1" s="1"/>
      <c r="J1" s="1"/>
    </row>
    <row r="2" spans="1:12" ht="16" x14ac:dyDescent="0.2">
      <c r="A2" s="1"/>
      <c r="B2" s="1"/>
      <c r="C2" s="1"/>
      <c r="D2" s="1"/>
      <c r="E2" s="1"/>
      <c r="F2" s="1"/>
      <c r="G2" s="1"/>
      <c r="H2" s="1"/>
      <c r="I2" s="1"/>
      <c r="J2" s="1"/>
    </row>
    <row r="3" spans="1:12" x14ac:dyDescent="0.2">
      <c r="A3" s="13" t="s">
        <v>502</v>
      </c>
      <c r="B3" s="13" t="s">
        <v>503</v>
      </c>
      <c r="C3" s="13" t="s">
        <v>504</v>
      </c>
      <c r="D3" s="13" t="s">
        <v>505</v>
      </c>
      <c r="E3" s="13" t="s">
        <v>506</v>
      </c>
      <c r="F3" s="13" t="s">
        <v>507</v>
      </c>
      <c r="G3" s="13" t="s">
        <v>508</v>
      </c>
      <c r="H3" s="13" t="s">
        <v>509</v>
      </c>
      <c r="I3" s="13" t="s">
        <v>510</v>
      </c>
    </row>
    <row r="4" spans="1:12" x14ac:dyDescent="0.2">
      <c r="A4" s="2" t="s">
        <v>511</v>
      </c>
      <c r="B4" s="2">
        <v>25</v>
      </c>
      <c r="C4" s="10">
        <v>59996743.18</v>
      </c>
      <c r="D4" s="2">
        <v>87</v>
      </c>
      <c r="E4" s="10">
        <v>111736296.15000001</v>
      </c>
      <c r="F4" s="2">
        <v>211</v>
      </c>
      <c r="G4" s="10">
        <v>17934971.620000001</v>
      </c>
      <c r="H4" s="17">
        <f>SUM(B4+D4+F4)</f>
        <v>323</v>
      </c>
      <c r="I4" s="10">
        <f>SUM(C4+E4+G4)</f>
        <v>189668010.95000002</v>
      </c>
      <c r="K4" s="17"/>
      <c r="L4" s="17"/>
    </row>
    <row r="5" spans="1:12" x14ac:dyDescent="0.2">
      <c r="A5" s="2" t="s">
        <v>512</v>
      </c>
      <c r="B5" s="2">
        <v>0</v>
      </c>
      <c r="C5" s="10">
        <v>0</v>
      </c>
      <c r="D5" s="2">
        <v>499</v>
      </c>
      <c r="E5" s="10">
        <v>154800000</v>
      </c>
      <c r="F5" s="2">
        <v>0</v>
      </c>
      <c r="G5" s="10">
        <v>0</v>
      </c>
      <c r="H5" s="17">
        <f t="shared" ref="H5:H18" si="0">SUM(B5+D5+F5)</f>
        <v>499</v>
      </c>
      <c r="I5" s="10">
        <f t="shared" ref="I5:I18" si="1">SUM(C5+E5+G5)</f>
        <v>154800000</v>
      </c>
      <c r="K5" s="17"/>
      <c r="L5" s="17"/>
    </row>
    <row r="6" spans="1:12" x14ac:dyDescent="0.2">
      <c r="A6" s="2" t="s">
        <v>513</v>
      </c>
      <c r="B6" s="2">
        <v>0</v>
      </c>
      <c r="C6" s="10">
        <v>0</v>
      </c>
      <c r="D6" s="2">
        <v>25</v>
      </c>
      <c r="E6" s="10">
        <v>1561154.18</v>
      </c>
      <c r="F6" s="2">
        <v>0</v>
      </c>
      <c r="G6" s="10">
        <v>0</v>
      </c>
      <c r="H6" s="17">
        <f t="shared" si="0"/>
        <v>25</v>
      </c>
      <c r="I6" s="10">
        <f t="shared" si="1"/>
        <v>1561154.18</v>
      </c>
      <c r="K6" s="17"/>
      <c r="L6" s="17"/>
    </row>
    <row r="7" spans="1:12" x14ac:dyDescent="0.2">
      <c r="A7" s="2" t="s">
        <v>514</v>
      </c>
      <c r="B7" s="2">
        <v>0</v>
      </c>
      <c r="C7" s="10">
        <v>0</v>
      </c>
      <c r="D7" s="2">
        <v>2</v>
      </c>
      <c r="E7" s="10">
        <v>3535876.53</v>
      </c>
      <c r="F7" s="2">
        <v>4</v>
      </c>
      <c r="G7" s="10">
        <v>1499956.65</v>
      </c>
      <c r="H7" s="17">
        <f t="shared" si="0"/>
        <v>6</v>
      </c>
      <c r="I7" s="10">
        <f t="shared" si="1"/>
        <v>5035833.18</v>
      </c>
      <c r="K7" s="17"/>
      <c r="L7" s="17"/>
    </row>
    <row r="8" spans="1:12" x14ac:dyDescent="0.2">
      <c r="A8" s="2" t="s">
        <v>515</v>
      </c>
      <c r="B8" s="2">
        <v>1</v>
      </c>
      <c r="C8" s="10">
        <v>697034.69</v>
      </c>
      <c r="D8" s="2">
        <v>3</v>
      </c>
      <c r="E8" s="10">
        <v>1988499.49</v>
      </c>
      <c r="F8" s="2">
        <v>0</v>
      </c>
      <c r="G8" s="10">
        <v>0</v>
      </c>
      <c r="H8" s="17">
        <f t="shared" si="0"/>
        <v>4</v>
      </c>
      <c r="I8" s="10">
        <f t="shared" si="1"/>
        <v>2685534.1799999997</v>
      </c>
      <c r="K8" s="17"/>
      <c r="L8" s="17"/>
    </row>
    <row r="9" spans="1:12" x14ac:dyDescent="0.2">
      <c r="A9" s="2" t="s">
        <v>516</v>
      </c>
      <c r="B9" s="2">
        <v>0</v>
      </c>
      <c r="C9" s="10">
        <v>0</v>
      </c>
      <c r="D9" s="2">
        <v>1</v>
      </c>
      <c r="E9" s="10">
        <v>1211993.79</v>
      </c>
      <c r="F9" s="2">
        <v>0</v>
      </c>
      <c r="G9" s="10">
        <v>0</v>
      </c>
      <c r="H9" s="17">
        <f t="shared" si="0"/>
        <v>1</v>
      </c>
      <c r="I9" s="10">
        <f t="shared" si="1"/>
        <v>1211993.79</v>
      </c>
      <c r="K9" s="17"/>
      <c r="L9" s="17"/>
    </row>
    <row r="10" spans="1:12" x14ac:dyDescent="0.2">
      <c r="A10" s="2" t="s">
        <v>517</v>
      </c>
      <c r="B10" s="2">
        <v>3</v>
      </c>
      <c r="C10" s="10">
        <v>16830531.890000001</v>
      </c>
      <c r="D10" s="2">
        <v>1</v>
      </c>
      <c r="E10" s="10">
        <v>614945.6</v>
      </c>
      <c r="F10" s="2">
        <v>11</v>
      </c>
      <c r="G10" s="10">
        <v>2671537.36</v>
      </c>
      <c r="H10" s="17">
        <f t="shared" si="0"/>
        <v>15</v>
      </c>
      <c r="I10" s="10">
        <f t="shared" si="1"/>
        <v>20117014.850000001</v>
      </c>
      <c r="K10" s="17"/>
      <c r="L10" s="17"/>
    </row>
    <row r="11" spans="1:12" x14ac:dyDescent="0.2">
      <c r="A11" s="2" t="s">
        <v>521</v>
      </c>
      <c r="B11" s="2">
        <v>0</v>
      </c>
      <c r="C11" s="10">
        <v>0</v>
      </c>
      <c r="D11" s="2">
        <v>1</v>
      </c>
      <c r="E11" s="10">
        <v>618859.93999999994</v>
      </c>
      <c r="F11" s="2">
        <v>0</v>
      </c>
      <c r="G11" s="10">
        <v>0</v>
      </c>
      <c r="H11" s="17">
        <f t="shared" si="0"/>
        <v>1</v>
      </c>
      <c r="I11" s="10">
        <f t="shared" si="1"/>
        <v>618859.93999999994</v>
      </c>
      <c r="K11" s="17"/>
      <c r="L11" s="17"/>
    </row>
    <row r="12" spans="1:12" x14ac:dyDescent="0.2">
      <c r="A12" s="2" t="s">
        <v>522</v>
      </c>
      <c r="B12" s="2">
        <v>1</v>
      </c>
      <c r="C12" s="10">
        <v>7455111.2300000004</v>
      </c>
      <c r="D12" s="2">
        <v>0</v>
      </c>
      <c r="E12" s="10">
        <v>0</v>
      </c>
      <c r="F12" s="2">
        <v>0</v>
      </c>
      <c r="G12" s="10">
        <v>0</v>
      </c>
      <c r="H12" s="17">
        <f t="shared" si="0"/>
        <v>1</v>
      </c>
      <c r="I12" s="10">
        <f t="shared" si="1"/>
        <v>7455111.2300000004</v>
      </c>
      <c r="K12" s="17"/>
      <c r="L12" s="17"/>
    </row>
    <row r="13" spans="1:12" x14ac:dyDescent="0.2">
      <c r="A13" s="2" t="s">
        <v>523</v>
      </c>
      <c r="B13" s="2">
        <v>0</v>
      </c>
      <c r="C13" s="10">
        <v>0</v>
      </c>
      <c r="D13" s="2">
        <v>0</v>
      </c>
      <c r="E13" s="10">
        <v>0</v>
      </c>
      <c r="F13" s="2">
        <v>2</v>
      </c>
      <c r="G13" s="10">
        <v>2208903.4</v>
      </c>
      <c r="H13" s="17">
        <f t="shared" si="0"/>
        <v>2</v>
      </c>
      <c r="I13" s="10">
        <f t="shared" si="1"/>
        <v>2208903.4</v>
      </c>
      <c r="K13" s="17"/>
      <c r="L13" s="17"/>
    </row>
    <row r="14" spans="1:12" x14ac:dyDescent="0.2">
      <c r="A14" s="2" t="s">
        <v>525</v>
      </c>
      <c r="B14" s="2">
        <v>0</v>
      </c>
      <c r="C14" s="10">
        <v>0</v>
      </c>
      <c r="D14" s="2">
        <v>3</v>
      </c>
      <c r="E14" s="10">
        <v>2440549.65</v>
      </c>
      <c r="F14" s="2">
        <v>1</v>
      </c>
      <c r="G14" s="10">
        <v>109000</v>
      </c>
      <c r="H14" s="17">
        <f t="shared" si="0"/>
        <v>4</v>
      </c>
      <c r="I14" s="10">
        <f t="shared" si="1"/>
        <v>2549549.65</v>
      </c>
      <c r="K14" s="17"/>
      <c r="L14" s="17"/>
    </row>
    <row r="15" spans="1:12" x14ac:dyDescent="0.2">
      <c r="A15" s="2" t="s">
        <v>526</v>
      </c>
      <c r="B15" s="2">
        <v>0</v>
      </c>
      <c r="C15" s="10">
        <v>0</v>
      </c>
      <c r="D15" s="2">
        <v>0</v>
      </c>
      <c r="E15" s="10">
        <v>0</v>
      </c>
      <c r="F15" s="2">
        <v>1</v>
      </c>
      <c r="G15" s="10">
        <v>457632.16</v>
      </c>
      <c r="H15" s="17">
        <f t="shared" si="0"/>
        <v>1</v>
      </c>
      <c r="I15" s="10">
        <f t="shared" si="1"/>
        <v>457632.16</v>
      </c>
      <c r="K15" s="17"/>
      <c r="L15" s="17"/>
    </row>
    <row r="16" spans="1:12" x14ac:dyDescent="0.2">
      <c r="A16" s="2" t="s">
        <v>527</v>
      </c>
      <c r="B16" s="2">
        <v>0</v>
      </c>
      <c r="C16" s="10">
        <v>0</v>
      </c>
      <c r="D16" s="2">
        <v>3</v>
      </c>
      <c r="E16" s="10">
        <v>992842.93</v>
      </c>
      <c r="F16" s="2">
        <v>0</v>
      </c>
      <c r="G16" s="10">
        <v>0</v>
      </c>
      <c r="H16" s="17">
        <f t="shared" si="0"/>
        <v>3</v>
      </c>
      <c r="I16" s="10">
        <f t="shared" si="1"/>
        <v>992842.93</v>
      </c>
      <c r="K16" s="17"/>
      <c r="L16" s="17"/>
    </row>
    <row r="17" spans="1:12" x14ac:dyDescent="0.2">
      <c r="A17" s="2" t="s">
        <v>579</v>
      </c>
      <c r="B17" s="2">
        <v>0</v>
      </c>
      <c r="C17" s="10">
        <v>0</v>
      </c>
      <c r="D17" s="2">
        <v>0</v>
      </c>
      <c r="E17" s="10">
        <v>0</v>
      </c>
      <c r="F17" s="2">
        <v>1</v>
      </c>
      <c r="G17" s="10">
        <v>378916.32</v>
      </c>
      <c r="H17" s="17">
        <f t="shared" si="0"/>
        <v>1</v>
      </c>
      <c r="I17" s="10">
        <f t="shared" si="1"/>
        <v>378916.32</v>
      </c>
      <c r="K17" s="17"/>
      <c r="L17" s="17"/>
    </row>
    <row r="18" spans="1:12" x14ac:dyDescent="0.2">
      <c r="A18" s="2" t="s">
        <v>580</v>
      </c>
      <c r="B18" s="2">
        <v>0</v>
      </c>
      <c r="C18" s="10">
        <v>0</v>
      </c>
      <c r="D18" s="2">
        <v>0</v>
      </c>
      <c r="E18" s="10">
        <v>0</v>
      </c>
      <c r="F18" s="2">
        <v>2</v>
      </c>
      <c r="G18" s="10">
        <v>1940000</v>
      </c>
      <c r="H18" s="17">
        <f t="shared" si="0"/>
        <v>2</v>
      </c>
      <c r="I18" s="10">
        <f t="shared" si="1"/>
        <v>1940000</v>
      </c>
      <c r="K18" s="17"/>
      <c r="L18" s="17"/>
    </row>
    <row r="19" spans="1:12" x14ac:dyDescent="0.2">
      <c r="A19" s="136" t="s">
        <v>33</v>
      </c>
      <c r="B19" s="67">
        <f>SUM(B4:B18)</f>
        <v>30</v>
      </c>
      <c r="C19" s="146">
        <f t="shared" ref="C19:I19" si="2">SUM(C4:C18)</f>
        <v>84979420.989999995</v>
      </c>
      <c r="D19" s="67">
        <f t="shared" si="2"/>
        <v>625</v>
      </c>
      <c r="E19" s="146">
        <f t="shared" si="2"/>
        <v>279501018.26000005</v>
      </c>
      <c r="F19" s="67">
        <f t="shared" si="2"/>
        <v>233</v>
      </c>
      <c r="G19" s="146">
        <f t="shared" si="2"/>
        <v>27200917.509999998</v>
      </c>
      <c r="H19" s="67">
        <f t="shared" si="2"/>
        <v>888</v>
      </c>
      <c r="I19" s="146">
        <f t="shared" si="2"/>
        <v>391681356.76000011</v>
      </c>
      <c r="K19" s="17"/>
      <c r="L19" s="17"/>
    </row>
    <row r="21" spans="1:12" x14ac:dyDescent="0.2">
      <c r="A21" s="8" t="s">
        <v>581</v>
      </c>
      <c r="B21" s="8"/>
      <c r="C21" s="8"/>
      <c r="D21" s="8"/>
      <c r="E21" s="8"/>
      <c r="F21" s="8"/>
      <c r="G21" s="8"/>
      <c r="H21" s="8"/>
      <c r="I21" s="8"/>
      <c r="J21" s="8"/>
    </row>
  </sheetData>
  <pageMargins left="0.7" right="0.7" top="0.75" bottom="0.75" header="0.3" footer="0.3"/>
  <pageSetup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92D050"/>
  </sheetPr>
  <dimension ref="A1:L14"/>
  <sheetViews>
    <sheetView showGridLines="0" zoomScale="90" zoomScaleNormal="90" workbookViewId="0">
      <selection activeCell="G16" sqref="G16"/>
    </sheetView>
  </sheetViews>
  <sheetFormatPr baseColWidth="10" defaultColWidth="8.83203125" defaultRowHeight="15" x14ac:dyDescent="0.2"/>
  <cols>
    <col min="1" max="1" width="77" style="2" customWidth="1"/>
    <col min="2" max="2" width="25.83203125" style="2" bestFit="1" customWidth="1"/>
    <col min="3" max="3" width="32.1640625" style="2" bestFit="1" customWidth="1"/>
    <col min="4" max="4" width="23.83203125" style="2" bestFit="1" customWidth="1"/>
    <col min="5" max="5" width="30.5" style="2" bestFit="1" customWidth="1"/>
    <col min="6" max="6" width="24.6640625" style="2" bestFit="1" customWidth="1"/>
    <col min="7" max="7" width="28.5" style="2" bestFit="1" customWidth="1"/>
    <col min="8" max="8" width="21.1640625" style="2" bestFit="1" customWidth="1"/>
    <col min="9" max="9" width="22.33203125" style="2" bestFit="1" customWidth="1"/>
    <col min="10" max="11" width="8.83203125" style="2"/>
    <col min="12" max="12" width="10.83203125" style="2" bestFit="1" customWidth="1"/>
    <col min="13" max="16384" width="8.83203125" style="2"/>
  </cols>
  <sheetData>
    <row r="1" spans="1:12" ht="16" x14ac:dyDescent="0.2">
      <c r="A1" s="44" t="s">
        <v>582</v>
      </c>
      <c r="B1" s="44"/>
      <c r="C1" s="44"/>
      <c r="D1" s="1"/>
      <c r="E1" s="1"/>
      <c r="F1" s="1"/>
      <c r="G1" s="1"/>
      <c r="H1" s="1"/>
      <c r="I1" s="1"/>
    </row>
    <row r="3" spans="1:12" x14ac:dyDescent="0.2">
      <c r="A3" s="13" t="s">
        <v>111</v>
      </c>
      <c r="B3" s="13" t="s">
        <v>503</v>
      </c>
      <c r="C3" s="13" t="s">
        <v>504</v>
      </c>
      <c r="D3" s="13" t="s">
        <v>505</v>
      </c>
      <c r="E3" s="13" t="s">
        <v>506</v>
      </c>
      <c r="F3" s="13" t="s">
        <v>507</v>
      </c>
      <c r="G3" s="13" t="s">
        <v>508</v>
      </c>
      <c r="H3" s="13" t="s">
        <v>509</v>
      </c>
      <c r="I3" s="13" t="s">
        <v>528</v>
      </c>
    </row>
    <row r="4" spans="1:12" x14ac:dyDescent="0.2">
      <c r="A4" s="2" t="s">
        <v>529</v>
      </c>
      <c r="B4" s="17">
        <v>3</v>
      </c>
      <c r="C4" s="10">
        <v>17803453.98</v>
      </c>
      <c r="D4" s="17">
        <v>7</v>
      </c>
      <c r="E4" s="10">
        <v>9564746.3100000005</v>
      </c>
      <c r="F4" s="17">
        <v>1</v>
      </c>
      <c r="G4" s="10">
        <v>842554.4</v>
      </c>
      <c r="H4" s="17">
        <v>11</v>
      </c>
      <c r="I4" s="10">
        <f>SUM(C4++E4+G4)</f>
        <v>28210754.689999998</v>
      </c>
      <c r="K4" s="17"/>
      <c r="L4" s="17"/>
    </row>
    <row r="5" spans="1:12" x14ac:dyDescent="0.2">
      <c r="A5" s="2" t="s">
        <v>530</v>
      </c>
      <c r="B5" s="17">
        <v>22</v>
      </c>
      <c r="C5" s="10">
        <v>42193289.200000003</v>
      </c>
      <c r="D5" s="17">
        <v>67</v>
      </c>
      <c r="E5" s="10">
        <v>84579516.840000004</v>
      </c>
      <c r="F5" s="17">
        <v>197</v>
      </c>
      <c r="G5" s="10">
        <v>11630525.75</v>
      </c>
      <c r="H5" s="17">
        <v>286</v>
      </c>
      <c r="I5" s="10">
        <f t="shared" ref="I5:I10" si="0">SUM(C5++E5+G5)</f>
        <v>138403331.79000002</v>
      </c>
      <c r="K5" s="17"/>
      <c r="L5" s="17"/>
    </row>
    <row r="6" spans="1:12" x14ac:dyDescent="0.2">
      <c r="A6" s="2" t="s">
        <v>583</v>
      </c>
      <c r="B6" s="17">
        <v>0</v>
      </c>
      <c r="C6" s="10">
        <v>0</v>
      </c>
      <c r="D6" s="17">
        <v>25</v>
      </c>
      <c r="E6" s="10">
        <v>1561154.18</v>
      </c>
      <c r="F6" s="17">
        <v>0</v>
      </c>
      <c r="G6" s="10">
        <v>0</v>
      </c>
      <c r="H6" s="17">
        <v>25</v>
      </c>
      <c r="I6" s="10">
        <f t="shared" si="0"/>
        <v>1561154.18</v>
      </c>
      <c r="K6" s="17"/>
      <c r="L6" s="17"/>
    </row>
    <row r="7" spans="1:12" x14ac:dyDescent="0.2">
      <c r="A7" s="2" t="s">
        <v>585</v>
      </c>
      <c r="B7" s="17">
        <v>0</v>
      </c>
      <c r="C7" s="10">
        <v>0</v>
      </c>
      <c r="D7" s="17">
        <v>499</v>
      </c>
      <c r="E7" s="10">
        <v>154800000</v>
      </c>
      <c r="F7" s="17">
        <v>0</v>
      </c>
      <c r="G7" s="10">
        <v>0</v>
      </c>
      <c r="H7" s="17">
        <v>499</v>
      </c>
      <c r="I7" s="10">
        <f t="shared" si="0"/>
        <v>154800000</v>
      </c>
      <c r="K7" s="17"/>
      <c r="L7" s="17"/>
    </row>
    <row r="8" spans="1:12" x14ac:dyDescent="0.2">
      <c r="A8" s="2" t="s">
        <v>531</v>
      </c>
      <c r="B8" s="17">
        <v>3</v>
      </c>
      <c r="C8" s="10">
        <v>5096238.22</v>
      </c>
      <c r="D8" s="17">
        <v>11</v>
      </c>
      <c r="E8" s="10">
        <v>11786850.039999999</v>
      </c>
      <c r="F8" s="17">
        <v>7</v>
      </c>
      <c r="G8" s="10">
        <v>2216536.7000000002</v>
      </c>
      <c r="H8" s="17">
        <v>21</v>
      </c>
      <c r="I8" s="10">
        <f t="shared" si="0"/>
        <v>19099624.959999997</v>
      </c>
      <c r="K8" s="17"/>
      <c r="L8" s="17"/>
    </row>
    <row r="9" spans="1:12" x14ac:dyDescent="0.2">
      <c r="A9" s="2" t="s">
        <v>532</v>
      </c>
      <c r="B9" s="17">
        <v>2</v>
      </c>
      <c r="C9" s="10">
        <v>19886439.59</v>
      </c>
      <c r="D9" s="17">
        <v>16</v>
      </c>
      <c r="E9" s="10">
        <v>17208750.890000001</v>
      </c>
      <c r="F9" s="17">
        <v>23</v>
      </c>
      <c r="G9" s="10">
        <v>7983480.9400000004</v>
      </c>
      <c r="H9" s="17">
        <v>41</v>
      </c>
      <c r="I9" s="10">
        <f t="shared" si="0"/>
        <v>45078671.420000002</v>
      </c>
      <c r="K9" s="17"/>
      <c r="L9" s="17"/>
    </row>
    <row r="10" spans="1:12" x14ac:dyDescent="0.2">
      <c r="A10" s="2" t="s">
        <v>584</v>
      </c>
      <c r="B10" s="17">
        <v>0</v>
      </c>
      <c r="C10" s="10">
        <v>0</v>
      </c>
      <c r="D10" s="17">
        <v>0</v>
      </c>
      <c r="E10" s="10">
        <v>0</v>
      </c>
      <c r="F10" s="17">
        <v>5</v>
      </c>
      <c r="G10" s="10">
        <v>4527819.72</v>
      </c>
      <c r="H10" s="17">
        <v>5</v>
      </c>
      <c r="I10" s="10">
        <f t="shared" si="0"/>
        <v>4527819.72</v>
      </c>
      <c r="K10" s="17"/>
      <c r="L10" s="17"/>
    </row>
    <row r="11" spans="1:12" x14ac:dyDescent="0.2">
      <c r="A11" s="137" t="s">
        <v>33</v>
      </c>
      <c r="B11" s="132">
        <f>SUM(B4:B10)</f>
        <v>30</v>
      </c>
      <c r="C11" s="147">
        <f t="shared" ref="C11:I11" si="1">SUM(C4:C10)</f>
        <v>84979420.99000001</v>
      </c>
      <c r="D11" s="132">
        <f t="shared" si="1"/>
        <v>625</v>
      </c>
      <c r="E11" s="147">
        <f t="shared" si="1"/>
        <v>279501018.25999999</v>
      </c>
      <c r="F11" s="132">
        <f t="shared" si="1"/>
        <v>233</v>
      </c>
      <c r="G11" s="147">
        <f t="shared" si="1"/>
        <v>27200917.510000002</v>
      </c>
      <c r="H11" s="132">
        <f t="shared" si="1"/>
        <v>888</v>
      </c>
      <c r="I11" s="147">
        <f t="shared" si="1"/>
        <v>391681356.76000005</v>
      </c>
      <c r="K11" s="17"/>
      <c r="L11" s="17"/>
    </row>
    <row r="13" spans="1:12" x14ac:dyDescent="0.2">
      <c r="A13" s="8" t="s">
        <v>533</v>
      </c>
      <c r="B13" s="17"/>
      <c r="C13" s="17"/>
      <c r="D13" s="17"/>
      <c r="E13" s="17"/>
      <c r="F13" s="17"/>
      <c r="G13" s="17"/>
      <c r="H13" s="17"/>
      <c r="I13" s="17"/>
    </row>
    <row r="14" spans="1:12" x14ac:dyDescent="0.2">
      <c r="A14" s="8" t="s">
        <v>581</v>
      </c>
    </row>
  </sheetData>
  <pageMargins left="0.7" right="0.7" top="0.75" bottom="0.75" header="0.3" footer="0.3"/>
  <pageSetup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92D050"/>
  </sheetPr>
  <dimension ref="A1:J13"/>
  <sheetViews>
    <sheetView showGridLines="0" zoomScale="90" zoomScaleNormal="90" workbookViewId="0">
      <selection activeCell="D15" sqref="D15"/>
    </sheetView>
  </sheetViews>
  <sheetFormatPr baseColWidth="10" defaultColWidth="8.83203125" defaultRowHeight="15" x14ac:dyDescent="0.2"/>
  <cols>
    <col min="1" max="1" width="18.6640625" style="2" bestFit="1" customWidth="1"/>
    <col min="2" max="2" width="25.83203125" style="2" bestFit="1" customWidth="1"/>
    <col min="3" max="3" width="31.6640625" style="2" bestFit="1" customWidth="1"/>
    <col min="4" max="4" width="28.1640625" style="2" bestFit="1" customWidth="1"/>
    <col min="5" max="5" width="32.1640625" style="2" bestFit="1" customWidth="1"/>
    <col min="6" max="6" width="24.6640625" style="2" bestFit="1" customWidth="1"/>
    <col min="7" max="7" width="28.5" style="2" bestFit="1" customWidth="1"/>
    <col min="8" max="8" width="21.1640625" style="2" bestFit="1" customWidth="1"/>
    <col min="9" max="9" width="22.33203125" style="2" bestFit="1" customWidth="1"/>
    <col min="10" max="10" width="7" style="2" bestFit="1" customWidth="1"/>
    <col min="11" max="16384" width="8.83203125" style="2"/>
  </cols>
  <sheetData>
    <row r="1" spans="1:10" ht="16" x14ac:dyDescent="0.2">
      <c r="A1" s="44" t="s">
        <v>586</v>
      </c>
      <c r="B1" s="44"/>
      <c r="C1" s="44"/>
      <c r="D1" s="44"/>
      <c r="E1" s="1"/>
      <c r="F1" s="1"/>
      <c r="G1" s="1"/>
      <c r="H1" s="1"/>
      <c r="I1" s="1"/>
      <c r="J1" s="1"/>
    </row>
    <row r="2" spans="1:10" ht="16" x14ac:dyDescent="0.2">
      <c r="A2" s="1"/>
      <c r="B2" s="1"/>
      <c r="C2" s="1"/>
      <c r="D2" s="1"/>
      <c r="E2" s="1"/>
      <c r="F2" s="1"/>
      <c r="G2" s="1"/>
      <c r="H2" s="1"/>
      <c r="I2" s="1"/>
      <c r="J2" s="1"/>
    </row>
    <row r="3" spans="1:10" x14ac:dyDescent="0.2">
      <c r="A3" s="13" t="s">
        <v>534</v>
      </c>
      <c r="B3" s="13" t="s">
        <v>503</v>
      </c>
      <c r="C3" s="13" t="s">
        <v>504</v>
      </c>
      <c r="D3" s="13" t="s">
        <v>505</v>
      </c>
      <c r="E3" s="13" t="s">
        <v>506</v>
      </c>
      <c r="F3" s="13" t="s">
        <v>507</v>
      </c>
      <c r="G3" s="13" t="s">
        <v>508</v>
      </c>
      <c r="H3" s="13" t="s">
        <v>509</v>
      </c>
      <c r="I3" s="13" t="s">
        <v>528</v>
      </c>
    </row>
    <row r="4" spans="1:10" x14ac:dyDescent="0.2">
      <c r="A4" s="2" t="s">
        <v>458</v>
      </c>
      <c r="B4" s="2">
        <v>0</v>
      </c>
      <c r="C4" s="10">
        <v>0</v>
      </c>
      <c r="D4" s="2">
        <v>27</v>
      </c>
      <c r="E4" s="10">
        <v>10968030.49</v>
      </c>
      <c r="F4" s="2">
        <v>2</v>
      </c>
      <c r="G4" s="10">
        <v>165361.48000000001</v>
      </c>
      <c r="H4" s="2">
        <f>SUM(B4+D4+F4)</f>
        <v>29</v>
      </c>
      <c r="I4" s="10">
        <f>SUM(C4+E4+G4)</f>
        <v>11133391.970000001</v>
      </c>
    </row>
    <row r="5" spans="1:10" x14ac:dyDescent="0.2">
      <c r="A5" s="2" t="s">
        <v>453</v>
      </c>
      <c r="B5" s="2">
        <v>0</v>
      </c>
      <c r="C5" s="10">
        <v>0</v>
      </c>
      <c r="D5" s="2">
        <v>129</v>
      </c>
      <c r="E5" s="10">
        <v>26400000</v>
      </c>
      <c r="F5" s="2">
        <v>0</v>
      </c>
      <c r="G5" s="10">
        <v>0</v>
      </c>
      <c r="H5" s="2">
        <f t="shared" ref="H5:H10" si="0">SUM(B5+D5+F5)</f>
        <v>129</v>
      </c>
      <c r="I5" s="10">
        <f t="shared" ref="I5:I9" si="1">SUM(C5+E5+G5)</f>
        <v>26400000</v>
      </c>
    </row>
    <row r="6" spans="1:10" x14ac:dyDescent="0.2">
      <c r="A6" s="2" t="s">
        <v>454</v>
      </c>
      <c r="B6" s="2">
        <v>8</v>
      </c>
      <c r="C6" s="10">
        <v>7841282.3099999996</v>
      </c>
      <c r="D6" s="2">
        <v>103</v>
      </c>
      <c r="E6" s="10">
        <v>33511168.710000001</v>
      </c>
      <c r="F6" s="2">
        <v>34</v>
      </c>
      <c r="G6" s="10">
        <v>2120786.2400000002</v>
      </c>
      <c r="H6" s="2">
        <f t="shared" si="0"/>
        <v>145</v>
      </c>
      <c r="I6" s="10">
        <f t="shared" si="1"/>
        <v>43473237.260000005</v>
      </c>
    </row>
    <row r="7" spans="1:10" x14ac:dyDescent="0.2">
      <c r="A7" s="2" t="s">
        <v>455</v>
      </c>
      <c r="B7" s="2">
        <v>6</v>
      </c>
      <c r="C7" s="10">
        <v>10373315.060000001</v>
      </c>
      <c r="D7" s="2">
        <v>185</v>
      </c>
      <c r="E7" s="10">
        <v>87638917.870000005</v>
      </c>
      <c r="F7" s="2">
        <v>72</v>
      </c>
      <c r="G7" s="10">
        <v>4784233.59</v>
      </c>
      <c r="H7" s="2">
        <f t="shared" si="0"/>
        <v>263</v>
      </c>
      <c r="I7" s="10">
        <f t="shared" si="1"/>
        <v>102796466.52000001</v>
      </c>
    </row>
    <row r="8" spans="1:10" x14ac:dyDescent="0.2">
      <c r="A8" s="2" t="s">
        <v>456</v>
      </c>
      <c r="B8" s="2">
        <v>8</v>
      </c>
      <c r="C8" s="10">
        <v>23978691.829999998</v>
      </c>
      <c r="D8" s="2">
        <v>112</v>
      </c>
      <c r="E8" s="10">
        <v>60412646.759999998</v>
      </c>
      <c r="F8" s="2">
        <v>89</v>
      </c>
      <c r="G8" s="10">
        <v>4560144.4400000004</v>
      </c>
      <c r="H8" s="2">
        <f t="shared" si="0"/>
        <v>209</v>
      </c>
      <c r="I8" s="10">
        <f t="shared" si="1"/>
        <v>88951483.030000001</v>
      </c>
    </row>
    <row r="9" spans="1:10" x14ac:dyDescent="0.2">
      <c r="A9" s="2" t="s">
        <v>535</v>
      </c>
      <c r="B9" s="2">
        <v>6</v>
      </c>
      <c r="C9" s="10">
        <v>22899692.199999999</v>
      </c>
      <c r="D9" s="2">
        <v>52</v>
      </c>
      <c r="E9" s="10">
        <v>42786850.039999999</v>
      </c>
      <c r="F9" s="2">
        <v>8</v>
      </c>
      <c r="G9" s="10">
        <v>3059091.1</v>
      </c>
      <c r="H9" s="2">
        <f t="shared" si="0"/>
        <v>66</v>
      </c>
      <c r="I9" s="10">
        <f t="shared" si="1"/>
        <v>68745633.339999989</v>
      </c>
    </row>
    <row r="10" spans="1:10" x14ac:dyDescent="0.2">
      <c r="A10" s="2" t="s">
        <v>536</v>
      </c>
      <c r="B10" s="2">
        <v>2</v>
      </c>
      <c r="C10" s="10">
        <v>19886439.59</v>
      </c>
      <c r="D10" s="2">
        <v>17</v>
      </c>
      <c r="E10" s="10">
        <v>17783404.390000001</v>
      </c>
      <c r="F10" s="2">
        <v>28</v>
      </c>
      <c r="G10" s="10">
        <v>12511300.66</v>
      </c>
      <c r="H10" s="2">
        <f t="shared" si="0"/>
        <v>47</v>
      </c>
      <c r="I10" s="10">
        <f>SUM(C10+E10+G10)</f>
        <v>50181144.640000001</v>
      </c>
    </row>
    <row r="11" spans="1:10" x14ac:dyDescent="0.2">
      <c r="A11" s="136" t="s">
        <v>33</v>
      </c>
      <c r="B11" s="67">
        <f>SUM(B4:B10)</f>
        <v>30</v>
      </c>
      <c r="C11" s="146">
        <f t="shared" ref="C11:I11" si="2">SUM(C4:C10)</f>
        <v>84979420.99000001</v>
      </c>
      <c r="D11" s="67">
        <f t="shared" si="2"/>
        <v>625</v>
      </c>
      <c r="E11" s="146">
        <f t="shared" si="2"/>
        <v>279501018.25999999</v>
      </c>
      <c r="F11" s="67">
        <f t="shared" si="2"/>
        <v>233</v>
      </c>
      <c r="G11" s="146">
        <f t="shared" si="2"/>
        <v>27200917.509999998</v>
      </c>
      <c r="H11" s="67">
        <f t="shared" si="2"/>
        <v>888</v>
      </c>
      <c r="I11" s="146">
        <f t="shared" si="2"/>
        <v>391681356.75999993</v>
      </c>
    </row>
    <row r="12" spans="1:10" x14ac:dyDescent="0.2">
      <c r="C12" s="17"/>
      <c r="E12" s="17"/>
      <c r="G12" s="17"/>
      <c r="I12" s="17"/>
    </row>
    <row r="13" spans="1:10" x14ac:dyDescent="0.2">
      <c r="A13" s="8" t="s">
        <v>587</v>
      </c>
      <c r="B13" s="8"/>
      <c r="C13" s="8"/>
      <c r="D13" s="8"/>
      <c r="E13" s="8"/>
      <c r="F13" s="8"/>
      <c r="G13" s="8"/>
      <c r="H13" s="8"/>
      <c r="I13" s="8"/>
      <c r="J13" s="8"/>
    </row>
  </sheetData>
  <pageMargins left="0.7" right="0.7" top="0.75" bottom="0.75" header="0.3" footer="0.3"/>
  <pageSetup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92D050"/>
  </sheetPr>
  <dimension ref="A1:L20"/>
  <sheetViews>
    <sheetView showGridLines="0" zoomScale="72" zoomScaleNormal="90" workbookViewId="0"/>
  </sheetViews>
  <sheetFormatPr baseColWidth="10" defaultColWidth="8.83203125" defaultRowHeight="15" x14ac:dyDescent="0.2"/>
  <cols>
    <col min="1" max="1" width="14" style="2" bestFit="1" customWidth="1"/>
    <col min="2" max="2" width="25.83203125" style="2" bestFit="1" customWidth="1"/>
    <col min="3" max="3" width="31.6640625" style="2" bestFit="1" customWidth="1"/>
    <col min="4" max="4" width="28.1640625" style="2" bestFit="1" customWidth="1"/>
    <col min="5" max="5" width="32.1640625" style="2" bestFit="1" customWidth="1"/>
    <col min="6" max="6" width="24.6640625" style="2" bestFit="1" customWidth="1"/>
    <col min="7" max="7" width="28.5" style="2" bestFit="1" customWidth="1"/>
    <col min="8" max="8" width="21.1640625" style="2" bestFit="1" customWidth="1"/>
    <col min="9" max="9" width="22.33203125" style="2" bestFit="1" customWidth="1"/>
    <col min="10" max="10" width="7" style="2" bestFit="1" customWidth="1"/>
    <col min="11" max="11" width="8.83203125" style="2" bestFit="1" customWidth="1"/>
    <col min="12" max="12" width="10.83203125" style="2" bestFit="1" customWidth="1"/>
    <col min="13" max="16384" width="8.83203125" style="2"/>
  </cols>
  <sheetData>
    <row r="1" spans="1:12" ht="16" x14ac:dyDescent="0.2">
      <c r="A1" s="44" t="s">
        <v>588</v>
      </c>
      <c r="B1" s="44"/>
      <c r="C1" s="44"/>
      <c r="D1" s="44"/>
      <c r="E1" s="44"/>
      <c r="F1" s="1"/>
      <c r="G1" s="1"/>
      <c r="H1" s="1"/>
      <c r="I1" s="1"/>
      <c r="J1" s="1"/>
    </row>
    <row r="2" spans="1:12" ht="16" x14ac:dyDescent="0.2">
      <c r="A2" s="1"/>
      <c r="B2" s="1"/>
      <c r="C2" s="1"/>
      <c r="D2" s="1"/>
      <c r="E2" s="1"/>
      <c r="F2" s="1"/>
      <c r="G2" s="1"/>
      <c r="H2" s="1"/>
      <c r="I2" s="1"/>
      <c r="J2" s="1"/>
    </row>
    <row r="4" spans="1:12" x14ac:dyDescent="0.2">
      <c r="A4" s="13" t="s">
        <v>64</v>
      </c>
      <c r="B4" s="13" t="s">
        <v>503</v>
      </c>
      <c r="C4" s="13" t="s">
        <v>504</v>
      </c>
      <c r="D4" s="13" t="s">
        <v>505</v>
      </c>
      <c r="E4" s="13" t="s">
        <v>506</v>
      </c>
      <c r="F4" s="13" t="s">
        <v>507</v>
      </c>
      <c r="G4" s="13" t="s">
        <v>508</v>
      </c>
      <c r="H4" s="13" t="s">
        <v>509</v>
      </c>
      <c r="I4" s="13" t="s">
        <v>528</v>
      </c>
    </row>
    <row r="5" spans="1:12" ht="16" x14ac:dyDescent="0.2">
      <c r="A5" s="103" t="s">
        <v>71</v>
      </c>
      <c r="B5" s="2">
        <v>2</v>
      </c>
      <c r="C5" s="10">
        <v>1784992.32</v>
      </c>
      <c r="D5" s="2">
        <v>73</v>
      </c>
      <c r="E5" s="10">
        <v>17862280.829999998</v>
      </c>
      <c r="F5" s="2">
        <v>10</v>
      </c>
      <c r="G5" s="10">
        <v>2655575.3199999998</v>
      </c>
      <c r="H5" s="2">
        <v>85</v>
      </c>
      <c r="I5" s="10">
        <v>22302848.469999999</v>
      </c>
      <c r="K5" s="17"/>
      <c r="L5" s="17"/>
    </row>
    <row r="6" spans="1:12" ht="16" x14ac:dyDescent="0.2">
      <c r="A6" s="103" t="s">
        <v>72</v>
      </c>
      <c r="B6" s="2">
        <v>1</v>
      </c>
      <c r="C6" s="10">
        <v>857252.03</v>
      </c>
      <c r="D6" s="2">
        <v>47</v>
      </c>
      <c r="E6" s="10">
        <v>24335854.210000001</v>
      </c>
      <c r="F6" s="2">
        <v>7</v>
      </c>
      <c r="G6" s="10">
        <v>418885.28</v>
      </c>
      <c r="H6" s="2">
        <v>55</v>
      </c>
      <c r="I6" s="10">
        <v>25611991.52</v>
      </c>
      <c r="K6" s="17"/>
      <c r="L6" s="17"/>
    </row>
    <row r="7" spans="1:12" ht="16" x14ac:dyDescent="0.2">
      <c r="A7" s="103" t="s">
        <v>73</v>
      </c>
      <c r="B7" s="2">
        <v>11</v>
      </c>
      <c r="C7" s="10">
        <v>45969494.640000001</v>
      </c>
      <c r="D7" s="2">
        <v>116</v>
      </c>
      <c r="E7" s="10">
        <v>68928674.989999995</v>
      </c>
      <c r="F7" s="2">
        <v>71</v>
      </c>
      <c r="G7" s="10">
        <v>12736720.109999999</v>
      </c>
      <c r="H7" s="2">
        <v>198</v>
      </c>
      <c r="I7" s="10">
        <v>127634889.73999999</v>
      </c>
      <c r="K7" s="17"/>
      <c r="L7" s="17"/>
    </row>
    <row r="8" spans="1:12" ht="16" x14ac:dyDescent="0.2">
      <c r="A8" s="103" t="s">
        <v>74</v>
      </c>
      <c r="B8" s="2">
        <v>4</v>
      </c>
      <c r="C8" s="10">
        <v>3876810.15</v>
      </c>
      <c r="D8" s="2">
        <v>57</v>
      </c>
      <c r="E8" s="10">
        <v>20645396.25</v>
      </c>
      <c r="F8" s="2">
        <v>40</v>
      </c>
      <c r="G8" s="10">
        <v>2152447.2799999998</v>
      </c>
      <c r="H8" s="2">
        <v>101</v>
      </c>
      <c r="I8" s="10">
        <v>26674653.68</v>
      </c>
      <c r="K8" s="17"/>
      <c r="L8" s="17"/>
    </row>
    <row r="9" spans="1:12" ht="16" x14ac:dyDescent="0.2">
      <c r="A9" s="103" t="s">
        <v>75</v>
      </c>
      <c r="B9" s="2">
        <v>2</v>
      </c>
      <c r="C9" s="10">
        <v>10633039.810000001</v>
      </c>
      <c r="D9" s="2">
        <v>73</v>
      </c>
      <c r="E9" s="10">
        <v>51828168.939999998</v>
      </c>
      <c r="F9" s="2">
        <v>31</v>
      </c>
      <c r="G9" s="10">
        <v>3083482.71</v>
      </c>
      <c r="H9" s="2">
        <v>106</v>
      </c>
      <c r="I9" s="10">
        <v>65544691.460000001</v>
      </c>
      <c r="K9" s="17"/>
      <c r="L9" s="17"/>
    </row>
    <row r="10" spans="1:12" ht="16" x14ac:dyDescent="0.2">
      <c r="A10" s="103" t="s">
        <v>76</v>
      </c>
      <c r="B10" s="2">
        <v>6</v>
      </c>
      <c r="C10" s="10">
        <v>8809624.9700000007</v>
      </c>
      <c r="D10" s="2">
        <v>75</v>
      </c>
      <c r="E10" s="10">
        <v>30258082.079999998</v>
      </c>
      <c r="F10" s="2">
        <v>24</v>
      </c>
      <c r="G10" s="10">
        <v>2049639.19</v>
      </c>
      <c r="H10" s="2">
        <v>105</v>
      </c>
      <c r="I10" s="10">
        <v>41117346.240000002</v>
      </c>
      <c r="K10" s="17"/>
      <c r="L10" s="17"/>
    </row>
    <row r="11" spans="1:12" ht="16" x14ac:dyDescent="0.2">
      <c r="A11" s="79" t="s">
        <v>77</v>
      </c>
      <c r="B11" s="2">
        <v>0</v>
      </c>
      <c r="C11" s="10">
        <v>0</v>
      </c>
      <c r="D11" s="2">
        <v>12</v>
      </c>
      <c r="E11" s="10">
        <v>5014999.96</v>
      </c>
      <c r="F11" s="2">
        <v>5</v>
      </c>
      <c r="G11" s="10">
        <v>804900.8</v>
      </c>
      <c r="H11" s="2">
        <v>17</v>
      </c>
      <c r="I11" s="10">
        <v>5819900.7599999998</v>
      </c>
      <c r="K11" s="17"/>
      <c r="L11" s="17"/>
    </row>
    <row r="12" spans="1:12" ht="16" x14ac:dyDescent="0.2">
      <c r="A12" s="103" t="s">
        <v>78</v>
      </c>
      <c r="B12" s="2">
        <v>2</v>
      </c>
      <c r="C12" s="10">
        <v>611102.24</v>
      </c>
      <c r="D12" s="2">
        <v>60</v>
      </c>
      <c r="E12" s="10">
        <v>21664128.280000001</v>
      </c>
      <c r="F12" s="2">
        <v>22</v>
      </c>
      <c r="G12" s="10">
        <v>1812180.4</v>
      </c>
      <c r="H12" s="2">
        <v>84</v>
      </c>
      <c r="I12" s="10">
        <v>24087410.920000002</v>
      </c>
      <c r="K12" s="17"/>
      <c r="L12" s="17"/>
    </row>
    <row r="13" spans="1:12" ht="16" x14ac:dyDescent="0.2">
      <c r="A13" s="103" t="s">
        <v>79</v>
      </c>
      <c r="B13" s="2">
        <v>0</v>
      </c>
      <c r="C13" s="10">
        <v>0</v>
      </c>
      <c r="D13" s="2">
        <v>29</v>
      </c>
      <c r="E13" s="10">
        <v>11331632.460000001</v>
      </c>
      <c r="F13" s="2">
        <v>11</v>
      </c>
      <c r="G13" s="10">
        <v>686730.44</v>
      </c>
      <c r="H13" s="2">
        <v>40</v>
      </c>
      <c r="I13" s="10">
        <v>12018362.9</v>
      </c>
      <c r="K13" s="17"/>
      <c r="L13" s="17"/>
    </row>
    <row r="14" spans="1:12" ht="16" x14ac:dyDescent="0.2">
      <c r="A14" s="103" t="s">
        <v>80</v>
      </c>
      <c r="B14" s="2">
        <v>1</v>
      </c>
      <c r="C14" s="10">
        <v>4981993.5999999996</v>
      </c>
      <c r="D14" s="2">
        <v>57</v>
      </c>
      <c r="E14" s="10">
        <v>17584893.52</v>
      </c>
      <c r="F14" s="2">
        <v>8</v>
      </c>
      <c r="G14" s="10">
        <v>608037.26</v>
      </c>
      <c r="H14" s="2">
        <v>66</v>
      </c>
      <c r="I14" s="10">
        <v>23174924.379999999</v>
      </c>
      <c r="K14" s="17"/>
      <c r="L14" s="17"/>
    </row>
    <row r="15" spans="1:12" ht="16" x14ac:dyDescent="0.2">
      <c r="A15" s="103" t="s">
        <v>81</v>
      </c>
      <c r="B15" s="2">
        <v>1</v>
      </c>
      <c r="C15" s="10">
        <v>7455111.2300000004</v>
      </c>
      <c r="D15" s="2">
        <v>13</v>
      </c>
      <c r="E15" s="10">
        <v>4358782.57</v>
      </c>
      <c r="F15" s="2">
        <v>4</v>
      </c>
      <c r="G15" s="10">
        <v>192318.72</v>
      </c>
      <c r="H15" s="2">
        <v>18</v>
      </c>
      <c r="I15" s="10">
        <v>12006212.52</v>
      </c>
      <c r="K15" s="17"/>
      <c r="L15" s="17"/>
    </row>
    <row r="16" spans="1:12" ht="16" x14ac:dyDescent="0.2">
      <c r="A16" s="103" t="s">
        <v>82</v>
      </c>
      <c r="B16" s="2">
        <v>0</v>
      </c>
      <c r="C16" s="10">
        <v>0</v>
      </c>
      <c r="D16" s="2">
        <v>8</v>
      </c>
      <c r="E16" s="10">
        <v>3888124.17</v>
      </c>
      <c r="F16" s="2">
        <v>0</v>
      </c>
      <c r="G16" s="10">
        <v>0</v>
      </c>
      <c r="H16" s="2">
        <v>8</v>
      </c>
      <c r="I16" s="10">
        <v>3888124.17</v>
      </c>
      <c r="K16" s="17"/>
      <c r="L16" s="17"/>
    </row>
    <row r="17" spans="1:12" ht="16" x14ac:dyDescent="0.2">
      <c r="A17" s="103" t="s">
        <v>83</v>
      </c>
      <c r="B17" s="2">
        <v>0</v>
      </c>
      <c r="C17" s="10">
        <v>0</v>
      </c>
      <c r="D17" s="2">
        <v>5</v>
      </c>
      <c r="E17" s="10">
        <v>1800000</v>
      </c>
      <c r="F17" s="2">
        <v>0</v>
      </c>
      <c r="G17" s="10">
        <v>0</v>
      </c>
      <c r="H17" s="2">
        <v>5</v>
      </c>
      <c r="I17" s="10">
        <v>1800000</v>
      </c>
      <c r="K17" s="17"/>
      <c r="L17" s="17"/>
    </row>
    <row r="18" spans="1:12" ht="16" x14ac:dyDescent="0.2">
      <c r="A18" s="104" t="s">
        <v>500</v>
      </c>
      <c r="B18" s="67">
        <f>SUM(B5:B17)</f>
        <v>30</v>
      </c>
      <c r="C18" s="146">
        <f t="shared" ref="C18:I18" si="0">SUM(C5:C17)</f>
        <v>84979420.989999995</v>
      </c>
      <c r="D18" s="67">
        <f t="shared" si="0"/>
        <v>625</v>
      </c>
      <c r="E18" s="146">
        <f t="shared" si="0"/>
        <v>279501018.26000005</v>
      </c>
      <c r="F18" s="67">
        <f t="shared" si="0"/>
        <v>233</v>
      </c>
      <c r="G18" s="146">
        <f t="shared" si="0"/>
        <v>27200917.510000002</v>
      </c>
      <c r="H18" s="67">
        <f t="shared" si="0"/>
        <v>888</v>
      </c>
      <c r="I18" s="146">
        <f t="shared" si="0"/>
        <v>391681356.75999999</v>
      </c>
      <c r="K18" s="17"/>
      <c r="L18" s="17"/>
    </row>
    <row r="20" spans="1:12" x14ac:dyDescent="0.2">
      <c r="A20" s="8" t="s">
        <v>587</v>
      </c>
      <c r="B20" s="8"/>
      <c r="C20" s="8"/>
      <c r="D20" s="8"/>
      <c r="E20" s="8"/>
      <c r="F20" s="8"/>
      <c r="G20" s="8"/>
      <c r="H20" s="8"/>
      <c r="I20" s="8"/>
      <c r="J20" s="8"/>
    </row>
  </sheetData>
  <pageMargins left="0.7" right="0.7" top="0.75" bottom="0.75" header="0.3" footer="0.3"/>
  <pageSetup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92D050"/>
  </sheetPr>
  <dimension ref="A1:E28"/>
  <sheetViews>
    <sheetView showGridLines="0" zoomScale="69" zoomScaleNormal="90" workbookViewId="0">
      <selection activeCell="M17" sqref="M17"/>
    </sheetView>
  </sheetViews>
  <sheetFormatPr baseColWidth="10" defaultColWidth="8.83203125" defaultRowHeight="15" x14ac:dyDescent="0.2"/>
  <cols>
    <col min="1" max="1" width="13.83203125" style="2" customWidth="1"/>
    <col min="2" max="2" width="30.1640625" style="2" customWidth="1"/>
    <col min="3" max="3" width="74.33203125" style="2" bestFit="1" customWidth="1"/>
    <col min="4" max="4" width="100.83203125" style="2" bestFit="1" customWidth="1"/>
    <col min="5" max="5" width="21.1640625" style="2" bestFit="1" customWidth="1"/>
    <col min="6" max="16384" width="8.83203125" style="2"/>
  </cols>
  <sheetData>
    <row r="1" spans="1:5" ht="16" x14ac:dyDescent="0.2">
      <c r="A1" s="44" t="s">
        <v>589</v>
      </c>
      <c r="B1" s="44"/>
      <c r="C1" s="44"/>
      <c r="D1" s="44"/>
      <c r="E1" s="1"/>
    </row>
    <row r="2" spans="1:5" ht="16" x14ac:dyDescent="0.2">
      <c r="A2" s="1"/>
      <c r="B2" s="1"/>
      <c r="C2" s="1"/>
      <c r="D2" s="1"/>
      <c r="E2" s="1"/>
    </row>
    <row r="3" spans="1:5" x14ac:dyDescent="0.2">
      <c r="A3" s="13" t="s">
        <v>64</v>
      </c>
      <c r="B3" s="13" t="s">
        <v>537</v>
      </c>
      <c r="C3" s="13" t="s">
        <v>538</v>
      </c>
      <c r="D3" s="13" t="s">
        <v>539</v>
      </c>
      <c r="E3" s="13" t="s">
        <v>70</v>
      </c>
    </row>
    <row r="4" spans="1:5" x14ac:dyDescent="0.2">
      <c r="A4" s="2" t="s">
        <v>540</v>
      </c>
      <c r="B4" s="2" t="s">
        <v>597</v>
      </c>
      <c r="C4" s="2" t="s">
        <v>598</v>
      </c>
      <c r="D4" s="2" t="s">
        <v>599</v>
      </c>
      <c r="E4" s="10">
        <v>300000</v>
      </c>
    </row>
    <row r="5" spans="1:5" x14ac:dyDescent="0.2">
      <c r="A5" s="2" t="s">
        <v>540</v>
      </c>
      <c r="B5" s="2" t="s">
        <v>541</v>
      </c>
      <c r="C5" s="2" t="s">
        <v>600</v>
      </c>
      <c r="D5" s="2" t="s">
        <v>601</v>
      </c>
      <c r="E5" s="10">
        <v>48200</v>
      </c>
    </row>
    <row r="6" spans="1:5" x14ac:dyDescent="0.2">
      <c r="A6" s="2" t="s">
        <v>540</v>
      </c>
      <c r="B6" s="2" t="s">
        <v>541</v>
      </c>
      <c r="C6" s="2" t="s">
        <v>607</v>
      </c>
      <c r="D6" s="2" t="s">
        <v>608</v>
      </c>
      <c r="E6" s="10">
        <v>9788409.6699999999</v>
      </c>
    </row>
    <row r="7" spans="1:5" x14ac:dyDescent="0.2">
      <c r="A7" s="2" t="s">
        <v>540</v>
      </c>
      <c r="B7" s="2" t="s">
        <v>541</v>
      </c>
      <c r="C7" s="2" t="s">
        <v>607</v>
      </c>
      <c r="D7" s="2" t="s">
        <v>609</v>
      </c>
      <c r="E7" s="10">
        <v>1450424.05</v>
      </c>
    </row>
    <row r="8" spans="1:5" x14ac:dyDescent="0.2">
      <c r="A8" s="2" t="s">
        <v>540</v>
      </c>
      <c r="B8" s="2" t="s">
        <v>597</v>
      </c>
      <c r="C8" s="2" t="s">
        <v>607</v>
      </c>
      <c r="D8" s="2" t="s">
        <v>610</v>
      </c>
      <c r="E8" s="10">
        <v>1716081.24</v>
      </c>
    </row>
    <row r="9" spans="1:5" x14ac:dyDescent="0.2">
      <c r="A9" s="2" t="s">
        <v>540</v>
      </c>
      <c r="B9" s="2" t="s">
        <v>541</v>
      </c>
      <c r="C9" s="2" t="s">
        <v>611</v>
      </c>
      <c r="D9" s="2" t="s">
        <v>612</v>
      </c>
      <c r="E9" s="10">
        <v>901178.22</v>
      </c>
    </row>
    <row r="10" spans="1:5" x14ac:dyDescent="0.2">
      <c r="A10" s="2" t="s">
        <v>540</v>
      </c>
      <c r="B10" s="2" t="s">
        <v>597</v>
      </c>
      <c r="C10" s="2" t="s">
        <v>607</v>
      </c>
      <c r="D10" s="2" t="s">
        <v>613</v>
      </c>
      <c r="E10" s="10">
        <v>2418442.2400000002</v>
      </c>
    </row>
    <row r="11" spans="1:5" x14ac:dyDescent="0.2">
      <c r="A11" s="2" t="s">
        <v>540</v>
      </c>
      <c r="B11" s="2" t="s">
        <v>597</v>
      </c>
      <c r="C11" s="2" t="s">
        <v>607</v>
      </c>
      <c r="D11" s="2" t="s">
        <v>614</v>
      </c>
      <c r="E11" s="10">
        <v>696314.81</v>
      </c>
    </row>
    <row r="12" spans="1:5" x14ac:dyDescent="0.2">
      <c r="A12" s="2" t="s">
        <v>540</v>
      </c>
      <c r="B12" s="2" t="s">
        <v>597</v>
      </c>
      <c r="C12" s="2" t="s">
        <v>607</v>
      </c>
      <c r="D12" s="2" t="s">
        <v>615</v>
      </c>
      <c r="E12" s="10">
        <v>3179691.51</v>
      </c>
    </row>
    <row r="13" spans="1:5" x14ac:dyDescent="0.2">
      <c r="A13" s="2" t="s">
        <v>540</v>
      </c>
      <c r="B13" s="2" t="s">
        <v>597</v>
      </c>
      <c r="C13" s="2" t="s">
        <v>607</v>
      </c>
      <c r="D13" s="2" t="s">
        <v>616</v>
      </c>
      <c r="E13" s="10">
        <v>606121.18999999994</v>
      </c>
    </row>
    <row r="14" spans="1:5" x14ac:dyDescent="0.2">
      <c r="A14" s="2" t="s">
        <v>540</v>
      </c>
      <c r="B14" s="2" t="s">
        <v>597</v>
      </c>
      <c r="C14" s="2" t="s">
        <v>607</v>
      </c>
      <c r="D14" s="2" t="s">
        <v>617</v>
      </c>
      <c r="E14" s="10">
        <v>538339.09</v>
      </c>
    </row>
    <row r="15" spans="1:5" x14ac:dyDescent="0.2">
      <c r="A15" s="2" t="s">
        <v>540</v>
      </c>
      <c r="B15" s="2" t="s">
        <v>597</v>
      </c>
      <c r="C15" s="2" t="s">
        <v>607</v>
      </c>
      <c r="D15" s="2" t="s">
        <v>618</v>
      </c>
      <c r="E15" s="10">
        <v>1441990.98</v>
      </c>
    </row>
    <row r="16" spans="1:5" x14ac:dyDescent="0.2">
      <c r="A16" s="2" t="s">
        <v>540</v>
      </c>
      <c r="B16" s="2" t="s">
        <v>597</v>
      </c>
      <c r="C16" s="2" t="s">
        <v>607</v>
      </c>
      <c r="D16" s="2" t="s">
        <v>619</v>
      </c>
      <c r="E16" s="10">
        <v>1950200.57</v>
      </c>
    </row>
    <row r="17" spans="1:5" x14ac:dyDescent="0.2">
      <c r="A17" s="2" t="s">
        <v>540</v>
      </c>
      <c r="B17" s="2" t="s">
        <v>597</v>
      </c>
      <c r="C17" s="2" t="s">
        <v>607</v>
      </c>
      <c r="D17" s="2" t="s">
        <v>620</v>
      </c>
      <c r="E17" s="10">
        <v>758243.28</v>
      </c>
    </row>
    <row r="18" spans="1:5" x14ac:dyDescent="0.2">
      <c r="A18" s="2" t="s">
        <v>540</v>
      </c>
      <c r="B18" s="2" t="s">
        <v>597</v>
      </c>
      <c r="C18" s="2" t="s">
        <v>607</v>
      </c>
      <c r="D18" s="2" t="s">
        <v>621</v>
      </c>
      <c r="E18" s="10">
        <v>2362914.14</v>
      </c>
    </row>
    <row r="19" spans="1:5" x14ac:dyDescent="0.2">
      <c r="A19" s="2" t="s">
        <v>591</v>
      </c>
      <c r="B19" s="2" t="s">
        <v>592</v>
      </c>
      <c r="C19" s="2" t="s">
        <v>593</v>
      </c>
      <c r="D19" s="2" t="s">
        <v>594</v>
      </c>
      <c r="E19" s="10">
        <v>2053132.75</v>
      </c>
    </row>
    <row r="20" spans="1:5" x14ac:dyDescent="0.2">
      <c r="A20" s="2" t="s">
        <v>591</v>
      </c>
      <c r="B20" s="2" t="s">
        <v>595</v>
      </c>
      <c r="C20" s="2" t="s">
        <v>593</v>
      </c>
      <c r="D20" s="2" t="s">
        <v>596</v>
      </c>
      <c r="E20" s="10">
        <v>1725079.62</v>
      </c>
    </row>
    <row r="21" spans="1:5" x14ac:dyDescent="0.2">
      <c r="A21" s="2" t="s">
        <v>591</v>
      </c>
      <c r="B21" s="2" t="s">
        <v>602</v>
      </c>
      <c r="C21" s="2" t="s">
        <v>600</v>
      </c>
      <c r="D21" s="2" t="s">
        <v>603</v>
      </c>
      <c r="E21" s="10">
        <v>112700</v>
      </c>
    </row>
    <row r="22" spans="1:5" x14ac:dyDescent="0.2">
      <c r="A22" s="2" t="s">
        <v>591</v>
      </c>
      <c r="B22" s="2" t="s">
        <v>602</v>
      </c>
      <c r="C22" s="2" t="s">
        <v>600</v>
      </c>
      <c r="D22" s="2" t="s">
        <v>605</v>
      </c>
      <c r="E22" s="10">
        <v>199960.8</v>
      </c>
    </row>
    <row r="23" spans="1:5" x14ac:dyDescent="0.2">
      <c r="A23" s="2" t="s">
        <v>591</v>
      </c>
      <c r="B23" s="2" t="s">
        <v>602</v>
      </c>
      <c r="C23" s="2" t="s">
        <v>600</v>
      </c>
      <c r="D23" s="2" t="s">
        <v>606</v>
      </c>
      <c r="E23" s="10">
        <v>348406</v>
      </c>
    </row>
    <row r="24" spans="1:5" x14ac:dyDescent="0.2">
      <c r="A24" s="2" t="s">
        <v>622</v>
      </c>
      <c r="B24" s="2" t="s">
        <v>77</v>
      </c>
      <c r="C24" s="2" t="s">
        <v>600</v>
      </c>
      <c r="D24" s="2" t="s">
        <v>604</v>
      </c>
      <c r="E24" s="10">
        <v>74500</v>
      </c>
    </row>
    <row r="25" spans="1:5" x14ac:dyDescent="0.2">
      <c r="A25" s="138" t="s">
        <v>33</v>
      </c>
      <c r="B25" s="138"/>
      <c r="C25" s="138"/>
      <c r="D25" s="138"/>
      <c r="E25" s="152">
        <f>SUM(E4:E24)</f>
        <v>32670330.160000008</v>
      </c>
    </row>
    <row r="26" spans="1:5" x14ac:dyDescent="0.2">
      <c r="E26" s="17"/>
    </row>
    <row r="27" spans="1:5" x14ac:dyDescent="0.2">
      <c r="A27" s="258" t="s">
        <v>590</v>
      </c>
      <c r="B27" s="258"/>
      <c r="C27" s="258"/>
      <c r="D27" s="258"/>
      <c r="E27" s="258"/>
    </row>
    <row r="28" spans="1:5" x14ac:dyDescent="0.2">
      <c r="A28" s="258"/>
      <c r="B28" s="258"/>
      <c r="C28" s="258"/>
      <c r="D28" s="258"/>
      <c r="E28" s="258"/>
    </row>
  </sheetData>
  <mergeCells count="2">
    <mergeCell ref="A27:E27"/>
    <mergeCell ref="A28:E28"/>
  </mergeCells>
  <pageMargins left="0.7" right="0.7" top="0.75" bottom="0.75" header="0.3" footer="0.3"/>
  <pageSetup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92D050"/>
  </sheetPr>
  <dimension ref="A1:O25"/>
  <sheetViews>
    <sheetView showGridLines="0" zoomScale="82" zoomScaleNormal="110" workbookViewId="0">
      <selection activeCell="A5" sqref="A5:A17"/>
    </sheetView>
  </sheetViews>
  <sheetFormatPr baseColWidth="10" defaultColWidth="8.83203125" defaultRowHeight="15" x14ac:dyDescent="0.2"/>
  <cols>
    <col min="1" max="1" width="14" style="2" bestFit="1" customWidth="1"/>
    <col min="2" max="2" width="17.83203125" style="2" bestFit="1" customWidth="1"/>
    <col min="3" max="3" width="16.83203125" style="2" bestFit="1" customWidth="1"/>
    <col min="4" max="4" width="4.83203125" style="2" customWidth="1"/>
    <col min="5" max="5" width="17.83203125" style="2" bestFit="1" customWidth="1"/>
    <col min="6" max="6" width="16.83203125" style="2" bestFit="1" customWidth="1"/>
    <col min="7" max="7" width="5.33203125" style="2" customWidth="1"/>
    <col min="8" max="8" width="17.83203125" style="2" bestFit="1" customWidth="1"/>
    <col min="9" max="9" width="16.83203125" style="2" bestFit="1" customWidth="1"/>
    <col min="10" max="10" width="3.83203125" style="2" customWidth="1"/>
    <col min="11" max="11" width="17.83203125" style="2" bestFit="1" customWidth="1"/>
    <col min="12" max="12" width="16.83203125" style="2" bestFit="1" customWidth="1"/>
    <col min="13" max="13" width="3.1640625" style="2" customWidth="1"/>
    <col min="14" max="14" width="18" style="2" bestFit="1" customWidth="1"/>
    <col min="15" max="15" width="17" style="2" bestFit="1" customWidth="1"/>
    <col min="16" max="16384" width="8.83203125" style="2"/>
  </cols>
  <sheetData>
    <row r="1" spans="1:15" ht="16" x14ac:dyDescent="0.2">
      <c r="A1" s="1" t="s">
        <v>89</v>
      </c>
      <c r="B1" s="1"/>
      <c r="C1" s="1"/>
      <c r="D1" s="1"/>
      <c r="E1" s="1"/>
      <c r="F1" s="1"/>
      <c r="G1" s="1"/>
      <c r="H1" s="1"/>
      <c r="I1" s="1"/>
      <c r="J1" s="1"/>
      <c r="K1" s="1"/>
      <c r="L1" s="1"/>
    </row>
    <row r="2" spans="1:15" ht="16" x14ac:dyDescent="0.2">
      <c r="A2" s="1"/>
      <c r="B2" s="1"/>
      <c r="C2" s="1"/>
      <c r="D2" s="1"/>
      <c r="E2" s="1"/>
      <c r="F2" s="1"/>
      <c r="G2" s="1"/>
      <c r="H2" s="1"/>
      <c r="I2" s="1"/>
      <c r="J2" s="1"/>
      <c r="K2" s="1"/>
      <c r="L2" s="1"/>
    </row>
    <row r="3" spans="1:15" ht="16" x14ac:dyDescent="0.2">
      <c r="A3" s="254" t="s">
        <v>64</v>
      </c>
      <c r="B3" s="256" t="s">
        <v>65</v>
      </c>
      <c r="C3" s="256"/>
      <c r="D3" s="22"/>
      <c r="E3" s="256" t="s">
        <v>66</v>
      </c>
      <c r="F3" s="256"/>
      <c r="G3" s="30"/>
      <c r="H3" s="256" t="s">
        <v>67</v>
      </c>
      <c r="I3" s="256"/>
      <c r="J3" s="22"/>
      <c r="K3" s="256" t="s">
        <v>68</v>
      </c>
      <c r="L3" s="256"/>
      <c r="M3" s="22"/>
      <c r="N3" s="256" t="s">
        <v>33</v>
      </c>
      <c r="O3" s="256"/>
    </row>
    <row r="4" spans="1:15" x14ac:dyDescent="0.2">
      <c r="A4" s="255"/>
      <c r="B4" s="3" t="s">
        <v>69</v>
      </c>
      <c r="C4" s="3" t="s">
        <v>70</v>
      </c>
      <c r="D4" s="3"/>
      <c r="E4" s="3" t="s">
        <v>69</v>
      </c>
      <c r="F4" s="3" t="s">
        <v>70</v>
      </c>
      <c r="G4" s="3"/>
      <c r="H4" s="3" t="s">
        <v>69</v>
      </c>
      <c r="I4" s="3" t="s">
        <v>70</v>
      </c>
      <c r="J4" s="3"/>
      <c r="K4" s="3" t="s">
        <v>69</v>
      </c>
      <c r="L4" s="3" t="s">
        <v>70</v>
      </c>
      <c r="M4" s="3"/>
      <c r="N4" s="3" t="s">
        <v>69</v>
      </c>
      <c r="O4" s="3" t="s">
        <v>70</v>
      </c>
    </row>
    <row r="5" spans="1:15" x14ac:dyDescent="0.2">
      <c r="A5" s="31" t="s">
        <v>71</v>
      </c>
      <c r="B5" s="2">
        <v>6</v>
      </c>
      <c r="C5" s="17">
        <v>12000</v>
      </c>
      <c r="D5" s="17"/>
      <c r="E5" s="32">
        <v>6</v>
      </c>
      <c r="F5" s="33">
        <v>12000</v>
      </c>
      <c r="G5" s="17"/>
      <c r="H5" s="32">
        <v>0</v>
      </c>
      <c r="I5" s="33">
        <v>0</v>
      </c>
      <c r="J5" s="17"/>
      <c r="K5" s="32">
        <v>6</v>
      </c>
      <c r="L5" s="32">
        <v>24000</v>
      </c>
      <c r="N5" s="32">
        <f>SUM(B5+E5+H5+K5)</f>
        <v>18</v>
      </c>
      <c r="O5" s="32">
        <f>SUM(C5+F5+I5+L5)</f>
        <v>48000</v>
      </c>
    </row>
    <row r="6" spans="1:15" x14ac:dyDescent="0.2">
      <c r="A6" s="31" t="s">
        <v>72</v>
      </c>
      <c r="B6" s="2">
        <v>6</v>
      </c>
      <c r="C6" s="17">
        <v>12000</v>
      </c>
      <c r="D6" s="17"/>
      <c r="E6" s="32">
        <v>329</v>
      </c>
      <c r="F6" s="33">
        <v>658000</v>
      </c>
      <c r="G6" s="17"/>
      <c r="H6" s="32">
        <v>24</v>
      </c>
      <c r="I6" s="33">
        <v>144000</v>
      </c>
      <c r="J6" s="17"/>
      <c r="K6" s="32">
        <v>12</v>
      </c>
      <c r="L6" s="32">
        <v>61700</v>
      </c>
      <c r="N6" s="32">
        <f t="shared" ref="N6:N17" si="0">SUM(B6+E6+H6+K6)</f>
        <v>371</v>
      </c>
      <c r="O6" s="32">
        <f t="shared" ref="O6:O17" si="1">SUM(C6+F6+I6+L6)</f>
        <v>875700</v>
      </c>
    </row>
    <row r="7" spans="1:15" x14ac:dyDescent="0.2">
      <c r="A7" s="31" t="s">
        <v>73</v>
      </c>
      <c r="B7" s="2">
        <v>64</v>
      </c>
      <c r="C7" s="17">
        <v>128000</v>
      </c>
      <c r="D7" s="17"/>
      <c r="E7" s="32">
        <v>2044</v>
      </c>
      <c r="F7" s="33">
        <v>2539000</v>
      </c>
      <c r="G7" s="17"/>
      <c r="H7" s="32">
        <v>115</v>
      </c>
      <c r="I7" s="33">
        <v>531000</v>
      </c>
      <c r="J7" s="17"/>
      <c r="K7" s="32">
        <v>1781</v>
      </c>
      <c r="L7" s="32">
        <v>13213294.529999999</v>
      </c>
      <c r="N7" s="32">
        <f t="shared" si="0"/>
        <v>4004</v>
      </c>
      <c r="O7" s="32">
        <f t="shared" si="1"/>
        <v>16411294.529999999</v>
      </c>
    </row>
    <row r="8" spans="1:15" x14ac:dyDescent="0.2">
      <c r="A8" s="31" t="s">
        <v>74</v>
      </c>
      <c r="B8" s="2">
        <v>6</v>
      </c>
      <c r="C8" s="17">
        <v>12000</v>
      </c>
      <c r="D8" s="17"/>
      <c r="E8" s="32">
        <v>24</v>
      </c>
      <c r="F8" s="33">
        <v>48000</v>
      </c>
      <c r="G8" s="17"/>
      <c r="H8" s="32">
        <v>8</v>
      </c>
      <c r="I8" s="33">
        <v>48000</v>
      </c>
      <c r="J8" s="17"/>
      <c r="K8" s="32">
        <v>14</v>
      </c>
      <c r="L8" s="32">
        <v>56000</v>
      </c>
      <c r="N8" s="32">
        <f t="shared" si="0"/>
        <v>52</v>
      </c>
      <c r="O8" s="32">
        <f t="shared" si="1"/>
        <v>164000</v>
      </c>
    </row>
    <row r="9" spans="1:15" x14ac:dyDescent="0.2">
      <c r="A9" s="31" t="s">
        <v>75</v>
      </c>
      <c r="B9" s="2">
        <v>32</v>
      </c>
      <c r="C9" s="17">
        <v>64000</v>
      </c>
      <c r="D9" s="17"/>
      <c r="E9" s="32">
        <v>89</v>
      </c>
      <c r="F9" s="33">
        <v>178000</v>
      </c>
      <c r="G9" s="17"/>
      <c r="H9" s="32">
        <v>39</v>
      </c>
      <c r="I9" s="33">
        <v>234000</v>
      </c>
      <c r="J9" s="17"/>
      <c r="K9" s="32">
        <v>393</v>
      </c>
      <c r="L9" s="32">
        <v>1983635</v>
      </c>
      <c r="N9" s="32">
        <f t="shared" si="0"/>
        <v>553</v>
      </c>
      <c r="O9" s="32">
        <f t="shared" si="1"/>
        <v>2459635</v>
      </c>
    </row>
    <row r="10" spans="1:15" x14ac:dyDescent="0.2">
      <c r="A10" s="31" t="s">
        <v>76</v>
      </c>
      <c r="B10" s="2">
        <v>6</v>
      </c>
      <c r="C10" s="2">
        <v>12000</v>
      </c>
      <c r="E10" s="32">
        <v>44</v>
      </c>
      <c r="F10" s="33">
        <v>88000</v>
      </c>
      <c r="G10" s="17"/>
      <c r="H10" s="32">
        <v>14</v>
      </c>
      <c r="I10" s="33">
        <v>84000</v>
      </c>
      <c r="J10" s="17"/>
      <c r="K10" s="32">
        <v>26</v>
      </c>
      <c r="L10" s="32">
        <v>104000</v>
      </c>
      <c r="N10" s="32">
        <f t="shared" si="0"/>
        <v>90</v>
      </c>
      <c r="O10" s="32">
        <f t="shared" si="1"/>
        <v>288000</v>
      </c>
    </row>
    <row r="11" spans="1:15" x14ac:dyDescent="0.2">
      <c r="A11" s="31" t="s">
        <v>77</v>
      </c>
      <c r="B11" s="2">
        <v>6</v>
      </c>
      <c r="C11" s="2">
        <v>12000</v>
      </c>
      <c r="E11" s="32">
        <v>80</v>
      </c>
      <c r="F11" s="33">
        <v>160000</v>
      </c>
      <c r="G11" s="17"/>
      <c r="H11" s="32">
        <v>17</v>
      </c>
      <c r="I11" s="33">
        <v>102000</v>
      </c>
      <c r="J11" s="17"/>
      <c r="K11" s="32">
        <v>6</v>
      </c>
      <c r="L11" s="32">
        <v>24000</v>
      </c>
      <c r="N11" s="32">
        <f t="shared" si="0"/>
        <v>109</v>
      </c>
      <c r="O11" s="32">
        <f t="shared" si="1"/>
        <v>298000</v>
      </c>
    </row>
    <row r="12" spans="1:15" x14ac:dyDescent="0.2">
      <c r="A12" s="31" t="s">
        <v>78</v>
      </c>
      <c r="B12" s="2">
        <v>6</v>
      </c>
      <c r="C12" s="17">
        <v>12000</v>
      </c>
      <c r="D12" s="17"/>
      <c r="E12" s="32">
        <v>50</v>
      </c>
      <c r="F12" s="33">
        <v>100000</v>
      </c>
      <c r="G12" s="17"/>
      <c r="H12" s="32">
        <v>6</v>
      </c>
      <c r="I12" s="33">
        <v>36000</v>
      </c>
      <c r="J12" s="17"/>
      <c r="K12" s="32">
        <v>13</v>
      </c>
      <c r="L12" s="32">
        <v>52000</v>
      </c>
      <c r="N12" s="32">
        <f t="shared" si="0"/>
        <v>75</v>
      </c>
      <c r="O12" s="32">
        <f t="shared" si="1"/>
        <v>200000</v>
      </c>
    </row>
    <row r="13" spans="1:15" x14ac:dyDescent="0.2">
      <c r="A13" s="31" t="s">
        <v>79</v>
      </c>
      <c r="B13" s="2">
        <v>6</v>
      </c>
      <c r="C13" s="17">
        <v>12000</v>
      </c>
      <c r="D13" s="17"/>
      <c r="E13" s="32">
        <v>143</v>
      </c>
      <c r="F13" s="33">
        <v>286000</v>
      </c>
      <c r="G13" s="17"/>
      <c r="H13" s="32">
        <v>11</v>
      </c>
      <c r="I13" s="33">
        <v>66000</v>
      </c>
      <c r="J13" s="17"/>
      <c r="K13" s="32">
        <v>8</v>
      </c>
      <c r="L13" s="32">
        <v>62866.66</v>
      </c>
      <c r="N13" s="32">
        <f t="shared" si="0"/>
        <v>168</v>
      </c>
      <c r="O13" s="32">
        <f t="shared" si="1"/>
        <v>426866.66000000003</v>
      </c>
    </row>
    <row r="14" spans="1:15" x14ac:dyDescent="0.2">
      <c r="A14" s="31" t="s">
        <v>80</v>
      </c>
      <c r="B14" s="2">
        <v>6</v>
      </c>
      <c r="C14" s="17">
        <v>12000</v>
      </c>
      <c r="D14" s="17"/>
      <c r="E14" s="32">
        <v>74</v>
      </c>
      <c r="F14" s="33">
        <v>148000</v>
      </c>
      <c r="G14" s="17"/>
      <c r="H14" s="32">
        <v>19</v>
      </c>
      <c r="I14" s="33">
        <v>114000</v>
      </c>
      <c r="J14" s="17"/>
      <c r="K14" s="32">
        <v>6</v>
      </c>
      <c r="L14" s="32">
        <v>24000</v>
      </c>
      <c r="N14" s="32">
        <f t="shared" si="0"/>
        <v>105</v>
      </c>
      <c r="O14" s="32">
        <f t="shared" si="1"/>
        <v>298000</v>
      </c>
    </row>
    <row r="15" spans="1:15" x14ac:dyDescent="0.2">
      <c r="A15" s="31" t="s">
        <v>81</v>
      </c>
      <c r="B15" s="2">
        <v>6</v>
      </c>
      <c r="C15" s="17">
        <v>12000</v>
      </c>
      <c r="D15" s="17"/>
      <c r="E15" s="32">
        <v>6</v>
      </c>
      <c r="F15" s="33">
        <v>12000</v>
      </c>
      <c r="G15" s="17"/>
      <c r="H15" s="32">
        <v>4</v>
      </c>
      <c r="I15" s="33">
        <v>24000</v>
      </c>
      <c r="J15" s="17"/>
      <c r="K15" s="32">
        <v>6</v>
      </c>
      <c r="L15" s="32">
        <v>24000</v>
      </c>
      <c r="N15" s="32">
        <f t="shared" si="0"/>
        <v>22</v>
      </c>
      <c r="O15" s="32">
        <f t="shared" si="1"/>
        <v>72000</v>
      </c>
    </row>
    <row r="16" spans="1:15" x14ac:dyDescent="0.2">
      <c r="A16" s="31" t="s">
        <v>82</v>
      </c>
      <c r="B16" s="2">
        <v>5</v>
      </c>
      <c r="C16" s="2">
        <v>10000</v>
      </c>
      <c r="E16" s="32">
        <v>68</v>
      </c>
      <c r="F16" s="33">
        <v>136000</v>
      </c>
      <c r="G16" s="17"/>
      <c r="H16" s="32">
        <v>4</v>
      </c>
      <c r="I16" s="33">
        <v>24000</v>
      </c>
      <c r="J16" s="17"/>
      <c r="K16" s="32">
        <v>12</v>
      </c>
      <c r="L16" s="32">
        <v>148375</v>
      </c>
      <c r="N16" s="32">
        <f t="shared" si="0"/>
        <v>89</v>
      </c>
      <c r="O16" s="32">
        <f t="shared" si="1"/>
        <v>318375</v>
      </c>
    </row>
    <row r="17" spans="1:15" x14ac:dyDescent="0.2">
      <c r="A17" s="31" t="s">
        <v>83</v>
      </c>
      <c r="B17" s="2">
        <v>5</v>
      </c>
      <c r="C17" s="2">
        <v>10000</v>
      </c>
      <c r="E17" s="32">
        <v>20</v>
      </c>
      <c r="F17" s="33">
        <v>40000</v>
      </c>
      <c r="G17" s="17"/>
      <c r="H17" s="32">
        <v>7</v>
      </c>
      <c r="I17" s="33">
        <v>42000</v>
      </c>
      <c r="J17" s="17"/>
      <c r="K17" s="32">
        <v>7</v>
      </c>
      <c r="L17" s="32">
        <v>43800</v>
      </c>
      <c r="N17" s="32">
        <f t="shared" si="0"/>
        <v>39</v>
      </c>
      <c r="O17" s="32">
        <f t="shared" si="1"/>
        <v>135800</v>
      </c>
    </row>
    <row r="18" spans="1:15" ht="16" x14ac:dyDescent="0.2">
      <c r="A18" s="34" t="s">
        <v>84</v>
      </c>
      <c r="B18" s="35">
        <f t="shared" ref="B18:C18" si="2">SUM(B5:B17)</f>
        <v>160</v>
      </c>
      <c r="C18" s="35">
        <f t="shared" si="2"/>
        <v>320000</v>
      </c>
      <c r="D18" s="35"/>
      <c r="E18" s="35">
        <f>SUM(E5:E17)</f>
        <v>2977</v>
      </c>
      <c r="F18" s="35">
        <f>SUM(F5:F17)</f>
        <v>4405000</v>
      </c>
      <c r="G18" s="35"/>
      <c r="H18" s="35">
        <f t="shared" ref="H18:L18" si="3">SUM(H5:H17)</f>
        <v>268</v>
      </c>
      <c r="I18" s="35">
        <f t="shared" si="3"/>
        <v>1449000</v>
      </c>
      <c r="J18" s="35"/>
      <c r="K18" s="35">
        <f t="shared" si="3"/>
        <v>2290</v>
      </c>
      <c r="L18" s="35">
        <f t="shared" si="3"/>
        <v>15821671.189999999</v>
      </c>
      <c r="M18" s="35"/>
      <c r="N18" s="35">
        <f t="shared" ref="N18:O18" si="4">SUM(N5:N17)</f>
        <v>5695</v>
      </c>
      <c r="O18" s="35">
        <f t="shared" si="4"/>
        <v>21995671.190000001</v>
      </c>
    </row>
    <row r="20" spans="1:15" x14ac:dyDescent="0.2">
      <c r="A20" s="8" t="s">
        <v>85</v>
      </c>
      <c r="B20" s="8"/>
      <c r="C20" s="8"/>
      <c r="D20" s="8"/>
      <c r="E20" s="8"/>
      <c r="F20" s="8"/>
      <c r="G20" s="8"/>
      <c r="H20" s="8"/>
      <c r="I20" s="8"/>
      <c r="J20" s="8"/>
      <c r="K20" s="8"/>
      <c r="L20" s="8"/>
    </row>
    <row r="21" spans="1:15" x14ac:dyDescent="0.2">
      <c r="A21" s="8" t="s">
        <v>86</v>
      </c>
      <c r="B21" s="8"/>
      <c r="C21" s="8"/>
      <c r="D21" s="8"/>
      <c r="E21" s="8"/>
      <c r="F21" s="8"/>
      <c r="G21" s="8"/>
      <c r="H21" s="8"/>
      <c r="I21" s="8"/>
      <c r="J21" s="8"/>
      <c r="K21" s="8"/>
      <c r="L21" s="8"/>
    </row>
    <row r="22" spans="1:15" x14ac:dyDescent="0.2">
      <c r="A22" s="8" t="s">
        <v>87</v>
      </c>
      <c r="B22" s="8"/>
      <c r="C22" s="8"/>
      <c r="D22" s="8"/>
      <c r="E22" s="8"/>
      <c r="F22" s="8"/>
      <c r="G22" s="8"/>
      <c r="H22" s="8"/>
      <c r="I22" s="8"/>
      <c r="J22" s="8"/>
      <c r="K22" s="8"/>
      <c r="L22" s="8"/>
    </row>
    <row r="23" spans="1:15" x14ac:dyDescent="0.2">
      <c r="A23" s="8" t="s">
        <v>88</v>
      </c>
      <c r="B23" s="8"/>
      <c r="C23" s="8"/>
      <c r="D23" s="8"/>
      <c r="E23" s="8"/>
      <c r="F23" s="8"/>
      <c r="G23" s="8"/>
      <c r="H23" s="8"/>
      <c r="I23" s="8"/>
      <c r="J23" s="8"/>
      <c r="K23" s="8"/>
      <c r="L23" s="8"/>
    </row>
    <row r="24" spans="1:15" x14ac:dyDescent="0.2">
      <c r="A24" s="257" t="s">
        <v>90</v>
      </c>
      <c r="B24" s="257"/>
      <c r="C24" s="257"/>
      <c r="D24" s="257"/>
      <c r="E24" s="257"/>
      <c r="F24" s="257"/>
      <c r="G24" s="257"/>
      <c r="H24" s="257"/>
      <c r="I24" s="257"/>
      <c r="J24" s="257"/>
      <c r="K24" s="257"/>
      <c r="L24" s="257"/>
    </row>
    <row r="25" spans="1:15" x14ac:dyDescent="0.2">
      <c r="A25" s="8"/>
      <c r="B25" s="8"/>
      <c r="C25" s="8"/>
      <c r="D25" s="8"/>
      <c r="E25" s="8"/>
      <c r="F25" s="8"/>
      <c r="G25" s="8"/>
      <c r="H25" s="8"/>
      <c r="I25" s="8"/>
      <c r="J25" s="8"/>
      <c r="K25" s="8"/>
      <c r="L25" s="8"/>
    </row>
  </sheetData>
  <mergeCells count="7">
    <mergeCell ref="N3:O3"/>
    <mergeCell ref="A24:L24"/>
    <mergeCell ref="A3:A4"/>
    <mergeCell ref="B3:C3"/>
    <mergeCell ref="E3:F3"/>
    <mergeCell ref="H3:I3"/>
    <mergeCell ref="K3:L3"/>
  </mergeCells>
  <pageMargins left="0.7" right="0.7" top="0.75" bottom="0.75" header="0.3" footer="0.3"/>
  <pageSetup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92D050"/>
  </sheetPr>
  <dimension ref="A1:D19"/>
  <sheetViews>
    <sheetView showGridLines="0" zoomScale="90" zoomScaleNormal="90" workbookViewId="0">
      <selection activeCell="A5" sqref="A5:D15"/>
    </sheetView>
  </sheetViews>
  <sheetFormatPr baseColWidth="10" defaultColWidth="8.83203125" defaultRowHeight="15" x14ac:dyDescent="0.2"/>
  <cols>
    <col min="1" max="1" width="50.5" style="2" bestFit="1" customWidth="1"/>
    <col min="2" max="4" width="21.1640625" style="2" bestFit="1" customWidth="1"/>
    <col min="5" max="16384" width="8.83203125" style="2"/>
  </cols>
  <sheetData>
    <row r="1" spans="1:4" ht="16" x14ac:dyDescent="0.2">
      <c r="A1" s="1" t="s">
        <v>571</v>
      </c>
      <c r="B1" s="1"/>
      <c r="C1" s="1"/>
      <c r="D1" s="1"/>
    </row>
    <row r="2" spans="1:4" ht="16" x14ac:dyDescent="0.2">
      <c r="A2" s="1"/>
      <c r="B2" s="1"/>
      <c r="C2" s="1"/>
      <c r="D2" s="1"/>
    </row>
    <row r="3" spans="1:4" ht="16" x14ac:dyDescent="0.2">
      <c r="A3" s="254" t="s">
        <v>472</v>
      </c>
      <c r="B3" s="256" t="s">
        <v>448</v>
      </c>
      <c r="C3" s="256"/>
      <c r="D3" s="256"/>
    </row>
    <row r="4" spans="1:4" x14ac:dyDescent="0.2">
      <c r="A4" s="255"/>
      <c r="B4" s="13" t="s">
        <v>473</v>
      </c>
      <c r="C4" s="13" t="s">
        <v>474</v>
      </c>
      <c r="D4" s="13" t="s">
        <v>475</v>
      </c>
    </row>
    <row r="5" spans="1:4" x14ac:dyDescent="0.2">
      <c r="A5" s="2" t="s">
        <v>476</v>
      </c>
      <c r="B5" s="17">
        <v>2132</v>
      </c>
      <c r="C5" s="2">
        <v>413</v>
      </c>
      <c r="D5" s="2">
        <v>358</v>
      </c>
    </row>
    <row r="6" spans="1:4" x14ac:dyDescent="0.2">
      <c r="A6" s="2" t="s">
        <v>477</v>
      </c>
      <c r="B6" s="17">
        <v>1819</v>
      </c>
      <c r="C6" s="2">
        <v>195</v>
      </c>
      <c r="D6" s="2">
        <v>158</v>
      </c>
    </row>
    <row r="7" spans="1:4" x14ac:dyDescent="0.2">
      <c r="A7" s="2" t="s">
        <v>478</v>
      </c>
      <c r="B7" s="17">
        <v>1803</v>
      </c>
      <c r="C7" s="2">
        <v>289</v>
      </c>
      <c r="D7" s="2">
        <v>204</v>
      </c>
    </row>
    <row r="8" spans="1:4" x14ac:dyDescent="0.2">
      <c r="A8" s="2" t="s">
        <v>479</v>
      </c>
      <c r="B8" s="17">
        <v>1340</v>
      </c>
      <c r="C8" s="2">
        <v>259</v>
      </c>
      <c r="D8" s="2">
        <v>226</v>
      </c>
    </row>
    <row r="9" spans="1:4" x14ac:dyDescent="0.2">
      <c r="A9" s="2" t="s">
        <v>480</v>
      </c>
      <c r="B9" s="17">
        <v>1266</v>
      </c>
      <c r="C9" s="2">
        <v>145</v>
      </c>
      <c r="D9" s="2">
        <v>148</v>
      </c>
    </row>
    <row r="10" spans="1:4" x14ac:dyDescent="0.2">
      <c r="A10" s="2" t="s">
        <v>481</v>
      </c>
      <c r="B10" s="17">
        <v>1132</v>
      </c>
      <c r="C10" s="2">
        <v>148</v>
      </c>
      <c r="D10" s="2">
        <v>105</v>
      </c>
    </row>
    <row r="11" spans="1:4" x14ac:dyDescent="0.2">
      <c r="A11" s="2" t="s">
        <v>482</v>
      </c>
      <c r="B11" s="2">
        <v>646</v>
      </c>
      <c r="C11" s="2">
        <v>134</v>
      </c>
      <c r="D11" s="2">
        <v>115</v>
      </c>
    </row>
    <row r="12" spans="1:4" x14ac:dyDescent="0.2">
      <c r="A12" s="2" t="s">
        <v>483</v>
      </c>
      <c r="B12" s="2">
        <v>636</v>
      </c>
      <c r="C12" s="2">
        <v>98</v>
      </c>
      <c r="D12" s="2">
        <v>115</v>
      </c>
    </row>
    <row r="13" spans="1:4" x14ac:dyDescent="0.2">
      <c r="A13" s="2" t="s">
        <v>573</v>
      </c>
      <c r="B13" s="2">
        <v>636</v>
      </c>
      <c r="C13" s="2">
        <v>94</v>
      </c>
      <c r="D13" s="2">
        <v>36</v>
      </c>
    </row>
    <row r="14" spans="1:4" x14ac:dyDescent="0.2">
      <c r="A14" s="2" t="s">
        <v>484</v>
      </c>
      <c r="B14" s="17">
        <v>24929</v>
      </c>
      <c r="C14" s="17">
        <v>4119</v>
      </c>
      <c r="D14" s="17">
        <v>3474</v>
      </c>
    </row>
    <row r="15" spans="1:4" x14ac:dyDescent="0.2">
      <c r="A15" s="96" t="s">
        <v>33</v>
      </c>
      <c r="B15" s="132">
        <f>SUM(B5:B14)</f>
        <v>36339</v>
      </c>
      <c r="C15" s="132">
        <f t="shared" ref="C15:D15" si="0">SUM(C5:C14)</f>
        <v>5894</v>
      </c>
      <c r="D15" s="132">
        <f t="shared" si="0"/>
        <v>4939</v>
      </c>
    </row>
    <row r="16" spans="1:4" x14ac:dyDescent="0.2">
      <c r="B16" s="17"/>
      <c r="C16" s="17"/>
      <c r="D16" s="17"/>
    </row>
    <row r="17" spans="1:4" x14ac:dyDescent="0.2">
      <c r="A17" s="8" t="s">
        <v>572</v>
      </c>
      <c r="B17" s="17"/>
      <c r="C17" s="17"/>
      <c r="D17" s="17"/>
    </row>
    <row r="18" spans="1:4" ht="19.5" customHeight="1" x14ac:dyDescent="0.2">
      <c r="A18" s="8" t="s">
        <v>543</v>
      </c>
    </row>
    <row r="19" spans="1:4" ht="14.5" customHeight="1" x14ac:dyDescent="0.2"/>
  </sheetData>
  <mergeCells count="2">
    <mergeCell ref="A3:A4"/>
    <mergeCell ref="B3:D3"/>
  </mergeCells>
  <pageMargins left="0.7" right="0.7" top="0.75" bottom="0.75" header="0.3" footer="0.3"/>
  <pageSetup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92D050"/>
  </sheetPr>
  <dimension ref="A1:D19"/>
  <sheetViews>
    <sheetView showGridLines="0" topLeftCell="A3" zoomScale="90" zoomScaleNormal="90" workbookViewId="0">
      <selection activeCell="A20" sqref="A20"/>
    </sheetView>
  </sheetViews>
  <sheetFormatPr baseColWidth="10" defaultColWidth="8.83203125" defaultRowHeight="15" x14ac:dyDescent="0.2"/>
  <cols>
    <col min="1" max="1" width="62.33203125" style="2" bestFit="1" customWidth="1"/>
    <col min="2" max="4" width="21.1640625" style="2" bestFit="1" customWidth="1"/>
    <col min="5" max="16384" width="8.83203125" style="2"/>
  </cols>
  <sheetData>
    <row r="1" spans="1:4" ht="16" x14ac:dyDescent="0.2">
      <c r="A1" s="259" t="s">
        <v>574</v>
      </c>
      <c r="B1" s="259"/>
      <c r="C1" s="259"/>
      <c r="D1" s="259"/>
    </row>
    <row r="2" spans="1:4" ht="16" x14ac:dyDescent="0.2">
      <c r="A2" s="1"/>
      <c r="B2" s="1"/>
      <c r="C2" s="1"/>
      <c r="D2" s="1"/>
    </row>
    <row r="3" spans="1:4" ht="16" x14ac:dyDescent="0.2">
      <c r="A3" s="254" t="s">
        <v>485</v>
      </c>
      <c r="B3" s="256" t="s">
        <v>448</v>
      </c>
      <c r="C3" s="256"/>
      <c r="D3" s="256"/>
    </row>
    <row r="4" spans="1:4" x14ac:dyDescent="0.2">
      <c r="A4" s="255"/>
      <c r="B4" s="13" t="s">
        <v>473</v>
      </c>
      <c r="C4" s="13" t="s">
        <v>474</v>
      </c>
      <c r="D4" s="13" t="s">
        <v>475</v>
      </c>
    </row>
    <row r="5" spans="1:4" x14ac:dyDescent="0.2">
      <c r="A5" s="2" t="s">
        <v>486</v>
      </c>
      <c r="B5" s="17">
        <v>785</v>
      </c>
      <c r="C5" s="2">
        <v>564</v>
      </c>
      <c r="D5" s="2">
        <v>252</v>
      </c>
    </row>
    <row r="6" spans="1:4" x14ac:dyDescent="0.2">
      <c r="A6" s="2" t="s">
        <v>487</v>
      </c>
      <c r="B6" s="2">
        <v>780</v>
      </c>
      <c r="C6" s="2">
        <v>102</v>
      </c>
      <c r="D6" s="2">
        <v>76</v>
      </c>
    </row>
    <row r="7" spans="1:4" x14ac:dyDescent="0.2">
      <c r="A7" s="2" t="s">
        <v>488</v>
      </c>
      <c r="B7" s="2">
        <v>483</v>
      </c>
      <c r="C7" s="2">
        <v>85</v>
      </c>
      <c r="D7" s="2">
        <v>28</v>
      </c>
    </row>
    <row r="8" spans="1:4" x14ac:dyDescent="0.2">
      <c r="A8" s="2" t="s">
        <v>492</v>
      </c>
      <c r="B8" s="2">
        <v>389</v>
      </c>
      <c r="C8" s="2">
        <v>105</v>
      </c>
      <c r="D8" s="2">
        <v>64</v>
      </c>
    </row>
    <row r="9" spans="1:4" x14ac:dyDescent="0.2">
      <c r="A9" s="2" t="s">
        <v>489</v>
      </c>
      <c r="B9" s="2">
        <v>333</v>
      </c>
      <c r="C9" s="2">
        <v>153</v>
      </c>
      <c r="D9" s="2">
        <v>88</v>
      </c>
    </row>
    <row r="10" spans="1:4" x14ac:dyDescent="0.2">
      <c r="A10" s="2" t="s">
        <v>490</v>
      </c>
      <c r="B10" s="2">
        <v>299</v>
      </c>
      <c r="C10" s="2">
        <v>130</v>
      </c>
      <c r="D10" s="2">
        <v>39</v>
      </c>
    </row>
    <row r="11" spans="1:4" x14ac:dyDescent="0.2">
      <c r="A11" s="2" t="s">
        <v>493</v>
      </c>
      <c r="B11" s="2">
        <v>283</v>
      </c>
      <c r="C11" s="2">
        <v>78</v>
      </c>
      <c r="D11" s="2">
        <v>44</v>
      </c>
    </row>
    <row r="12" spans="1:4" x14ac:dyDescent="0.2">
      <c r="A12" s="2" t="s">
        <v>576</v>
      </c>
      <c r="B12" s="2">
        <v>264</v>
      </c>
      <c r="C12" s="2">
        <v>82</v>
      </c>
      <c r="D12" s="2">
        <v>42</v>
      </c>
    </row>
    <row r="13" spans="1:4" x14ac:dyDescent="0.2">
      <c r="A13" s="2" t="s">
        <v>491</v>
      </c>
      <c r="B13" s="2">
        <v>257</v>
      </c>
      <c r="C13" s="2">
        <v>47</v>
      </c>
      <c r="D13" s="2">
        <v>45</v>
      </c>
    </row>
    <row r="14" spans="1:4" x14ac:dyDescent="0.2">
      <c r="A14" s="2" t="s">
        <v>494</v>
      </c>
      <c r="B14" s="17">
        <v>6840</v>
      </c>
      <c r="C14" s="17">
        <v>2408</v>
      </c>
      <c r="D14" s="17">
        <v>1131</v>
      </c>
    </row>
    <row r="15" spans="1:4" x14ac:dyDescent="0.2">
      <c r="A15" s="96" t="s">
        <v>33</v>
      </c>
      <c r="B15" s="132">
        <f>SUM(B5:B14)</f>
        <v>10713</v>
      </c>
      <c r="C15" s="132">
        <f t="shared" ref="C15:D15" si="0">SUM(C5:C14)</f>
        <v>3754</v>
      </c>
      <c r="D15" s="132">
        <f t="shared" si="0"/>
        <v>1809</v>
      </c>
    </row>
    <row r="16" spans="1:4" x14ac:dyDescent="0.2">
      <c r="B16" s="17"/>
      <c r="C16" s="17"/>
      <c r="D16" s="17"/>
    </row>
    <row r="17" spans="1:4" x14ac:dyDescent="0.2">
      <c r="A17" s="8" t="s">
        <v>575</v>
      </c>
      <c r="B17" s="17"/>
      <c r="C17" s="17"/>
      <c r="D17" s="17"/>
    </row>
    <row r="18" spans="1:4" x14ac:dyDescent="0.2">
      <c r="A18" s="8" t="s">
        <v>543</v>
      </c>
      <c r="B18" s="8"/>
      <c r="C18" s="8"/>
      <c r="D18" s="8"/>
    </row>
    <row r="19" spans="1:4" x14ac:dyDescent="0.2">
      <c r="A19" s="264" t="s">
        <v>495</v>
      </c>
      <c r="B19" s="258"/>
      <c r="C19" s="258"/>
      <c r="D19" s="258"/>
    </row>
  </sheetData>
  <mergeCells count="4">
    <mergeCell ref="A1:D1"/>
    <mergeCell ref="A3:A4"/>
    <mergeCell ref="B3:D3"/>
    <mergeCell ref="A19:D19"/>
  </mergeCells>
  <pageMargins left="0.7" right="0.7" top="0.75" bottom="0.75" header="0.3" footer="0.3"/>
  <pageSetup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92D050"/>
  </sheetPr>
  <dimension ref="A1:B15"/>
  <sheetViews>
    <sheetView showGridLines="0" zoomScale="90" zoomScaleNormal="90" workbookViewId="0">
      <selection activeCell="D6" sqref="D6"/>
    </sheetView>
  </sheetViews>
  <sheetFormatPr baseColWidth="10" defaultColWidth="8.83203125" defaultRowHeight="15" x14ac:dyDescent="0.2"/>
  <cols>
    <col min="1" max="1" width="24.6640625" style="2" bestFit="1" customWidth="1"/>
    <col min="2" max="2" width="10.5" style="2" bestFit="1" customWidth="1"/>
    <col min="3" max="16384" width="8.83203125" style="2"/>
  </cols>
  <sheetData>
    <row r="1" spans="1:2" ht="16" x14ac:dyDescent="0.2">
      <c r="A1" s="1" t="s">
        <v>632</v>
      </c>
      <c r="B1" s="1"/>
    </row>
    <row r="2" spans="1:2" ht="16" x14ac:dyDescent="0.2">
      <c r="A2" s="1"/>
      <c r="B2" s="1"/>
    </row>
    <row r="3" spans="1:2" x14ac:dyDescent="0.2">
      <c r="A3" s="13" t="s">
        <v>534</v>
      </c>
      <c r="B3" s="13" t="s">
        <v>449</v>
      </c>
    </row>
    <row r="4" spans="1:2" x14ac:dyDescent="0.2">
      <c r="A4" s="65" t="s">
        <v>623</v>
      </c>
      <c r="B4" s="65">
        <v>28</v>
      </c>
    </row>
    <row r="5" spans="1:2" x14ac:dyDescent="0.2">
      <c r="A5" s="65" t="s">
        <v>624</v>
      </c>
      <c r="B5" s="65">
        <v>90</v>
      </c>
    </row>
    <row r="6" spans="1:2" x14ac:dyDescent="0.2">
      <c r="A6" s="65" t="s">
        <v>625</v>
      </c>
      <c r="B6" s="65">
        <v>22</v>
      </c>
    </row>
    <row r="7" spans="1:2" x14ac:dyDescent="0.2">
      <c r="A7" s="5" t="s">
        <v>626</v>
      </c>
      <c r="B7" s="2">
        <v>3</v>
      </c>
    </row>
    <row r="8" spans="1:2" x14ac:dyDescent="0.2">
      <c r="A8" s="5" t="s">
        <v>627</v>
      </c>
      <c r="B8" s="2">
        <v>9</v>
      </c>
    </row>
    <row r="9" spans="1:2" x14ac:dyDescent="0.2">
      <c r="A9" s="5" t="s">
        <v>628</v>
      </c>
      <c r="B9" s="2">
        <v>10</v>
      </c>
    </row>
    <row r="10" spans="1:2" x14ac:dyDescent="0.2">
      <c r="A10" s="65" t="s">
        <v>629</v>
      </c>
      <c r="B10" s="65">
        <v>19</v>
      </c>
    </row>
    <row r="11" spans="1:2" x14ac:dyDescent="0.2">
      <c r="A11" s="65" t="s">
        <v>630</v>
      </c>
      <c r="B11" s="65">
        <v>36</v>
      </c>
    </row>
    <row r="12" spans="1:2" x14ac:dyDescent="0.2">
      <c r="A12" s="65" t="s">
        <v>631</v>
      </c>
      <c r="B12" s="65">
        <v>15</v>
      </c>
    </row>
    <row r="13" spans="1:2" ht="16" x14ac:dyDescent="0.2">
      <c r="A13" s="104" t="s">
        <v>33</v>
      </c>
      <c r="B13" s="153">
        <f>SUM(B4+B5+B6+B10+B11+B12)</f>
        <v>210</v>
      </c>
    </row>
    <row r="14" spans="1:2" x14ac:dyDescent="0.2">
      <c r="A14" s="106"/>
      <c r="B14" s="154"/>
    </row>
    <row r="15" spans="1:2" x14ac:dyDescent="0.2">
      <c r="A15" s="8" t="s">
        <v>633</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92D050"/>
  </sheetPr>
  <dimension ref="A1:F26"/>
  <sheetViews>
    <sheetView showGridLines="0" zoomScale="90" zoomScaleNormal="90" workbookViewId="0">
      <selection activeCell="B10" sqref="B10"/>
    </sheetView>
  </sheetViews>
  <sheetFormatPr baseColWidth="10" defaultColWidth="8.83203125" defaultRowHeight="15" x14ac:dyDescent="0.2"/>
  <cols>
    <col min="1" max="1" width="85.1640625" style="2" customWidth="1"/>
    <col min="2" max="2" width="30.1640625" style="2" bestFit="1" customWidth="1"/>
    <col min="3" max="3" width="39.1640625" style="2" bestFit="1" customWidth="1"/>
    <col min="4" max="16384" width="8.83203125" style="2"/>
  </cols>
  <sheetData>
    <row r="1" spans="1:6" ht="16" x14ac:dyDescent="0.2">
      <c r="A1" s="1" t="s">
        <v>634</v>
      </c>
      <c r="B1" s="1"/>
      <c r="C1" s="1"/>
    </row>
    <row r="3" spans="1:6" x14ac:dyDescent="0.2">
      <c r="A3" s="13" t="s">
        <v>538</v>
      </c>
      <c r="B3" s="13" t="s">
        <v>635</v>
      </c>
      <c r="C3" s="13" t="s">
        <v>636</v>
      </c>
    </row>
    <row r="4" spans="1:6" ht="16" x14ac:dyDescent="0.2">
      <c r="A4" s="106" t="s">
        <v>637</v>
      </c>
      <c r="B4" s="155">
        <v>3270</v>
      </c>
      <c r="C4" s="155">
        <v>1837</v>
      </c>
    </row>
    <row r="5" spans="1:6" ht="16" x14ac:dyDescent="0.2">
      <c r="A5" s="156" t="s">
        <v>638</v>
      </c>
      <c r="B5" s="17">
        <v>1108</v>
      </c>
      <c r="C5" s="17">
        <v>1068</v>
      </c>
    </row>
    <row r="6" spans="1:6" ht="16" x14ac:dyDescent="0.2">
      <c r="A6" s="156" t="s">
        <v>639</v>
      </c>
      <c r="B6" s="2">
        <v>63</v>
      </c>
      <c r="C6" s="2">
        <v>107</v>
      </c>
    </row>
    <row r="7" spans="1:6" ht="16" x14ac:dyDescent="0.2">
      <c r="A7" s="156" t="s">
        <v>640</v>
      </c>
      <c r="B7" s="17">
        <v>1175</v>
      </c>
      <c r="C7" s="2">
        <v>3</v>
      </c>
    </row>
    <row r="8" spans="1:6" ht="16" x14ac:dyDescent="0.2">
      <c r="A8" s="156" t="s">
        <v>641</v>
      </c>
      <c r="B8" s="17">
        <v>920</v>
      </c>
      <c r="C8" s="2">
        <v>659</v>
      </c>
    </row>
    <row r="9" spans="1:6" ht="16" x14ac:dyDescent="0.2">
      <c r="A9" s="156" t="s">
        <v>657</v>
      </c>
      <c r="B9" s="17">
        <v>4</v>
      </c>
      <c r="C9" s="2">
        <v>0</v>
      </c>
    </row>
    <row r="10" spans="1:6" ht="16" x14ac:dyDescent="0.2">
      <c r="A10" s="157" t="s">
        <v>642</v>
      </c>
      <c r="B10" s="158">
        <v>2689</v>
      </c>
      <c r="C10" s="158">
        <v>3558</v>
      </c>
      <c r="E10" s="17"/>
      <c r="F10" s="17"/>
    </row>
    <row r="11" spans="1:6" ht="16" x14ac:dyDescent="0.2">
      <c r="A11" s="156" t="s">
        <v>517</v>
      </c>
      <c r="B11" s="159">
        <v>262</v>
      </c>
      <c r="C11" s="159">
        <v>348</v>
      </c>
    </row>
    <row r="12" spans="1:6" ht="16" x14ac:dyDescent="0.2">
      <c r="A12" s="156" t="s">
        <v>643</v>
      </c>
      <c r="B12" s="159">
        <v>216</v>
      </c>
      <c r="C12" s="160">
        <v>201</v>
      </c>
    </row>
    <row r="13" spans="1:6" x14ac:dyDescent="0.2">
      <c r="A13" s="5" t="s">
        <v>644</v>
      </c>
      <c r="B13" s="2">
        <v>130</v>
      </c>
      <c r="C13" s="2">
        <v>105</v>
      </c>
    </row>
    <row r="14" spans="1:6" x14ac:dyDescent="0.2">
      <c r="A14" s="5" t="s">
        <v>524</v>
      </c>
      <c r="B14" s="2">
        <v>215</v>
      </c>
      <c r="C14" s="2">
        <v>215</v>
      </c>
    </row>
    <row r="15" spans="1:6" x14ac:dyDescent="0.2">
      <c r="A15" s="5" t="s">
        <v>525</v>
      </c>
      <c r="B15" s="2">
        <v>172</v>
      </c>
      <c r="C15" s="2">
        <v>114</v>
      </c>
    </row>
    <row r="16" spans="1:6" x14ac:dyDescent="0.2">
      <c r="A16" s="5" t="s">
        <v>527</v>
      </c>
      <c r="B16" s="2">
        <v>165</v>
      </c>
      <c r="C16" s="2">
        <v>85</v>
      </c>
    </row>
    <row r="17" spans="1:3" x14ac:dyDescent="0.2">
      <c r="A17" s="5" t="s">
        <v>645</v>
      </c>
      <c r="B17" s="2">
        <v>93</v>
      </c>
      <c r="C17" s="2">
        <v>72</v>
      </c>
    </row>
    <row r="18" spans="1:3" x14ac:dyDescent="0.2">
      <c r="A18" s="5" t="s">
        <v>526</v>
      </c>
      <c r="B18" s="2">
        <v>115</v>
      </c>
      <c r="C18" s="2">
        <v>107</v>
      </c>
    </row>
    <row r="19" spans="1:3" x14ac:dyDescent="0.2">
      <c r="A19" s="5" t="s">
        <v>518</v>
      </c>
      <c r="B19" s="2">
        <v>804</v>
      </c>
      <c r="C19" s="2">
        <v>309</v>
      </c>
    </row>
    <row r="20" spans="1:3" x14ac:dyDescent="0.2">
      <c r="A20" s="5" t="s">
        <v>519</v>
      </c>
      <c r="B20" s="2">
        <v>517</v>
      </c>
      <c r="C20" s="2">
        <v>500</v>
      </c>
    </row>
    <row r="21" spans="1:3" x14ac:dyDescent="0.2">
      <c r="A21" s="5" t="s">
        <v>523</v>
      </c>
      <c r="B21" s="2">
        <v>0</v>
      </c>
      <c r="C21" s="2">
        <v>502</v>
      </c>
    </row>
    <row r="22" spans="1:3" x14ac:dyDescent="0.2">
      <c r="A22" s="5" t="s">
        <v>520</v>
      </c>
      <c r="B22" s="2">
        <v>0</v>
      </c>
      <c r="C22" s="2">
        <v>807</v>
      </c>
    </row>
    <row r="23" spans="1:3" x14ac:dyDescent="0.2">
      <c r="A23" s="5" t="s">
        <v>521</v>
      </c>
      <c r="B23" s="2">
        <v>0</v>
      </c>
      <c r="C23" s="2">
        <v>193</v>
      </c>
    </row>
    <row r="24" spans="1:3" ht="16" x14ac:dyDescent="0.2">
      <c r="A24" s="161" t="s">
        <v>33</v>
      </c>
      <c r="B24" s="132">
        <f>SUM(B4+B10)</f>
        <v>5959</v>
      </c>
      <c r="C24" s="132">
        <f>SUM(C4+C10)</f>
        <v>5395</v>
      </c>
    </row>
    <row r="26" spans="1:3" x14ac:dyDescent="0.2">
      <c r="A26" s="8" t="s">
        <v>658</v>
      </c>
      <c r="B26" s="8"/>
      <c r="C26" s="8"/>
    </row>
  </sheetData>
  <pageMargins left="0.7" right="0.7" top="0.75" bottom="0.75" header="0.3" footer="0.3"/>
  <pageSetup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92D050"/>
  </sheetPr>
  <dimension ref="A1:F28"/>
  <sheetViews>
    <sheetView showGridLines="0" topLeftCell="A12" zoomScale="90" zoomScaleNormal="90" workbookViewId="0">
      <selection activeCell="H22" sqref="H22"/>
    </sheetView>
  </sheetViews>
  <sheetFormatPr baseColWidth="10" defaultColWidth="8.83203125" defaultRowHeight="15" x14ac:dyDescent="0.2"/>
  <cols>
    <col min="1" max="1" width="84.83203125" style="2" bestFit="1" customWidth="1"/>
    <col min="2" max="2" width="21.1640625" style="2" bestFit="1" customWidth="1"/>
    <col min="3" max="5" width="9.33203125" style="2" bestFit="1" customWidth="1"/>
    <col min="6" max="6" width="10.33203125" style="2" customWidth="1"/>
    <col min="7" max="16384" width="8.83203125" style="2"/>
  </cols>
  <sheetData>
    <row r="1" spans="1:6" ht="16" x14ac:dyDescent="0.2">
      <c r="A1" s="1" t="s">
        <v>659</v>
      </c>
      <c r="B1" s="1"/>
      <c r="C1" s="1"/>
      <c r="D1" s="1"/>
      <c r="E1" s="1"/>
      <c r="F1" s="1"/>
    </row>
    <row r="3" spans="1:6" ht="16" x14ac:dyDescent="0.2">
      <c r="A3" s="254" t="s">
        <v>538</v>
      </c>
      <c r="B3" s="256" t="s">
        <v>646</v>
      </c>
      <c r="C3" s="256"/>
      <c r="D3" s="256"/>
      <c r="E3" s="256"/>
      <c r="F3" s="272" t="s">
        <v>33</v>
      </c>
    </row>
    <row r="4" spans="1:6" x14ac:dyDescent="0.2">
      <c r="A4" s="255"/>
      <c r="B4" s="3" t="s">
        <v>647</v>
      </c>
      <c r="C4" s="3">
        <v>1</v>
      </c>
      <c r="D4" s="3">
        <v>2</v>
      </c>
      <c r="E4" s="3">
        <v>3</v>
      </c>
      <c r="F4" s="273"/>
    </row>
    <row r="5" spans="1:6" x14ac:dyDescent="0.2">
      <c r="A5" s="2" t="s">
        <v>661</v>
      </c>
      <c r="B5" s="2">
        <v>2</v>
      </c>
      <c r="C5" s="2">
        <v>6</v>
      </c>
      <c r="D5" s="2">
        <v>2</v>
      </c>
      <c r="E5" s="2">
        <v>0</v>
      </c>
      <c r="F5" s="65">
        <f>SUM(B5:E5)</f>
        <v>10</v>
      </c>
    </row>
    <row r="6" spans="1:6" x14ac:dyDescent="0.2">
      <c r="A6" s="2" t="s">
        <v>662</v>
      </c>
      <c r="B6" s="2">
        <v>0</v>
      </c>
      <c r="C6" s="2">
        <v>11</v>
      </c>
      <c r="D6" s="2">
        <v>9</v>
      </c>
      <c r="E6" s="2">
        <v>0</v>
      </c>
      <c r="F6" s="65">
        <f t="shared" ref="F6:F24" si="0">SUM(B6:E6)</f>
        <v>20</v>
      </c>
    </row>
    <row r="7" spans="1:6" x14ac:dyDescent="0.2">
      <c r="A7" s="2" t="s">
        <v>663</v>
      </c>
      <c r="B7" s="2">
        <v>1</v>
      </c>
      <c r="C7" s="2">
        <v>1</v>
      </c>
      <c r="D7" s="2">
        <v>0</v>
      </c>
      <c r="E7" s="2">
        <v>0</v>
      </c>
      <c r="F7" s="65">
        <f t="shared" si="0"/>
        <v>2</v>
      </c>
    </row>
    <row r="8" spans="1:6" x14ac:dyDescent="0.2">
      <c r="A8" s="2" t="s">
        <v>664</v>
      </c>
      <c r="B8" s="2">
        <v>0</v>
      </c>
      <c r="C8" s="2">
        <v>5</v>
      </c>
      <c r="D8" s="2">
        <v>0</v>
      </c>
      <c r="E8" s="2">
        <v>0</v>
      </c>
      <c r="F8" s="65">
        <f t="shared" si="0"/>
        <v>5</v>
      </c>
    </row>
    <row r="9" spans="1:6" x14ac:dyDescent="0.2">
      <c r="A9" s="2" t="s">
        <v>665</v>
      </c>
      <c r="B9" s="2">
        <v>1</v>
      </c>
      <c r="C9" s="2">
        <v>0</v>
      </c>
      <c r="D9" s="2">
        <v>0</v>
      </c>
      <c r="E9" s="2">
        <v>0</v>
      </c>
      <c r="F9" s="65">
        <f t="shared" si="0"/>
        <v>1</v>
      </c>
    </row>
    <row r="10" spans="1:6" x14ac:dyDescent="0.2">
      <c r="A10" s="2" t="s">
        <v>666</v>
      </c>
      <c r="B10" s="2">
        <v>3</v>
      </c>
      <c r="C10" s="2">
        <v>1</v>
      </c>
      <c r="D10" s="2">
        <v>0</v>
      </c>
      <c r="E10" s="2">
        <v>0</v>
      </c>
      <c r="F10" s="65">
        <f t="shared" si="0"/>
        <v>4</v>
      </c>
    </row>
    <row r="11" spans="1:6" x14ac:dyDescent="0.2">
      <c r="A11" s="2" t="s">
        <v>667</v>
      </c>
      <c r="B11" s="2">
        <v>4</v>
      </c>
      <c r="C11" s="2">
        <v>13</v>
      </c>
      <c r="D11" s="2">
        <v>0</v>
      </c>
      <c r="E11" s="2">
        <v>0</v>
      </c>
      <c r="F11" s="65">
        <f t="shared" si="0"/>
        <v>17</v>
      </c>
    </row>
    <row r="12" spans="1:6" x14ac:dyDescent="0.2">
      <c r="A12" s="2" t="s">
        <v>668</v>
      </c>
      <c r="B12" s="2">
        <v>15</v>
      </c>
      <c r="C12" s="2">
        <v>11</v>
      </c>
      <c r="D12" s="2">
        <v>1</v>
      </c>
      <c r="E12" s="2">
        <v>0</v>
      </c>
      <c r="F12" s="65">
        <f t="shared" si="0"/>
        <v>27</v>
      </c>
    </row>
    <row r="13" spans="1:6" x14ac:dyDescent="0.2">
      <c r="A13" s="2" t="s">
        <v>669</v>
      </c>
      <c r="B13" s="2">
        <v>14</v>
      </c>
      <c r="C13" s="2">
        <v>68</v>
      </c>
      <c r="D13" s="2">
        <v>11</v>
      </c>
      <c r="E13" s="2">
        <v>2</v>
      </c>
      <c r="F13" s="65">
        <f t="shared" si="0"/>
        <v>95</v>
      </c>
    </row>
    <row r="14" spans="1:6" x14ac:dyDescent="0.2">
      <c r="A14" s="2" t="s">
        <v>670</v>
      </c>
      <c r="B14" s="2">
        <v>26</v>
      </c>
      <c r="C14" s="2">
        <v>52</v>
      </c>
      <c r="D14" s="2">
        <v>7</v>
      </c>
      <c r="E14" s="2">
        <v>0</v>
      </c>
      <c r="F14" s="65">
        <f t="shared" si="0"/>
        <v>85</v>
      </c>
    </row>
    <row r="15" spans="1:6" x14ac:dyDescent="0.2">
      <c r="A15" s="2" t="s">
        <v>671</v>
      </c>
      <c r="B15" s="2">
        <v>1</v>
      </c>
      <c r="C15" s="2">
        <v>1</v>
      </c>
      <c r="D15" s="2">
        <v>0</v>
      </c>
      <c r="E15" s="2">
        <v>0</v>
      </c>
      <c r="F15" s="65">
        <f t="shared" si="0"/>
        <v>2</v>
      </c>
    </row>
    <row r="16" spans="1:6" x14ac:dyDescent="0.2">
      <c r="A16" s="2" t="s">
        <v>672</v>
      </c>
      <c r="B16" s="2">
        <v>4</v>
      </c>
      <c r="C16" s="2">
        <v>2</v>
      </c>
      <c r="D16" s="2">
        <v>0</v>
      </c>
      <c r="E16" s="2">
        <v>0</v>
      </c>
      <c r="F16" s="65">
        <f t="shared" si="0"/>
        <v>6</v>
      </c>
    </row>
    <row r="17" spans="1:6" x14ac:dyDescent="0.2">
      <c r="A17" s="2" t="s">
        <v>673</v>
      </c>
      <c r="B17" s="2">
        <v>0</v>
      </c>
      <c r="C17" s="2">
        <v>4</v>
      </c>
      <c r="D17" s="2">
        <v>2</v>
      </c>
      <c r="E17" s="2">
        <v>0</v>
      </c>
      <c r="F17" s="65">
        <f t="shared" si="0"/>
        <v>6</v>
      </c>
    </row>
    <row r="18" spans="1:6" x14ac:dyDescent="0.2">
      <c r="A18" s="2" t="s">
        <v>674</v>
      </c>
      <c r="B18" s="2">
        <v>0</v>
      </c>
      <c r="C18" s="2">
        <v>1</v>
      </c>
      <c r="D18" s="2">
        <v>0</v>
      </c>
      <c r="E18" s="2">
        <v>0</v>
      </c>
      <c r="F18" s="65">
        <f t="shared" si="0"/>
        <v>1</v>
      </c>
    </row>
    <row r="19" spans="1:6" x14ac:dyDescent="0.2">
      <c r="A19" s="2" t="s">
        <v>521</v>
      </c>
      <c r="B19" s="2">
        <v>0</v>
      </c>
      <c r="C19" s="2">
        <v>1</v>
      </c>
      <c r="D19" s="2">
        <v>0</v>
      </c>
      <c r="E19" s="2">
        <v>0</v>
      </c>
      <c r="F19" s="65">
        <f t="shared" si="0"/>
        <v>1</v>
      </c>
    </row>
    <row r="20" spans="1:6" x14ac:dyDescent="0.2">
      <c r="A20" s="2" t="s">
        <v>675</v>
      </c>
      <c r="B20" s="2">
        <v>1</v>
      </c>
      <c r="C20" s="2">
        <v>0</v>
      </c>
      <c r="D20" s="2">
        <v>0</v>
      </c>
      <c r="E20" s="2">
        <v>0</v>
      </c>
      <c r="F20" s="65">
        <f t="shared" si="0"/>
        <v>1</v>
      </c>
    </row>
    <row r="21" spans="1:6" x14ac:dyDescent="0.2">
      <c r="A21" s="2" t="s">
        <v>676</v>
      </c>
      <c r="B21" s="2">
        <v>1</v>
      </c>
      <c r="C21" s="2">
        <v>0</v>
      </c>
      <c r="D21" s="2">
        <v>0</v>
      </c>
      <c r="E21" s="2">
        <v>0</v>
      </c>
      <c r="F21" s="65">
        <f t="shared" si="0"/>
        <v>1</v>
      </c>
    </row>
    <row r="22" spans="1:6" x14ac:dyDescent="0.2">
      <c r="A22" s="2" t="s">
        <v>645</v>
      </c>
      <c r="B22" s="2">
        <v>1</v>
      </c>
      <c r="C22" s="2">
        <v>0</v>
      </c>
      <c r="D22" s="2">
        <v>0</v>
      </c>
      <c r="E22" s="2">
        <v>0</v>
      </c>
      <c r="F22" s="65">
        <f t="shared" si="0"/>
        <v>1</v>
      </c>
    </row>
    <row r="23" spans="1:6" x14ac:dyDescent="0.2">
      <c r="A23" s="2" t="s">
        <v>525</v>
      </c>
      <c r="B23" s="2">
        <v>0</v>
      </c>
      <c r="C23" s="2">
        <v>1</v>
      </c>
      <c r="D23" s="2">
        <v>0</v>
      </c>
      <c r="E23" s="2">
        <v>0</v>
      </c>
      <c r="F23" s="65">
        <f t="shared" si="0"/>
        <v>1</v>
      </c>
    </row>
    <row r="24" spans="1:6" x14ac:dyDescent="0.2">
      <c r="A24" s="2" t="s">
        <v>526</v>
      </c>
      <c r="B24" s="2">
        <v>4</v>
      </c>
      <c r="C24" s="2">
        <v>1</v>
      </c>
      <c r="D24" s="2">
        <v>0</v>
      </c>
      <c r="E24" s="2">
        <v>0</v>
      </c>
      <c r="F24" s="65">
        <f t="shared" si="0"/>
        <v>5</v>
      </c>
    </row>
    <row r="25" spans="1:6" ht="16" x14ac:dyDescent="0.2">
      <c r="A25" s="34" t="s">
        <v>288</v>
      </c>
      <c r="B25" s="153">
        <f>SUM(B5:B24)</f>
        <v>78</v>
      </c>
      <c r="C25" s="153">
        <f t="shared" ref="C25:F25" si="1">SUM(C5:C24)</f>
        <v>179</v>
      </c>
      <c r="D25" s="153">
        <f t="shared" si="1"/>
        <v>32</v>
      </c>
      <c r="E25" s="153">
        <f t="shared" si="1"/>
        <v>2</v>
      </c>
      <c r="F25" s="153">
        <f t="shared" si="1"/>
        <v>291</v>
      </c>
    </row>
    <row r="27" spans="1:6" x14ac:dyDescent="0.2">
      <c r="A27" s="8" t="s">
        <v>648</v>
      </c>
    </row>
    <row r="28" spans="1:6" x14ac:dyDescent="0.2">
      <c r="A28" s="8" t="s">
        <v>660</v>
      </c>
    </row>
  </sheetData>
  <mergeCells count="3">
    <mergeCell ref="A3:A4"/>
    <mergeCell ref="B3:E3"/>
    <mergeCell ref="F3:F4"/>
  </mergeCells>
  <pageMargins left="0.7" right="0.7" top="0.75" bottom="0.75" header="0.3" footer="0.3"/>
  <pageSetup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92D050"/>
  </sheetPr>
  <dimension ref="A1:C36"/>
  <sheetViews>
    <sheetView showGridLines="0" zoomScale="90" zoomScaleNormal="90" workbookViewId="0">
      <selection activeCell="A37" sqref="A37"/>
    </sheetView>
  </sheetViews>
  <sheetFormatPr baseColWidth="10" defaultColWidth="8.83203125" defaultRowHeight="15" x14ac:dyDescent="0.2"/>
  <cols>
    <col min="1" max="1" width="54.6640625" style="2" customWidth="1"/>
    <col min="2" max="2" width="29.5" style="2" bestFit="1" customWidth="1"/>
    <col min="3" max="3" width="35.1640625" style="2" bestFit="1" customWidth="1"/>
    <col min="4" max="16384" width="8.83203125" style="2"/>
  </cols>
  <sheetData>
    <row r="1" spans="1:3" ht="16" x14ac:dyDescent="0.2">
      <c r="A1" s="1" t="s">
        <v>649</v>
      </c>
      <c r="B1" s="1"/>
      <c r="C1" s="1"/>
    </row>
    <row r="2" spans="1:3" ht="16" x14ac:dyDescent="0.2">
      <c r="A2" s="1"/>
      <c r="B2" s="1"/>
      <c r="C2" s="1"/>
    </row>
    <row r="3" spans="1:3" x14ac:dyDescent="0.2">
      <c r="A3" s="13" t="s">
        <v>538</v>
      </c>
      <c r="B3" s="13" t="s">
        <v>650</v>
      </c>
      <c r="C3" s="13" t="s">
        <v>651</v>
      </c>
    </row>
    <row r="4" spans="1:3" x14ac:dyDescent="0.2">
      <c r="A4" s="162" t="s">
        <v>518</v>
      </c>
      <c r="B4" s="11"/>
      <c r="C4" s="4">
        <f>SUM(C5:C9)</f>
        <v>17</v>
      </c>
    </row>
    <row r="5" spans="1:3" x14ac:dyDescent="0.2">
      <c r="B5" s="2" t="s">
        <v>656</v>
      </c>
      <c r="C5" s="2">
        <v>2</v>
      </c>
    </row>
    <row r="6" spans="1:3" x14ac:dyDescent="0.2">
      <c r="B6" s="2" t="s">
        <v>652</v>
      </c>
      <c r="C6" s="2">
        <v>4</v>
      </c>
    </row>
    <row r="7" spans="1:3" x14ac:dyDescent="0.2">
      <c r="B7" s="2" t="s">
        <v>653</v>
      </c>
      <c r="C7" s="2">
        <v>2</v>
      </c>
    </row>
    <row r="8" spans="1:3" x14ac:dyDescent="0.2">
      <c r="B8" s="2" t="s">
        <v>654</v>
      </c>
      <c r="C8" s="2">
        <v>5</v>
      </c>
    </row>
    <row r="9" spans="1:3" x14ac:dyDescent="0.2">
      <c r="B9" s="2" t="s">
        <v>655</v>
      </c>
      <c r="C9" s="2">
        <v>4</v>
      </c>
    </row>
    <row r="10" spans="1:3" x14ac:dyDescent="0.2">
      <c r="A10" s="162" t="s">
        <v>519</v>
      </c>
      <c r="B10" s="11"/>
      <c r="C10" s="4">
        <f>SUM(C11:C14)</f>
        <v>8</v>
      </c>
    </row>
    <row r="11" spans="1:3" x14ac:dyDescent="0.2">
      <c r="B11" s="2" t="s">
        <v>656</v>
      </c>
      <c r="C11" s="2">
        <v>1</v>
      </c>
    </row>
    <row r="12" spans="1:3" x14ac:dyDescent="0.2">
      <c r="B12" s="2" t="s">
        <v>652</v>
      </c>
      <c r="C12" s="2">
        <v>3</v>
      </c>
    </row>
    <row r="13" spans="1:3" x14ac:dyDescent="0.2">
      <c r="B13" s="2" t="s">
        <v>654</v>
      </c>
      <c r="C13" s="2">
        <v>3</v>
      </c>
    </row>
    <row r="14" spans="1:3" x14ac:dyDescent="0.2">
      <c r="B14" s="2" t="s">
        <v>655</v>
      </c>
      <c r="C14" s="2">
        <v>1</v>
      </c>
    </row>
    <row r="15" spans="1:3" x14ac:dyDescent="0.2">
      <c r="A15" s="162" t="s">
        <v>523</v>
      </c>
      <c r="B15" s="11"/>
      <c r="C15" s="4">
        <f>SUM(C16)</f>
        <v>1</v>
      </c>
    </row>
    <row r="16" spans="1:3" x14ac:dyDescent="0.2">
      <c r="B16" s="2" t="s">
        <v>654</v>
      </c>
      <c r="C16" s="2">
        <v>1</v>
      </c>
    </row>
    <row r="17" spans="1:3" x14ac:dyDescent="0.2">
      <c r="A17" s="162" t="s">
        <v>524</v>
      </c>
      <c r="B17" s="11"/>
      <c r="C17" s="4">
        <f>SUM(C18)</f>
        <v>1</v>
      </c>
    </row>
    <row r="18" spans="1:3" x14ac:dyDescent="0.2">
      <c r="B18" s="2" t="s">
        <v>654</v>
      </c>
      <c r="C18" s="2">
        <v>1</v>
      </c>
    </row>
    <row r="19" spans="1:3" x14ac:dyDescent="0.2">
      <c r="A19" s="162" t="s">
        <v>525</v>
      </c>
      <c r="C19" s="4">
        <f>SUM(C20:C22)</f>
        <v>7</v>
      </c>
    </row>
    <row r="20" spans="1:3" x14ac:dyDescent="0.2">
      <c r="A20" s="162"/>
      <c r="B20" s="2" t="s">
        <v>653</v>
      </c>
      <c r="C20" s="2">
        <v>1</v>
      </c>
    </row>
    <row r="21" spans="1:3" x14ac:dyDescent="0.2">
      <c r="B21" s="2" t="s">
        <v>654</v>
      </c>
      <c r="C21" s="2">
        <v>2</v>
      </c>
    </row>
    <row r="22" spans="1:3" x14ac:dyDescent="0.2">
      <c r="B22" s="2" t="s">
        <v>655</v>
      </c>
      <c r="C22" s="2">
        <v>4</v>
      </c>
    </row>
    <row r="23" spans="1:3" x14ac:dyDescent="0.2">
      <c r="A23" s="162" t="s">
        <v>644</v>
      </c>
      <c r="C23" s="4">
        <f>SUM(C24:C25)</f>
        <v>6</v>
      </c>
    </row>
    <row r="24" spans="1:3" x14ac:dyDescent="0.2">
      <c r="B24" s="2" t="s">
        <v>654</v>
      </c>
      <c r="C24" s="2">
        <v>4</v>
      </c>
    </row>
    <row r="25" spans="1:3" x14ac:dyDescent="0.2">
      <c r="B25" s="2" t="s">
        <v>655</v>
      </c>
      <c r="C25" s="2">
        <v>2</v>
      </c>
    </row>
    <row r="26" spans="1:3" x14ac:dyDescent="0.2">
      <c r="A26" s="162" t="s">
        <v>526</v>
      </c>
      <c r="C26" s="4">
        <f>SUM(C27:C28)</f>
        <v>3</v>
      </c>
    </row>
    <row r="27" spans="1:3" x14ac:dyDescent="0.2">
      <c r="B27" s="2" t="s">
        <v>654</v>
      </c>
      <c r="C27" s="2">
        <v>1</v>
      </c>
    </row>
    <row r="28" spans="1:3" x14ac:dyDescent="0.2">
      <c r="B28" s="2" t="s">
        <v>655</v>
      </c>
      <c r="C28" s="2">
        <v>2</v>
      </c>
    </row>
    <row r="29" spans="1:3" x14ac:dyDescent="0.2">
      <c r="A29" s="162" t="s">
        <v>643</v>
      </c>
      <c r="C29" s="4">
        <f>SUM(C30)</f>
        <v>1</v>
      </c>
    </row>
    <row r="30" spans="1:3" x14ac:dyDescent="0.2">
      <c r="B30" s="2" t="s">
        <v>655</v>
      </c>
      <c r="C30" s="2">
        <v>1</v>
      </c>
    </row>
    <row r="31" spans="1:3" x14ac:dyDescent="0.2">
      <c r="A31" s="162" t="s">
        <v>527</v>
      </c>
      <c r="C31" s="4">
        <f>SUM(C32:C33)</f>
        <v>3</v>
      </c>
    </row>
    <row r="32" spans="1:3" x14ac:dyDescent="0.2">
      <c r="B32" s="2" t="s">
        <v>654</v>
      </c>
      <c r="C32" s="2">
        <v>1</v>
      </c>
    </row>
    <row r="33" spans="1:3" x14ac:dyDescent="0.2">
      <c r="B33" s="2" t="s">
        <v>655</v>
      </c>
      <c r="C33" s="2">
        <v>2</v>
      </c>
    </row>
    <row r="34" spans="1:3" x14ac:dyDescent="0.2">
      <c r="A34" s="163" t="s">
        <v>33</v>
      </c>
      <c r="B34" s="163"/>
      <c r="C34" s="163">
        <f>SUM(C4+C10+C15+C17+C19+C23+C26+C29+C31)</f>
        <v>47</v>
      </c>
    </row>
    <row r="36" spans="1:3" x14ac:dyDescent="0.2">
      <c r="A36" s="8" t="s">
        <v>677</v>
      </c>
      <c r="B36" s="8"/>
      <c r="C36" s="8"/>
    </row>
  </sheetData>
  <pageMargins left="0.7" right="0.7" top="0.75" bottom="0.75" header="0.3" footer="0.3"/>
  <pageSetup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C00000"/>
  </sheetPr>
  <dimension ref="A1:E20"/>
  <sheetViews>
    <sheetView showGridLines="0" topLeftCell="A7" zoomScale="90" workbookViewId="0">
      <selection activeCell="E24" sqref="E24"/>
    </sheetView>
  </sheetViews>
  <sheetFormatPr baseColWidth="10" defaultColWidth="8.83203125" defaultRowHeight="15" x14ac:dyDescent="0.2"/>
  <cols>
    <col min="1" max="1" width="12.83203125" style="2" bestFit="1" customWidth="1"/>
    <col min="2" max="2" width="14" style="2" bestFit="1" customWidth="1"/>
    <col min="3" max="3" width="10.5" style="2" bestFit="1" customWidth="1"/>
    <col min="4" max="5" width="23.5" style="2" bestFit="1" customWidth="1"/>
    <col min="6" max="16384" width="8.83203125" style="2"/>
  </cols>
  <sheetData>
    <row r="1" spans="1:5" ht="16" x14ac:dyDescent="0.2">
      <c r="A1" s="1" t="s">
        <v>684</v>
      </c>
      <c r="B1" s="1"/>
      <c r="C1" s="1"/>
      <c r="D1" s="1"/>
      <c r="E1" s="1"/>
    </row>
    <row r="2" spans="1:5" ht="16" x14ac:dyDescent="0.2">
      <c r="A2" s="1"/>
      <c r="B2" s="1"/>
      <c r="C2" s="1"/>
      <c r="D2" s="1"/>
      <c r="E2" s="1"/>
    </row>
    <row r="3" spans="1:5" ht="16" x14ac:dyDescent="0.2">
      <c r="A3" s="254" t="s">
        <v>64</v>
      </c>
      <c r="B3" s="254" t="s">
        <v>95</v>
      </c>
      <c r="C3" s="254" t="s">
        <v>451</v>
      </c>
      <c r="D3" s="256" t="s">
        <v>678</v>
      </c>
      <c r="E3" s="256"/>
    </row>
    <row r="4" spans="1:5" x14ac:dyDescent="0.2">
      <c r="A4" s="255"/>
      <c r="B4" s="255"/>
      <c r="C4" s="255"/>
      <c r="D4" s="3" t="s">
        <v>679</v>
      </c>
      <c r="E4" s="3" t="s">
        <v>680</v>
      </c>
    </row>
    <row r="5" spans="1:5" x14ac:dyDescent="0.2">
      <c r="A5" s="31" t="s">
        <v>71</v>
      </c>
      <c r="B5" s="17">
        <v>57</v>
      </c>
      <c r="C5" s="17">
        <v>59</v>
      </c>
      <c r="D5" s="17">
        <v>1693</v>
      </c>
      <c r="E5" s="17">
        <v>1753</v>
      </c>
    </row>
    <row r="6" spans="1:5" x14ac:dyDescent="0.2">
      <c r="A6" s="31" t="s">
        <v>72</v>
      </c>
      <c r="B6" s="17">
        <v>11</v>
      </c>
      <c r="C6" s="17">
        <v>13</v>
      </c>
      <c r="D6" s="17">
        <v>437</v>
      </c>
      <c r="E6" s="17">
        <v>441</v>
      </c>
    </row>
    <row r="7" spans="1:5" x14ac:dyDescent="0.2">
      <c r="A7" s="31" t="s">
        <v>73</v>
      </c>
      <c r="B7" s="17">
        <v>33</v>
      </c>
      <c r="C7" s="17">
        <v>45</v>
      </c>
      <c r="D7" s="17">
        <v>1992</v>
      </c>
      <c r="E7" s="17">
        <v>2065</v>
      </c>
    </row>
    <row r="8" spans="1:5" x14ac:dyDescent="0.2">
      <c r="A8" s="31" t="s">
        <v>74</v>
      </c>
      <c r="B8" s="17">
        <v>115</v>
      </c>
      <c r="C8" s="17">
        <v>115</v>
      </c>
      <c r="D8" s="17">
        <v>2128</v>
      </c>
      <c r="E8" s="17">
        <v>2274</v>
      </c>
    </row>
    <row r="9" spans="1:5" x14ac:dyDescent="0.2">
      <c r="A9" s="31" t="s">
        <v>75</v>
      </c>
      <c r="B9" s="17">
        <v>47</v>
      </c>
      <c r="C9" s="17">
        <v>49</v>
      </c>
      <c r="D9" s="17">
        <v>1528</v>
      </c>
      <c r="E9" s="17">
        <v>1670</v>
      </c>
    </row>
    <row r="10" spans="1:5" x14ac:dyDescent="0.2">
      <c r="A10" s="31" t="s">
        <v>76</v>
      </c>
      <c r="B10" s="17">
        <v>45</v>
      </c>
      <c r="C10" s="17">
        <v>45</v>
      </c>
      <c r="D10" s="17">
        <v>1554</v>
      </c>
      <c r="E10" s="17">
        <v>1614</v>
      </c>
    </row>
    <row r="11" spans="1:5" x14ac:dyDescent="0.2">
      <c r="A11" s="31" t="s">
        <v>77</v>
      </c>
      <c r="B11" s="17">
        <v>2</v>
      </c>
      <c r="C11" s="17">
        <v>3</v>
      </c>
      <c r="D11" s="17">
        <v>297</v>
      </c>
      <c r="E11" s="17">
        <v>295</v>
      </c>
    </row>
    <row r="12" spans="1:5" x14ac:dyDescent="0.2">
      <c r="A12" s="31" t="s">
        <v>78</v>
      </c>
      <c r="B12" s="17">
        <v>38</v>
      </c>
      <c r="C12" s="17">
        <v>38</v>
      </c>
      <c r="D12" s="17">
        <v>956</v>
      </c>
      <c r="E12" s="17">
        <v>1063</v>
      </c>
    </row>
    <row r="13" spans="1:5" x14ac:dyDescent="0.2">
      <c r="A13" s="31" t="s">
        <v>79</v>
      </c>
      <c r="B13" s="17">
        <v>10</v>
      </c>
      <c r="C13" s="17">
        <v>11</v>
      </c>
      <c r="D13" s="17">
        <v>453</v>
      </c>
      <c r="E13" s="17">
        <v>408</v>
      </c>
    </row>
    <row r="14" spans="1:5" x14ac:dyDescent="0.2">
      <c r="A14" s="31" t="s">
        <v>80</v>
      </c>
      <c r="B14" s="17">
        <v>28</v>
      </c>
      <c r="C14" s="17">
        <v>28</v>
      </c>
      <c r="D14" s="17">
        <v>914</v>
      </c>
      <c r="E14" s="17">
        <v>927</v>
      </c>
    </row>
    <row r="15" spans="1:5" x14ac:dyDescent="0.2">
      <c r="A15" s="31" t="s">
        <v>81</v>
      </c>
      <c r="B15" s="17">
        <v>21</v>
      </c>
      <c r="C15" s="17">
        <v>21</v>
      </c>
      <c r="D15" s="17">
        <v>295</v>
      </c>
      <c r="E15" s="17">
        <v>314</v>
      </c>
    </row>
    <row r="16" spans="1:5" x14ac:dyDescent="0.2">
      <c r="A16" s="31" t="s">
        <v>82</v>
      </c>
      <c r="B16" s="17">
        <v>2</v>
      </c>
      <c r="C16" s="17">
        <v>3</v>
      </c>
      <c r="D16" s="17">
        <v>303</v>
      </c>
      <c r="E16" s="17">
        <v>292</v>
      </c>
    </row>
    <row r="17" spans="1:5" x14ac:dyDescent="0.2">
      <c r="A17" s="31" t="s">
        <v>83</v>
      </c>
      <c r="B17" s="17">
        <v>3</v>
      </c>
      <c r="C17" s="17">
        <v>3</v>
      </c>
      <c r="D17" s="17">
        <v>97</v>
      </c>
      <c r="E17" s="17">
        <v>80</v>
      </c>
    </row>
    <row r="18" spans="1:5" x14ac:dyDescent="0.2">
      <c r="A18" s="37" t="s">
        <v>84</v>
      </c>
      <c r="B18" s="38">
        <f>SUM(B5:B17)</f>
        <v>412</v>
      </c>
      <c r="C18" s="38">
        <f t="shared" ref="C18:E18" si="0">SUM(C5:C17)</f>
        <v>433</v>
      </c>
      <c r="D18" s="38">
        <f t="shared" si="0"/>
        <v>12647</v>
      </c>
      <c r="E18" s="38">
        <f t="shared" si="0"/>
        <v>13196</v>
      </c>
    </row>
    <row r="20" spans="1:5" x14ac:dyDescent="0.2">
      <c r="A20" s="257" t="s">
        <v>25</v>
      </c>
      <c r="B20" s="257"/>
      <c r="C20" s="257"/>
      <c r="D20" s="257"/>
      <c r="E20" s="257"/>
    </row>
  </sheetData>
  <mergeCells count="5">
    <mergeCell ref="A3:A4"/>
    <mergeCell ref="B3:B4"/>
    <mergeCell ref="C3:C4"/>
    <mergeCell ref="D3:E3"/>
    <mergeCell ref="A20:E20"/>
  </mergeCells>
  <pageMargins left="0.7" right="0.7" top="0.75" bottom="0.75" header="0.3" footer="0.3"/>
  <pageSetup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C00000"/>
  </sheetPr>
  <dimension ref="A1:H21"/>
  <sheetViews>
    <sheetView showGridLines="0" workbookViewId="0">
      <selection activeCell="A22" sqref="A22:E22"/>
    </sheetView>
  </sheetViews>
  <sheetFormatPr baseColWidth="10" defaultColWidth="8.83203125" defaultRowHeight="15" x14ac:dyDescent="0.2"/>
  <cols>
    <col min="1" max="1" width="14" style="2" bestFit="1" customWidth="1"/>
    <col min="2" max="2" width="19.5" style="2" bestFit="1" customWidth="1"/>
    <col min="3" max="3" width="19.33203125" style="2" customWidth="1"/>
    <col min="4" max="4" width="14.1640625" style="2" customWidth="1"/>
    <col min="5" max="5" width="13" style="2" customWidth="1"/>
    <col min="6" max="6" width="4" style="2" customWidth="1"/>
    <col min="7" max="8" width="17.1640625" style="2" customWidth="1"/>
    <col min="9" max="16384" width="8.83203125" style="2"/>
  </cols>
  <sheetData>
    <row r="1" spans="1:8" ht="16" x14ac:dyDescent="0.2">
      <c r="A1" s="1" t="s">
        <v>686</v>
      </c>
      <c r="B1" s="1"/>
      <c r="C1" s="1"/>
      <c r="D1" s="1"/>
      <c r="E1" s="1"/>
      <c r="F1" s="1"/>
      <c r="G1" s="1"/>
      <c r="H1" s="1"/>
    </row>
    <row r="2" spans="1:8" ht="16" x14ac:dyDescent="0.2">
      <c r="A2" s="1"/>
      <c r="B2" s="1"/>
      <c r="C2" s="1"/>
      <c r="D2" s="1"/>
      <c r="E2" s="1"/>
      <c r="F2" s="1"/>
      <c r="G2" s="1"/>
      <c r="H2" s="1"/>
    </row>
    <row r="3" spans="1:8" ht="16" x14ac:dyDescent="0.2">
      <c r="A3" s="254" t="s">
        <v>64</v>
      </c>
      <c r="B3" s="27"/>
      <c r="C3" s="30" t="s">
        <v>681</v>
      </c>
      <c r="D3" s="30"/>
      <c r="E3" s="30"/>
      <c r="F3" s="22"/>
      <c r="G3" s="256" t="s">
        <v>92</v>
      </c>
      <c r="H3" s="256"/>
    </row>
    <row r="4" spans="1:8" x14ac:dyDescent="0.2">
      <c r="A4" s="255"/>
      <c r="B4" s="13" t="s">
        <v>685</v>
      </c>
      <c r="C4" s="13" t="s">
        <v>549</v>
      </c>
      <c r="D4" s="13" t="s">
        <v>550</v>
      </c>
      <c r="E4" s="13" t="s">
        <v>150</v>
      </c>
      <c r="F4" s="3"/>
      <c r="G4" s="3" t="s">
        <v>96</v>
      </c>
      <c r="H4" s="3" t="s">
        <v>682</v>
      </c>
    </row>
    <row r="5" spans="1:8" x14ac:dyDescent="0.2">
      <c r="A5" s="31" t="s">
        <v>71</v>
      </c>
      <c r="B5" s="2">
        <v>20</v>
      </c>
      <c r="C5" s="2">
        <v>49</v>
      </c>
      <c r="D5" s="2">
        <v>18</v>
      </c>
      <c r="E5" s="2">
        <v>0</v>
      </c>
      <c r="G5" s="2">
        <v>48</v>
      </c>
      <c r="H5" s="2">
        <v>39</v>
      </c>
    </row>
    <row r="6" spans="1:8" x14ac:dyDescent="0.2">
      <c r="A6" s="31" t="s">
        <v>72</v>
      </c>
      <c r="B6" s="2">
        <v>7</v>
      </c>
      <c r="C6" s="2">
        <v>52</v>
      </c>
      <c r="D6" s="2">
        <v>36</v>
      </c>
      <c r="E6" s="2">
        <v>0</v>
      </c>
      <c r="G6" s="2">
        <v>56</v>
      </c>
      <c r="H6" s="2">
        <v>39</v>
      </c>
    </row>
    <row r="7" spans="1:8" x14ac:dyDescent="0.2">
      <c r="A7" s="31" t="s">
        <v>73</v>
      </c>
      <c r="B7" s="2">
        <v>295</v>
      </c>
      <c r="C7" s="2">
        <v>419</v>
      </c>
      <c r="D7" s="2">
        <v>287</v>
      </c>
      <c r="E7" s="2">
        <v>109</v>
      </c>
      <c r="G7" s="2">
        <v>523</v>
      </c>
      <c r="H7" s="2">
        <v>485</v>
      </c>
    </row>
    <row r="8" spans="1:8" x14ac:dyDescent="0.2">
      <c r="A8" s="31" t="s">
        <v>74</v>
      </c>
      <c r="B8" s="2">
        <v>19</v>
      </c>
      <c r="C8" s="2">
        <v>23</v>
      </c>
      <c r="D8" s="2">
        <v>10</v>
      </c>
      <c r="E8" s="2">
        <v>0</v>
      </c>
      <c r="G8" s="2">
        <v>32</v>
      </c>
      <c r="H8" s="2">
        <v>20</v>
      </c>
    </row>
    <row r="9" spans="1:8" x14ac:dyDescent="0.2">
      <c r="A9" s="31" t="s">
        <v>75</v>
      </c>
      <c r="B9" s="2">
        <v>135</v>
      </c>
      <c r="C9" s="2">
        <v>111</v>
      </c>
      <c r="D9" s="2">
        <v>71</v>
      </c>
      <c r="E9" s="2">
        <v>2</v>
      </c>
      <c r="G9" s="2">
        <v>182</v>
      </c>
      <c r="H9" s="2">
        <v>137</v>
      </c>
    </row>
    <row r="10" spans="1:8" x14ac:dyDescent="0.2">
      <c r="A10" s="31" t="s">
        <v>76</v>
      </c>
      <c r="B10" s="2">
        <v>6</v>
      </c>
      <c r="C10" s="2">
        <v>76</v>
      </c>
      <c r="D10" s="2">
        <v>22</v>
      </c>
      <c r="E10" s="2">
        <v>0</v>
      </c>
      <c r="G10" s="2">
        <v>57</v>
      </c>
      <c r="H10" s="2">
        <v>47</v>
      </c>
    </row>
    <row r="11" spans="1:8" x14ac:dyDescent="0.2">
      <c r="A11" s="31" t="s">
        <v>77</v>
      </c>
      <c r="B11" s="2">
        <v>1</v>
      </c>
      <c r="C11" s="2">
        <v>23</v>
      </c>
      <c r="D11" s="2">
        <v>28</v>
      </c>
      <c r="E11" s="2">
        <v>0</v>
      </c>
      <c r="G11" s="2">
        <v>32</v>
      </c>
      <c r="H11" s="2">
        <v>20</v>
      </c>
    </row>
    <row r="12" spans="1:8" x14ac:dyDescent="0.2">
      <c r="A12" s="31" t="s">
        <v>78</v>
      </c>
      <c r="B12" s="2">
        <v>114</v>
      </c>
      <c r="C12" s="2">
        <v>84</v>
      </c>
      <c r="D12" s="2">
        <v>26</v>
      </c>
      <c r="E12" s="2">
        <v>0</v>
      </c>
      <c r="G12" s="2">
        <v>117</v>
      </c>
      <c r="H12" s="2">
        <v>107</v>
      </c>
    </row>
    <row r="13" spans="1:8" x14ac:dyDescent="0.2">
      <c r="A13" s="31" t="s">
        <v>79</v>
      </c>
      <c r="B13" s="2">
        <v>2</v>
      </c>
      <c r="C13" s="2">
        <v>32</v>
      </c>
      <c r="D13" s="2">
        <v>15</v>
      </c>
      <c r="E13" s="2">
        <v>0</v>
      </c>
      <c r="G13" s="2">
        <v>27</v>
      </c>
      <c r="H13" s="2">
        <v>22</v>
      </c>
    </row>
    <row r="14" spans="1:8" x14ac:dyDescent="0.2">
      <c r="A14" s="31" t="s">
        <v>80</v>
      </c>
      <c r="B14" s="2">
        <v>14</v>
      </c>
      <c r="C14" s="2">
        <v>44</v>
      </c>
      <c r="D14" s="2">
        <v>14</v>
      </c>
      <c r="E14" s="2">
        <v>0</v>
      </c>
      <c r="G14" s="2">
        <v>38</v>
      </c>
      <c r="H14" s="2">
        <v>34</v>
      </c>
    </row>
    <row r="15" spans="1:8" x14ac:dyDescent="0.2">
      <c r="A15" s="31" t="s">
        <v>81</v>
      </c>
      <c r="B15" s="2">
        <v>5</v>
      </c>
      <c r="C15" s="2">
        <v>11</v>
      </c>
      <c r="D15" s="2">
        <v>11</v>
      </c>
      <c r="E15" s="2">
        <v>0</v>
      </c>
      <c r="G15" s="2">
        <v>18</v>
      </c>
      <c r="H15" s="2">
        <v>9</v>
      </c>
    </row>
    <row r="16" spans="1:8" x14ac:dyDescent="0.2">
      <c r="A16" s="31" t="s">
        <v>82</v>
      </c>
      <c r="B16" s="2">
        <v>8</v>
      </c>
      <c r="C16" s="2">
        <v>7</v>
      </c>
      <c r="D16" s="2">
        <v>8</v>
      </c>
      <c r="E16" s="2">
        <v>0</v>
      </c>
      <c r="G16" s="2">
        <v>12</v>
      </c>
      <c r="H16" s="2">
        <v>11</v>
      </c>
    </row>
    <row r="17" spans="1:8" x14ac:dyDescent="0.2">
      <c r="A17" s="31" t="s">
        <v>83</v>
      </c>
      <c r="B17" s="2">
        <v>6</v>
      </c>
      <c r="C17" s="2">
        <v>7</v>
      </c>
      <c r="D17" s="2">
        <v>12</v>
      </c>
      <c r="E17" s="2">
        <v>0</v>
      </c>
      <c r="G17" s="2">
        <v>10</v>
      </c>
      <c r="H17" s="2">
        <v>15</v>
      </c>
    </row>
    <row r="18" spans="1:8" x14ac:dyDescent="0.2">
      <c r="A18" s="37" t="s">
        <v>84</v>
      </c>
      <c r="B18" s="139">
        <f>SUM(B5:B17)</f>
        <v>632</v>
      </c>
      <c r="C18" s="139">
        <f>SUM(C5:C17)</f>
        <v>938</v>
      </c>
      <c r="D18" s="139">
        <f t="shared" ref="D18:H18" si="0">SUM(D5:D17)</f>
        <v>558</v>
      </c>
      <c r="E18" s="139">
        <f t="shared" si="0"/>
        <v>111</v>
      </c>
      <c r="F18" s="139"/>
      <c r="G18" s="139">
        <f t="shared" si="0"/>
        <v>1152</v>
      </c>
      <c r="H18" s="139">
        <f t="shared" si="0"/>
        <v>985</v>
      </c>
    </row>
    <row r="20" spans="1:8" x14ac:dyDescent="0.2">
      <c r="A20" s="8" t="s">
        <v>25</v>
      </c>
      <c r="B20" s="8"/>
      <c r="C20" s="8"/>
      <c r="D20" s="8"/>
      <c r="E20" s="8"/>
      <c r="F20" s="8"/>
      <c r="G20" s="8"/>
      <c r="H20" s="8"/>
    </row>
    <row r="21" spans="1:8" x14ac:dyDescent="0.2">
      <c r="A21" s="258"/>
      <c r="B21" s="258"/>
      <c r="C21" s="258"/>
      <c r="D21" s="258"/>
      <c r="E21" s="258"/>
      <c r="F21" s="258"/>
      <c r="G21" s="258"/>
      <c r="H21" s="258"/>
    </row>
  </sheetData>
  <mergeCells count="3">
    <mergeCell ref="A3:A4"/>
    <mergeCell ref="G3:H3"/>
    <mergeCell ref="A21:H21"/>
  </mergeCells>
  <pageMargins left="0.7" right="0.7" top="0.75" bottom="0.75" header="0.3" footer="0.3"/>
  <pageSetup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C00000"/>
  </sheetPr>
  <dimension ref="A1:E20"/>
  <sheetViews>
    <sheetView showGridLines="0" workbookViewId="0">
      <selection activeCell="A22" sqref="A22:E22"/>
    </sheetView>
  </sheetViews>
  <sheetFormatPr baseColWidth="10" defaultColWidth="8.83203125" defaultRowHeight="15" x14ac:dyDescent="0.2"/>
  <cols>
    <col min="1" max="2" width="14" style="2" bestFit="1" customWidth="1"/>
    <col min="3" max="3" width="13.5" style="2" customWidth="1"/>
    <col min="4" max="5" width="23.5" style="2" bestFit="1" customWidth="1"/>
    <col min="6" max="16384" width="8.83203125" style="2"/>
  </cols>
  <sheetData>
    <row r="1" spans="1:5" ht="16" x14ac:dyDescent="0.2">
      <c r="A1" s="1" t="s">
        <v>687</v>
      </c>
      <c r="B1" s="1"/>
      <c r="C1" s="1"/>
      <c r="D1" s="1"/>
      <c r="E1" s="1"/>
    </row>
    <row r="2" spans="1:5" ht="16" x14ac:dyDescent="0.2">
      <c r="A2" s="1"/>
      <c r="B2" s="1"/>
      <c r="C2" s="1"/>
      <c r="D2" s="1"/>
      <c r="E2" s="1"/>
    </row>
    <row r="3" spans="1:5" ht="16" x14ac:dyDescent="0.2">
      <c r="A3" s="254" t="s">
        <v>64</v>
      </c>
      <c r="B3" s="254" t="s">
        <v>95</v>
      </c>
      <c r="C3" s="254" t="s">
        <v>451</v>
      </c>
      <c r="D3" s="256" t="s">
        <v>678</v>
      </c>
      <c r="E3" s="256"/>
    </row>
    <row r="4" spans="1:5" x14ac:dyDescent="0.2">
      <c r="A4" s="255"/>
      <c r="B4" s="255"/>
      <c r="C4" s="255"/>
      <c r="D4" s="3" t="s">
        <v>679</v>
      </c>
      <c r="E4" s="3" t="s">
        <v>680</v>
      </c>
    </row>
    <row r="5" spans="1:5" x14ac:dyDescent="0.2">
      <c r="A5" s="31" t="s">
        <v>71</v>
      </c>
      <c r="B5" s="2">
        <v>57</v>
      </c>
      <c r="C5" s="2">
        <v>59</v>
      </c>
      <c r="D5" s="17">
        <v>1659</v>
      </c>
      <c r="E5" s="17">
        <v>1724</v>
      </c>
    </row>
    <row r="6" spans="1:5" x14ac:dyDescent="0.2">
      <c r="A6" s="31" t="s">
        <v>72</v>
      </c>
      <c r="B6" s="2">
        <v>11</v>
      </c>
      <c r="C6" s="2">
        <v>13</v>
      </c>
      <c r="D6" s="17">
        <v>430</v>
      </c>
      <c r="E6" s="17">
        <v>448</v>
      </c>
    </row>
    <row r="7" spans="1:5" x14ac:dyDescent="0.2">
      <c r="A7" s="31" t="s">
        <v>73</v>
      </c>
      <c r="B7" s="2">
        <v>27</v>
      </c>
      <c r="C7" s="2">
        <v>35</v>
      </c>
      <c r="D7" s="17">
        <v>1005</v>
      </c>
      <c r="E7" s="17">
        <v>1047</v>
      </c>
    </row>
    <row r="8" spans="1:5" x14ac:dyDescent="0.2">
      <c r="A8" s="31" t="s">
        <v>74</v>
      </c>
      <c r="B8" s="2">
        <v>115</v>
      </c>
      <c r="C8" s="2">
        <v>115</v>
      </c>
      <c r="D8" s="17">
        <v>2062</v>
      </c>
      <c r="E8" s="17">
        <v>2147</v>
      </c>
    </row>
    <row r="9" spans="1:5" x14ac:dyDescent="0.2">
      <c r="A9" s="31" t="s">
        <v>75</v>
      </c>
      <c r="B9" s="2">
        <v>47</v>
      </c>
      <c r="C9" s="2">
        <v>49</v>
      </c>
      <c r="D9" s="17">
        <v>1538</v>
      </c>
      <c r="E9" s="17">
        <v>1600</v>
      </c>
    </row>
    <row r="10" spans="1:5" x14ac:dyDescent="0.2">
      <c r="A10" s="31" t="s">
        <v>76</v>
      </c>
      <c r="B10" s="2">
        <v>45</v>
      </c>
      <c r="C10" s="2">
        <v>45</v>
      </c>
      <c r="D10" s="17">
        <v>1552</v>
      </c>
      <c r="E10" s="17">
        <v>1616</v>
      </c>
    </row>
    <row r="11" spans="1:5" x14ac:dyDescent="0.2">
      <c r="A11" s="31" t="s">
        <v>77</v>
      </c>
      <c r="B11" s="2">
        <v>2</v>
      </c>
      <c r="C11" s="2">
        <v>3</v>
      </c>
      <c r="D11" s="2">
        <v>290</v>
      </c>
      <c r="E11" s="2">
        <v>302</v>
      </c>
    </row>
    <row r="12" spans="1:5" x14ac:dyDescent="0.2">
      <c r="A12" s="31" t="s">
        <v>78</v>
      </c>
      <c r="B12" s="2">
        <v>38</v>
      </c>
      <c r="C12" s="2">
        <v>38</v>
      </c>
      <c r="D12" s="2">
        <v>989</v>
      </c>
      <c r="E12" s="17">
        <v>1030</v>
      </c>
    </row>
    <row r="13" spans="1:5" x14ac:dyDescent="0.2">
      <c r="A13" s="31" t="s">
        <v>79</v>
      </c>
      <c r="B13" s="2">
        <v>10</v>
      </c>
      <c r="C13" s="2">
        <v>11</v>
      </c>
      <c r="D13" s="2">
        <v>421</v>
      </c>
      <c r="E13" s="2">
        <v>439</v>
      </c>
    </row>
    <row r="14" spans="1:5" x14ac:dyDescent="0.2">
      <c r="A14" s="31" t="s">
        <v>80</v>
      </c>
      <c r="B14" s="2">
        <v>28</v>
      </c>
      <c r="C14" s="2">
        <v>28</v>
      </c>
      <c r="D14" s="2">
        <v>895</v>
      </c>
      <c r="E14" s="2">
        <v>931</v>
      </c>
    </row>
    <row r="15" spans="1:5" x14ac:dyDescent="0.2">
      <c r="A15" s="31" t="s">
        <v>81</v>
      </c>
      <c r="B15" s="2">
        <v>21</v>
      </c>
      <c r="C15" s="2">
        <v>21</v>
      </c>
      <c r="D15" s="2">
        <v>295</v>
      </c>
      <c r="E15" s="2">
        <v>308</v>
      </c>
    </row>
    <row r="16" spans="1:5" x14ac:dyDescent="0.2">
      <c r="A16" s="31" t="s">
        <v>82</v>
      </c>
      <c r="B16" s="2">
        <v>2</v>
      </c>
      <c r="C16" s="2">
        <v>3</v>
      </c>
      <c r="D16" s="2">
        <v>292</v>
      </c>
      <c r="E16" s="2">
        <v>303</v>
      </c>
    </row>
    <row r="17" spans="1:5" x14ac:dyDescent="0.2">
      <c r="A17" s="31" t="s">
        <v>83</v>
      </c>
      <c r="B17" s="2">
        <v>3</v>
      </c>
      <c r="C17" s="2">
        <v>3</v>
      </c>
      <c r="D17" s="2">
        <v>87</v>
      </c>
      <c r="E17" s="2">
        <v>90</v>
      </c>
    </row>
    <row r="18" spans="1:5" x14ac:dyDescent="0.2">
      <c r="A18" s="37" t="s">
        <v>84</v>
      </c>
      <c r="B18" s="38">
        <f>SUM(B5:B17)</f>
        <v>406</v>
      </c>
      <c r="C18" s="38">
        <f t="shared" ref="C18:E18" si="0">SUM(C5:C17)</f>
        <v>423</v>
      </c>
      <c r="D18" s="38">
        <f t="shared" si="0"/>
        <v>11515</v>
      </c>
      <c r="E18" s="38">
        <f t="shared" si="0"/>
        <v>11985</v>
      </c>
    </row>
    <row r="20" spans="1:5" x14ac:dyDescent="0.2">
      <c r="A20" s="257" t="s">
        <v>25</v>
      </c>
      <c r="B20" s="257"/>
      <c r="C20" s="257"/>
      <c r="D20" s="257"/>
      <c r="E20" s="257"/>
    </row>
  </sheetData>
  <mergeCells count="5">
    <mergeCell ref="A3:A4"/>
    <mergeCell ref="B3:B4"/>
    <mergeCell ref="C3:C4"/>
    <mergeCell ref="D3:E3"/>
    <mergeCell ref="A20:E20"/>
  </mergeCells>
  <pageMargins left="0.7" right="0.7" top="0.75" bottom="0.75" header="0.3" footer="0.3"/>
  <pageSetup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C00000"/>
  </sheetPr>
  <dimension ref="A1:C49"/>
  <sheetViews>
    <sheetView showGridLines="0" zoomScale="90" zoomScaleNormal="90" workbookViewId="0"/>
  </sheetViews>
  <sheetFormatPr baseColWidth="10" defaultColWidth="8.83203125" defaultRowHeight="15" x14ac:dyDescent="0.2"/>
  <cols>
    <col min="1" max="1" width="51.83203125" style="2" bestFit="1" customWidth="1"/>
    <col min="2" max="2" width="51.83203125" style="2" customWidth="1"/>
    <col min="3" max="3" width="30.5" style="2" bestFit="1" customWidth="1"/>
    <col min="4" max="16384" width="8.83203125" style="2"/>
  </cols>
  <sheetData>
    <row r="1" spans="1:3" ht="16" x14ac:dyDescent="0.2">
      <c r="A1" s="44" t="s">
        <v>91</v>
      </c>
      <c r="B1" s="44"/>
      <c r="C1" s="44"/>
    </row>
    <row r="2" spans="1:3" ht="16" x14ac:dyDescent="0.2">
      <c r="A2" s="1"/>
      <c r="B2" s="1"/>
      <c r="C2" s="1"/>
    </row>
    <row r="3" spans="1:3" ht="16" x14ac:dyDescent="0.2">
      <c r="A3" s="254" t="s">
        <v>0</v>
      </c>
      <c r="B3" s="256" t="s">
        <v>1</v>
      </c>
      <c r="C3" s="256"/>
    </row>
    <row r="4" spans="1:3" x14ac:dyDescent="0.2">
      <c r="A4" s="255"/>
      <c r="B4" s="3" t="s">
        <v>2</v>
      </c>
      <c r="C4" s="3" t="s">
        <v>3</v>
      </c>
    </row>
    <row r="5" spans="1:3" x14ac:dyDescent="0.2">
      <c r="A5" s="189" t="s">
        <v>4</v>
      </c>
      <c r="B5" s="9">
        <v>34993073.670000002</v>
      </c>
      <c r="C5" s="10"/>
    </row>
    <row r="6" spans="1:3" x14ac:dyDescent="0.2">
      <c r="A6" s="5" t="s">
        <v>5</v>
      </c>
      <c r="B6" s="10">
        <v>7499869.9100000001</v>
      </c>
      <c r="C6" s="10"/>
    </row>
    <row r="7" spans="1:3" x14ac:dyDescent="0.2">
      <c r="A7" s="5" t="s">
        <v>6</v>
      </c>
      <c r="B7" s="10">
        <v>8859500</v>
      </c>
      <c r="C7" s="10"/>
    </row>
    <row r="8" spans="1:3" x14ac:dyDescent="0.2">
      <c r="A8" s="5" t="s">
        <v>7</v>
      </c>
      <c r="B8" s="10">
        <v>17593703.760000002</v>
      </c>
      <c r="C8" s="10"/>
    </row>
    <row r="9" spans="1:3" x14ac:dyDescent="0.2">
      <c r="A9" s="5" t="s">
        <v>949</v>
      </c>
      <c r="B9" s="10">
        <v>540000</v>
      </c>
      <c r="C9" s="10"/>
    </row>
    <row r="10" spans="1:3" x14ac:dyDescent="0.2">
      <c r="A10" s="5" t="s">
        <v>10</v>
      </c>
      <c r="B10" s="10">
        <v>500000</v>
      </c>
      <c r="C10" s="10"/>
    </row>
    <row r="11" spans="1:3" x14ac:dyDescent="0.2">
      <c r="A11" s="190" t="s">
        <v>8</v>
      </c>
      <c r="B11" s="9">
        <v>9015121</v>
      </c>
      <c r="C11" s="10"/>
    </row>
    <row r="12" spans="1:3" x14ac:dyDescent="0.2">
      <c r="A12" s="5" t="s">
        <v>11</v>
      </c>
      <c r="B12" s="10">
        <v>4515121</v>
      </c>
      <c r="C12" s="10"/>
    </row>
    <row r="13" spans="1:3" x14ac:dyDescent="0.2">
      <c r="A13" s="5" t="s">
        <v>12</v>
      </c>
      <c r="B13" s="10">
        <v>4500000</v>
      </c>
      <c r="C13" s="10"/>
    </row>
    <row r="14" spans="1:3" x14ac:dyDescent="0.2">
      <c r="A14" s="190" t="s">
        <v>13</v>
      </c>
      <c r="B14" s="9">
        <v>995585.8</v>
      </c>
      <c r="C14" s="10"/>
    </row>
    <row r="15" spans="1:3" x14ac:dyDescent="0.2">
      <c r="A15" s="190" t="s">
        <v>14</v>
      </c>
      <c r="B15" s="9">
        <v>12496998.82</v>
      </c>
      <c r="C15" s="10"/>
    </row>
    <row r="16" spans="1:3" x14ac:dyDescent="0.2">
      <c r="A16" s="190" t="s">
        <v>15</v>
      </c>
      <c r="B16" s="9">
        <v>3250000</v>
      </c>
      <c r="C16" s="10"/>
    </row>
    <row r="17" spans="1:3" x14ac:dyDescent="0.2">
      <c r="A17" s="190" t="s">
        <v>16</v>
      </c>
      <c r="B17" s="9">
        <v>787500</v>
      </c>
      <c r="C17" s="10"/>
    </row>
    <row r="18" spans="1:3" x14ac:dyDescent="0.2">
      <c r="A18" s="190" t="s">
        <v>17</v>
      </c>
      <c r="B18" s="9">
        <v>4492800</v>
      </c>
      <c r="C18" s="10"/>
    </row>
    <row r="19" spans="1:3" x14ac:dyDescent="0.2">
      <c r="A19" s="190" t="s">
        <v>18</v>
      </c>
      <c r="B19" s="9">
        <v>5985000</v>
      </c>
      <c r="C19" s="10"/>
    </row>
    <row r="20" spans="1:3" x14ac:dyDescent="0.2">
      <c r="A20" s="190" t="s">
        <v>9</v>
      </c>
      <c r="B20" s="9">
        <v>10048553.380000001</v>
      </c>
      <c r="C20" s="10"/>
    </row>
    <row r="21" spans="1:3" ht="16" x14ac:dyDescent="0.2">
      <c r="A21" s="11" t="s">
        <v>19</v>
      </c>
      <c r="B21" s="12">
        <v>5048553.38</v>
      </c>
      <c r="C21" s="10"/>
    </row>
    <row r="22" spans="1:3" x14ac:dyDescent="0.2">
      <c r="A22" s="2" t="s">
        <v>20</v>
      </c>
      <c r="B22" s="10">
        <v>5000000</v>
      </c>
      <c r="C22" s="10"/>
    </row>
    <row r="23" spans="1:3" ht="14.5" customHeight="1" x14ac:dyDescent="0.2">
      <c r="A23" s="190" t="s">
        <v>21</v>
      </c>
      <c r="B23" s="9">
        <v>15701141.029999999</v>
      </c>
      <c r="C23" s="10"/>
    </row>
    <row r="24" spans="1:3" ht="16" x14ac:dyDescent="0.2">
      <c r="A24" s="11" t="s">
        <v>22</v>
      </c>
      <c r="B24" s="12">
        <v>3804152.43</v>
      </c>
      <c r="C24" s="10"/>
    </row>
    <row r="25" spans="1:3" x14ac:dyDescent="0.2">
      <c r="A25" s="2" t="s">
        <v>23</v>
      </c>
      <c r="B25" s="10">
        <v>2372965.6</v>
      </c>
      <c r="C25" s="10"/>
    </row>
    <row r="26" spans="1:3" x14ac:dyDescent="0.2">
      <c r="A26" s="2" t="s">
        <v>24</v>
      </c>
      <c r="B26" s="10">
        <v>9524023</v>
      </c>
      <c r="C26" s="10"/>
    </row>
    <row r="27" spans="1:3" x14ac:dyDescent="0.2">
      <c r="A27" s="190" t="s">
        <v>947</v>
      </c>
      <c r="B27" s="9"/>
      <c r="C27" s="9">
        <v>64174334.840000004</v>
      </c>
    </row>
    <row r="28" spans="1:3" x14ac:dyDescent="0.2">
      <c r="A28" s="2" t="s">
        <v>950</v>
      </c>
      <c r="B28" s="10"/>
      <c r="C28" s="10">
        <v>12868228</v>
      </c>
    </row>
    <row r="29" spans="1:3" x14ac:dyDescent="0.2">
      <c r="A29" s="2" t="s">
        <v>951</v>
      </c>
      <c r="B29" s="10"/>
      <c r="C29" s="10">
        <v>51306106.840000004</v>
      </c>
    </row>
    <row r="30" spans="1:3" x14ac:dyDescent="0.2">
      <c r="A30" s="6"/>
      <c r="B30" s="7"/>
      <c r="C30" s="7"/>
    </row>
    <row r="31" spans="1:3" x14ac:dyDescent="0.2">
      <c r="A31" s="5"/>
    </row>
    <row r="32" spans="1:3" x14ac:dyDescent="0.2">
      <c r="A32" s="8" t="s">
        <v>26</v>
      </c>
    </row>
    <row r="33" spans="1:1" x14ac:dyDescent="0.2">
      <c r="A33" s="8" t="s">
        <v>952</v>
      </c>
    </row>
    <row r="34" spans="1:1" x14ac:dyDescent="0.2">
      <c r="A34" s="8" t="s">
        <v>953</v>
      </c>
    </row>
    <row r="35" spans="1:1" x14ac:dyDescent="0.2">
      <c r="A35" s="8" t="s">
        <v>954</v>
      </c>
    </row>
    <row r="36" spans="1:1" x14ac:dyDescent="0.2">
      <c r="A36" s="8" t="s">
        <v>955</v>
      </c>
    </row>
    <row r="37" spans="1:1" x14ac:dyDescent="0.2">
      <c r="A37" s="8" t="s">
        <v>956</v>
      </c>
    </row>
    <row r="38" spans="1:1" x14ac:dyDescent="0.2">
      <c r="A38" s="8" t="s">
        <v>957</v>
      </c>
    </row>
    <row r="39" spans="1:1" x14ac:dyDescent="0.2">
      <c r="A39" s="8" t="s">
        <v>958</v>
      </c>
    </row>
    <row r="40" spans="1:1" x14ac:dyDescent="0.2">
      <c r="A40" s="8" t="s">
        <v>959</v>
      </c>
    </row>
    <row r="41" spans="1:1" x14ac:dyDescent="0.2">
      <c r="A41" s="8" t="s">
        <v>960</v>
      </c>
    </row>
    <row r="42" spans="1:1" x14ac:dyDescent="0.2">
      <c r="A42" s="8" t="s">
        <v>961</v>
      </c>
    </row>
    <row r="43" spans="1:1" x14ac:dyDescent="0.2">
      <c r="A43" s="8" t="s">
        <v>962</v>
      </c>
    </row>
    <row r="44" spans="1:1" x14ac:dyDescent="0.2">
      <c r="A44" s="8" t="s">
        <v>963</v>
      </c>
    </row>
    <row r="45" spans="1:1" x14ac:dyDescent="0.2">
      <c r="A45" s="8" t="s">
        <v>964</v>
      </c>
    </row>
    <row r="46" spans="1:1" x14ac:dyDescent="0.2">
      <c r="A46" s="8" t="s">
        <v>965</v>
      </c>
    </row>
    <row r="47" spans="1:1" x14ac:dyDescent="0.2">
      <c r="A47" s="8" t="s">
        <v>966</v>
      </c>
    </row>
    <row r="49" spans="1:3" x14ac:dyDescent="0.2">
      <c r="A49" s="257" t="s">
        <v>25</v>
      </c>
      <c r="B49" s="257"/>
      <c r="C49" s="257"/>
    </row>
  </sheetData>
  <mergeCells count="3">
    <mergeCell ref="A3:A4"/>
    <mergeCell ref="B3:C3"/>
    <mergeCell ref="A49:C49"/>
  </mergeCells>
  <pageMargins left="0.7" right="0.7" top="0.75" bottom="0.75" header="0.3" footer="0.3"/>
  <pageSetup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C00000"/>
  </sheetPr>
  <dimension ref="A1:E12"/>
  <sheetViews>
    <sheetView showGridLines="0" workbookViewId="0">
      <selection activeCell="A22" sqref="A22:E22"/>
    </sheetView>
  </sheetViews>
  <sheetFormatPr baseColWidth="10" defaultColWidth="8.83203125" defaultRowHeight="15" x14ac:dyDescent="0.2"/>
  <cols>
    <col min="1" max="1" width="14" style="2" bestFit="1" customWidth="1"/>
    <col min="2" max="2" width="25.83203125" style="2" bestFit="1" customWidth="1"/>
    <col min="3" max="3" width="27" style="2" bestFit="1" customWidth="1"/>
    <col min="4" max="4" width="34.1640625" style="2" bestFit="1" customWidth="1"/>
    <col min="5" max="5" width="21.1640625" style="2" bestFit="1" customWidth="1"/>
    <col min="6" max="16384" width="8.83203125" style="2"/>
  </cols>
  <sheetData>
    <row r="1" spans="1:5" ht="16" x14ac:dyDescent="0.2">
      <c r="A1" s="253" t="s">
        <v>688</v>
      </c>
      <c r="B1" s="253"/>
      <c r="C1" s="253"/>
      <c r="D1" s="253"/>
      <c r="E1" s="253"/>
    </row>
    <row r="2" spans="1:5" ht="16" x14ac:dyDescent="0.2">
      <c r="A2" s="1"/>
      <c r="B2" s="1"/>
      <c r="C2" s="1"/>
      <c r="D2" s="1"/>
      <c r="E2" s="1"/>
    </row>
    <row r="3" spans="1:5" ht="16" x14ac:dyDescent="0.2">
      <c r="A3" s="254" t="s">
        <v>64</v>
      </c>
      <c r="B3" s="254" t="s">
        <v>95</v>
      </c>
      <c r="C3" s="256" t="s">
        <v>92</v>
      </c>
      <c r="D3" s="256"/>
      <c r="E3" s="254" t="s">
        <v>70</v>
      </c>
    </row>
    <row r="4" spans="1:5" x14ac:dyDescent="0.2">
      <c r="A4" s="255"/>
      <c r="B4" s="255" t="s">
        <v>683</v>
      </c>
      <c r="C4" s="3" t="s">
        <v>96</v>
      </c>
      <c r="D4" s="3" t="s">
        <v>682</v>
      </c>
      <c r="E4" s="255"/>
    </row>
    <row r="5" spans="1:5" x14ac:dyDescent="0.2">
      <c r="A5" s="31" t="s">
        <v>73</v>
      </c>
      <c r="B5" s="2">
        <v>3</v>
      </c>
      <c r="C5" s="2">
        <v>38</v>
      </c>
      <c r="D5" s="2">
        <v>16</v>
      </c>
      <c r="E5" s="10">
        <v>2205000</v>
      </c>
    </row>
    <row r="6" spans="1:5" x14ac:dyDescent="0.2">
      <c r="A6" s="31" t="s">
        <v>75</v>
      </c>
      <c r="B6" s="2">
        <v>1</v>
      </c>
      <c r="C6" s="2">
        <v>27</v>
      </c>
      <c r="D6" s="2">
        <v>6</v>
      </c>
      <c r="E6" s="10">
        <v>1350000</v>
      </c>
    </row>
    <row r="7" spans="1:5" x14ac:dyDescent="0.2">
      <c r="A7" s="31" t="s">
        <v>76</v>
      </c>
      <c r="B7" s="2">
        <v>1</v>
      </c>
      <c r="C7" s="2">
        <v>16</v>
      </c>
      <c r="D7" s="2">
        <v>5</v>
      </c>
      <c r="E7" s="10">
        <v>945000</v>
      </c>
    </row>
    <row r="8" spans="1:5" x14ac:dyDescent="0.2">
      <c r="A8" s="37" t="s">
        <v>84</v>
      </c>
      <c r="B8" s="38">
        <f>SUM(B5:B7)</f>
        <v>5</v>
      </c>
      <c r="C8" s="38">
        <f t="shared" ref="C8:E8" si="0">SUM(C5:C7)</f>
        <v>81</v>
      </c>
      <c r="D8" s="38">
        <f t="shared" si="0"/>
        <v>27</v>
      </c>
      <c r="E8" s="148">
        <f t="shared" si="0"/>
        <v>4500000</v>
      </c>
    </row>
    <row r="9" spans="1:5" x14ac:dyDescent="0.2">
      <c r="E9" s="17"/>
    </row>
    <row r="10" spans="1:5" x14ac:dyDescent="0.2">
      <c r="A10" s="164" t="s">
        <v>689</v>
      </c>
      <c r="B10" s="47"/>
      <c r="C10" s="47"/>
      <c r="E10" s="17"/>
    </row>
    <row r="11" spans="1:5" x14ac:dyDescent="0.2">
      <c r="A11" s="8" t="s">
        <v>25</v>
      </c>
      <c r="B11" s="8"/>
      <c r="C11" s="8"/>
      <c r="D11" s="8"/>
      <c r="E11" s="8"/>
    </row>
    <row r="12" spans="1:5" x14ac:dyDescent="0.2">
      <c r="A12" s="258"/>
      <c r="B12" s="258"/>
      <c r="C12" s="258"/>
      <c r="D12" s="258"/>
      <c r="E12" s="258"/>
    </row>
  </sheetData>
  <mergeCells count="6">
    <mergeCell ref="A1:E1"/>
    <mergeCell ref="A3:A4"/>
    <mergeCell ref="E3:E4"/>
    <mergeCell ref="A12:E12"/>
    <mergeCell ref="C3:D3"/>
    <mergeCell ref="B3:B4"/>
  </mergeCells>
  <pageMargins left="0.7" right="0.7" top="0.75" bottom="0.75" header="0.3" footer="0.3"/>
  <pageSetup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C00000"/>
  </sheetPr>
  <dimension ref="A1:J25"/>
  <sheetViews>
    <sheetView showGridLines="0" workbookViewId="0">
      <selection activeCell="D29" sqref="D29"/>
    </sheetView>
  </sheetViews>
  <sheetFormatPr baseColWidth="10" defaultColWidth="8.83203125" defaultRowHeight="15" x14ac:dyDescent="0.2"/>
  <cols>
    <col min="1" max="1" width="12.83203125" style="2" bestFit="1" customWidth="1"/>
    <col min="2" max="2" width="13.1640625" style="2" bestFit="1" customWidth="1"/>
    <col min="3" max="4" width="21" style="2" customWidth="1"/>
    <col min="5" max="5" width="21.1640625" style="2" bestFit="1" customWidth="1"/>
    <col min="6" max="9" width="8.83203125" style="2"/>
    <col min="10" max="10" width="11.1640625" style="2" bestFit="1" customWidth="1"/>
    <col min="11" max="16384" width="8.83203125" style="2"/>
  </cols>
  <sheetData>
    <row r="1" spans="1:10" ht="16" x14ac:dyDescent="0.2">
      <c r="A1" s="44" t="s">
        <v>93</v>
      </c>
      <c r="B1" s="44"/>
      <c r="C1" s="44"/>
      <c r="D1" s="44"/>
      <c r="E1" s="44"/>
      <c r="F1" s="47"/>
      <c r="G1" s="47"/>
    </row>
    <row r="2" spans="1:10" ht="16" x14ac:dyDescent="0.2">
      <c r="A2" s="1"/>
      <c r="B2" s="1"/>
      <c r="C2" s="1"/>
      <c r="D2" s="1"/>
      <c r="E2" s="1"/>
    </row>
    <row r="3" spans="1:10" ht="16" x14ac:dyDescent="0.2">
      <c r="A3" s="275" t="s">
        <v>64</v>
      </c>
      <c r="B3" s="275" t="s">
        <v>95</v>
      </c>
      <c r="C3" s="269" t="s">
        <v>92</v>
      </c>
      <c r="D3" s="269"/>
      <c r="E3" s="275" t="s">
        <v>70</v>
      </c>
    </row>
    <row r="4" spans="1:10" ht="16" x14ac:dyDescent="0.2">
      <c r="A4" s="276"/>
      <c r="B4" s="276"/>
      <c r="C4" s="36" t="s">
        <v>96</v>
      </c>
      <c r="D4" s="36" t="s">
        <v>97</v>
      </c>
      <c r="E4" s="276"/>
    </row>
    <row r="5" spans="1:10" x14ac:dyDescent="0.2">
      <c r="A5" s="31" t="s">
        <v>71</v>
      </c>
      <c r="B5" s="2">
        <v>11</v>
      </c>
      <c r="C5" s="2">
        <v>30</v>
      </c>
      <c r="D5" s="2">
        <v>27</v>
      </c>
      <c r="E5" s="10">
        <v>278307.71999999997</v>
      </c>
    </row>
    <row r="6" spans="1:10" x14ac:dyDescent="0.2">
      <c r="A6" s="31" t="s">
        <v>72</v>
      </c>
      <c r="B6" s="2">
        <v>9</v>
      </c>
      <c r="C6" s="2">
        <v>36</v>
      </c>
      <c r="D6" s="2">
        <v>4</v>
      </c>
      <c r="E6" s="10">
        <v>137121.60000000001</v>
      </c>
    </row>
    <row r="7" spans="1:10" x14ac:dyDescent="0.2">
      <c r="A7" s="31" t="s">
        <v>73</v>
      </c>
      <c r="B7" s="2">
        <v>25</v>
      </c>
      <c r="C7" s="2">
        <v>318</v>
      </c>
      <c r="D7" s="2">
        <v>260</v>
      </c>
      <c r="E7" s="10">
        <v>2557266.81</v>
      </c>
    </row>
    <row r="8" spans="1:10" x14ac:dyDescent="0.2">
      <c r="A8" s="31" t="s">
        <v>74</v>
      </c>
      <c r="B8" s="2">
        <v>4</v>
      </c>
      <c r="C8" s="2">
        <v>4</v>
      </c>
      <c r="D8" s="2">
        <v>1</v>
      </c>
      <c r="E8" s="10">
        <v>31490</v>
      </c>
      <c r="J8" s="31"/>
    </row>
    <row r="9" spans="1:10" x14ac:dyDescent="0.2">
      <c r="A9" s="31" t="s">
        <v>75</v>
      </c>
      <c r="B9" s="2">
        <v>15</v>
      </c>
      <c r="C9" s="2">
        <v>70</v>
      </c>
      <c r="D9" s="2">
        <v>12</v>
      </c>
      <c r="E9" s="10">
        <v>229500.08</v>
      </c>
      <c r="J9" s="31"/>
    </row>
    <row r="10" spans="1:10" x14ac:dyDescent="0.2">
      <c r="A10" s="31" t="s">
        <v>76</v>
      </c>
      <c r="B10" s="2">
        <v>11</v>
      </c>
      <c r="C10" s="2">
        <v>52</v>
      </c>
      <c r="D10" s="2">
        <v>12</v>
      </c>
      <c r="E10" s="10">
        <v>349764.66</v>
      </c>
      <c r="J10" s="31"/>
    </row>
    <row r="11" spans="1:10" x14ac:dyDescent="0.2">
      <c r="A11" s="31" t="s">
        <v>77</v>
      </c>
      <c r="B11" s="2">
        <v>2</v>
      </c>
      <c r="C11" s="2">
        <v>19</v>
      </c>
      <c r="D11" s="2">
        <v>16</v>
      </c>
      <c r="E11" s="10">
        <v>141728.01</v>
      </c>
      <c r="J11" s="31"/>
    </row>
    <row r="12" spans="1:10" x14ac:dyDescent="0.2">
      <c r="A12" s="31" t="s">
        <v>78</v>
      </c>
      <c r="B12" s="2">
        <v>3</v>
      </c>
      <c r="C12" s="2">
        <v>14</v>
      </c>
      <c r="D12" s="2">
        <v>7</v>
      </c>
      <c r="E12" s="10">
        <v>111929.46</v>
      </c>
      <c r="J12" s="31"/>
    </row>
    <row r="13" spans="1:10" x14ac:dyDescent="0.2">
      <c r="A13" s="31" t="s">
        <v>79</v>
      </c>
      <c r="B13" s="2">
        <v>4</v>
      </c>
      <c r="C13" s="2">
        <v>5</v>
      </c>
      <c r="D13" s="2">
        <v>6</v>
      </c>
      <c r="E13" s="10">
        <v>89470.56</v>
      </c>
      <c r="J13" s="31"/>
    </row>
    <row r="14" spans="1:10" x14ac:dyDescent="0.2">
      <c r="A14" s="31" t="s">
        <v>80</v>
      </c>
      <c r="B14" s="2">
        <v>9</v>
      </c>
      <c r="C14" s="2">
        <v>52</v>
      </c>
      <c r="D14" s="2">
        <v>5</v>
      </c>
      <c r="E14" s="10">
        <v>203882.56</v>
      </c>
      <c r="J14" s="31"/>
    </row>
    <row r="15" spans="1:10" x14ac:dyDescent="0.2">
      <c r="A15" s="31" t="s">
        <v>81</v>
      </c>
      <c r="B15" s="2">
        <v>13</v>
      </c>
      <c r="C15" s="2">
        <v>32</v>
      </c>
      <c r="D15" s="2">
        <v>15</v>
      </c>
      <c r="E15" s="10">
        <v>227931.51999999999</v>
      </c>
      <c r="J15" s="31"/>
    </row>
    <row r="16" spans="1:10" x14ac:dyDescent="0.2">
      <c r="A16" s="31" t="s">
        <v>82</v>
      </c>
      <c r="B16" s="2">
        <v>1</v>
      </c>
      <c r="C16" s="2">
        <v>2</v>
      </c>
      <c r="D16" s="2">
        <v>3</v>
      </c>
      <c r="E16" s="10">
        <v>26500</v>
      </c>
      <c r="J16" s="31"/>
    </row>
    <row r="17" spans="1:10" x14ac:dyDescent="0.2">
      <c r="A17" s="31" t="s">
        <v>83</v>
      </c>
      <c r="B17" s="2">
        <v>4</v>
      </c>
      <c r="C17" s="2">
        <v>17</v>
      </c>
      <c r="D17" s="2">
        <v>4</v>
      </c>
      <c r="E17" s="10">
        <v>130228.02</v>
      </c>
      <c r="J17" s="31"/>
    </row>
    <row r="18" spans="1:10" x14ac:dyDescent="0.2">
      <c r="A18" s="37" t="s">
        <v>84</v>
      </c>
      <c r="B18" s="38">
        <f>SUM(B5:B17)</f>
        <v>111</v>
      </c>
      <c r="C18" s="38">
        <f t="shared" ref="C18:D18" si="0">SUM(C5:C17)</f>
        <v>651</v>
      </c>
      <c r="D18" s="38">
        <f t="shared" si="0"/>
        <v>372</v>
      </c>
      <c r="E18" s="148">
        <f>SUM(E5:E17)</f>
        <v>4515120.9999999991</v>
      </c>
      <c r="J18" s="31"/>
    </row>
    <row r="19" spans="1:10" x14ac:dyDescent="0.2">
      <c r="E19" s="17"/>
      <c r="J19" s="31"/>
    </row>
    <row r="20" spans="1:10" ht="14.5" customHeight="1" x14ac:dyDescent="0.2">
      <c r="A20" s="274" t="s">
        <v>94</v>
      </c>
      <c r="B20" s="274"/>
      <c r="C20" s="274"/>
      <c r="D20" s="274"/>
      <c r="E20" s="274"/>
      <c r="J20" s="31"/>
    </row>
    <row r="21" spans="1:10" x14ac:dyDescent="0.2">
      <c r="A21" s="257" t="s">
        <v>25</v>
      </c>
      <c r="B21" s="257"/>
      <c r="C21" s="257"/>
      <c r="D21" s="257"/>
      <c r="E21" s="257"/>
      <c r="J21" s="31"/>
    </row>
    <row r="22" spans="1:10" x14ac:dyDescent="0.2">
      <c r="A22" s="258"/>
      <c r="B22" s="258"/>
      <c r="C22" s="258"/>
      <c r="D22" s="258"/>
      <c r="E22" s="258"/>
      <c r="J22" s="31"/>
    </row>
    <row r="23" spans="1:10" x14ac:dyDescent="0.2">
      <c r="J23" s="31"/>
    </row>
    <row r="24" spans="1:10" x14ac:dyDescent="0.2">
      <c r="J24" s="31"/>
    </row>
    <row r="25" spans="1:10" x14ac:dyDescent="0.2">
      <c r="J25" s="31"/>
    </row>
  </sheetData>
  <mergeCells count="7">
    <mergeCell ref="A21:E21"/>
    <mergeCell ref="A22:E22"/>
    <mergeCell ref="A20:E20"/>
    <mergeCell ref="A3:A4"/>
    <mergeCell ref="B3:B4"/>
    <mergeCell ref="C3:D3"/>
    <mergeCell ref="E3:E4"/>
  </mergeCells>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00B0F0"/>
  </sheetPr>
  <dimension ref="A1:F19"/>
  <sheetViews>
    <sheetView showGridLines="0" zoomScaleNormal="100" workbookViewId="0">
      <selection activeCell="K12" sqref="K12"/>
    </sheetView>
  </sheetViews>
  <sheetFormatPr baseColWidth="10" defaultColWidth="8.83203125" defaultRowHeight="15" x14ac:dyDescent="0.2"/>
  <cols>
    <col min="1" max="1" width="14" style="2" bestFit="1" customWidth="1"/>
    <col min="2" max="2" width="23.5" style="2" bestFit="1" customWidth="1"/>
    <col min="3" max="3" width="21.1640625" style="2" bestFit="1" customWidth="1"/>
    <col min="4" max="4" width="16.5" style="2" bestFit="1" customWidth="1"/>
    <col min="5" max="5" width="15.33203125" style="2" bestFit="1" customWidth="1"/>
    <col min="6" max="6" width="22.33203125" style="2" bestFit="1" customWidth="1"/>
    <col min="7" max="16384" width="8.83203125" style="2"/>
  </cols>
  <sheetData>
    <row r="1" spans="1:6" ht="16" x14ac:dyDescent="0.2">
      <c r="A1" s="1" t="s">
        <v>738</v>
      </c>
      <c r="B1" s="1"/>
      <c r="C1" s="1"/>
      <c r="D1" s="1"/>
      <c r="E1" s="1"/>
      <c r="F1" s="1"/>
    </row>
    <row r="2" spans="1:6" ht="16" x14ac:dyDescent="0.2">
      <c r="A2" s="1"/>
      <c r="B2" s="1"/>
      <c r="C2" s="1"/>
      <c r="D2" s="1"/>
      <c r="E2" s="1"/>
      <c r="F2" s="1"/>
    </row>
    <row r="3" spans="1:6" x14ac:dyDescent="0.2">
      <c r="A3" s="13" t="s">
        <v>64</v>
      </c>
      <c r="B3" s="13" t="s">
        <v>690</v>
      </c>
      <c r="C3" s="13" t="s">
        <v>691</v>
      </c>
      <c r="D3" s="13" t="s">
        <v>692</v>
      </c>
      <c r="E3" s="13" t="s">
        <v>693</v>
      </c>
      <c r="F3" s="13" t="s">
        <v>694</v>
      </c>
    </row>
    <row r="4" spans="1:6" x14ac:dyDescent="0.2">
      <c r="A4" s="31" t="s">
        <v>71</v>
      </c>
      <c r="B4" s="2">
        <v>35</v>
      </c>
      <c r="C4" s="2">
        <v>0</v>
      </c>
      <c r="D4" s="2">
        <v>7</v>
      </c>
      <c r="E4" s="2">
        <v>63</v>
      </c>
      <c r="F4" s="2">
        <v>0</v>
      </c>
    </row>
    <row r="5" spans="1:6" x14ac:dyDescent="0.2">
      <c r="A5" s="31" t="s">
        <v>72</v>
      </c>
      <c r="B5" s="2">
        <v>23</v>
      </c>
      <c r="C5" s="2">
        <v>1</v>
      </c>
      <c r="D5" s="2">
        <v>5</v>
      </c>
      <c r="E5" s="2">
        <v>5</v>
      </c>
      <c r="F5" s="2">
        <v>0</v>
      </c>
    </row>
    <row r="6" spans="1:6" x14ac:dyDescent="0.2">
      <c r="A6" s="31" t="s">
        <v>73</v>
      </c>
      <c r="B6" s="2">
        <v>125</v>
      </c>
      <c r="C6" s="2">
        <v>6</v>
      </c>
      <c r="D6" s="2">
        <v>40</v>
      </c>
      <c r="E6" s="2">
        <v>49</v>
      </c>
      <c r="F6" s="2">
        <v>0</v>
      </c>
    </row>
    <row r="7" spans="1:6" x14ac:dyDescent="0.2">
      <c r="A7" s="31" t="s">
        <v>74</v>
      </c>
      <c r="B7" s="2">
        <v>58</v>
      </c>
      <c r="C7" s="2">
        <v>0</v>
      </c>
      <c r="D7" s="2">
        <v>3</v>
      </c>
      <c r="E7" s="2">
        <v>9</v>
      </c>
      <c r="F7" s="2">
        <v>80</v>
      </c>
    </row>
    <row r="8" spans="1:6" x14ac:dyDescent="0.2">
      <c r="A8" s="31" t="s">
        <v>75</v>
      </c>
      <c r="B8" s="2">
        <v>83</v>
      </c>
      <c r="C8" s="2">
        <v>0</v>
      </c>
      <c r="D8" s="2">
        <v>18</v>
      </c>
      <c r="E8" s="2">
        <v>24</v>
      </c>
      <c r="F8" s="2">
        <v>34</v>
      </c>
    </row>
    <row r="9" spans="1:6" x14ac:dyDescent="0.2">
      <c r="A9" s="31" t="s">
        <v>76</v>
      </c>
      <c r="B9" s="2">
        <v>34</v>
      </c>
      <c r="C9" s="2">
        <v>0</v>
      </c>
      <c r="D9" s="2">
        <v>6</v>
      </c>
      <c r="E9" s="2">
        <v>18</v>
      </c>
      <c r="F9" s="2">
        <v>54</v>
      </c>
    </row>
    <row r="10" spans="1:6" x14ac:dyDescent="0.2">
      <c r="A10" s="31" t="s">
        <v>77</v>
      </c>
      <c r="B10" s="2">
        <v>7</v>
      </c>
      <c r="C10" s="2">
        <v>0</v>
      </c>
      <c r="D10" s="2">
        <v>5</v>
      </c>
      <c r="E10" s="2">
        <v>3</v>
      </c>
      <c r="F10" s="2">
        <v>0</v>
      </c>
    </row>
    <row r="11" spans="1:6" x14ac:dyDescent="0.2">
      <c r="A11" s="31" t="s">
        <v>78</v>
      </c>
      <c r="B11" s="2">
        <v>34</v>
      </c>
      <c r="C11" s="2">
        <v>0</v>
      </c>
      <c r="D11" s="2">
        <v>13</v>
      </c>
      <c r="E11" s="2">
        <v>6</v>
      </c>
      <c r="F11" s="2">
        <v>48</v>
      </c>
    </row>
    <row r="12" spans="1:6" x14ac:dyDescent="0.2">
      <c r="A12" s="31" t="s">
        <v>79</v>
      </c>
      <c r="B12" s="2">
        <v>12</v>
      </c>
      <c r="C12" s="2">
        <v>0</v>
      </c>
      <c r="D12" s="2">
        <v>1</v>
      </c>
      <c r="E12" s="2">
        <v>3</v>
      </c>
      <c r="F12" s="2">
        <v>0</v>
      </c>
    </row>
    <row r="13" spans="1:6" x14ac:dyDescent="0.2">
      <c r="A13" s="31" t="s">
        <v>80</v>
      </c>
      <c r="B13" s="2">
        <v>31</v>
      </c>
      <c r="C13" s="2">
        <v>1</v>
      </c>
      <c r="D13" s="2">
        <v>2</v>
      </c>
      <c r="E13" s="2">
        <v>5</v>
      </c>
      <c r="F13" s="2">
        <v>0</v>
      </c>
    </row>
    <row r="14" spans="1:6" x14ac:dyDescent="0.2">
      <c r="A14" s="31" t="s">
        <v>81</v>
      </c>
      <c r="B14" s="2">
        <v>23</v>
      </c>
      <c r="C14" s="2">
        <v>0</v>
      </c>
      <c r="D14" s="2">
        <v>0</v>
      </c>
      <c r="E14" s="2">
        <v>0</v>
      </c>
      <c r="F14" s="2">
        <v>0</v>
      </c>
    </row>
    <row r="15" spans="1:6" x14ac:dyDescent="0.2">
      <c r="A15" s="31" t="s">
        <v>82</v>
      </c>
      <c r="B15" s="2">
        <v>13</v>
      </c>
      <c r="C15" s="2">
        <v>0</v>
      </c>
      <c r="D15" s="2">
        <v>9</v>
      </c>
      <c r="E15" s="2">
        <v>2</v>
      </c>
      <c r="F15" s="2">
        <v>0</v>
      </c>
    </row>
    <row r="16" spans="1:6" x14ac:dyDescent="0.2">
      <c r="A16" s="31" t="s">
        <v>83</v>
      </c>
      <c r="B16" s="2">
        <v>14</v>
      </c>
      <c r="C16" s="2">
        <v>0</v>
      </c>
      <c r="D16" s="2">
        <v>11</v>
      </c>
      <c r="E16" s="2">
        <v>5</v>
      </c>
      <c r="F16" s="2">
        <v>0</v>
      </c>
    </row>
    <row r="17" spans="1:6" x14ac:dyDescent="0.2">
      <c r="A17" s="37" t="s">
        <v>84</v>
      </c>
      <c r="B17" s="38">
        <f>SUM(B4:B16)</f>
        <v>492</v>
      </c>
      <c r="C17" s="38">
        <f t="shared" ref="C17:F17" si="0">SUM(C4:C16)</f>
        <v>8</v>
      </c>
      <c r="D17" s="38">
        <f t="shared" si="0"/>
        <v>120</v>
      </c>
      <c r="E17" s="38">
        <f t="shared" si="0"/>
        <v>192</v>
      </c>
      <c r="F17" s="38">
        <f t="shared" si="0"/>
        <v>216</v>
      </c>
    </row>
    <row r="19" spans="1:6" x14ac:dyDescent="0.2">
      <c r="A19" s="257" t="s">
        <v>739</v>
      </c>
      <c r="B19" s="257"/>
      <c r="C19" s="257"/>
      <c r="D19" s="257"/>
      <c r="E19" s="257"/>
      <c r="F19" s="257"/>
    </row>
  </sheetData>
  <mergeCells count="1">
    <mergeCell ref="A19:F19"/>
  </mergeCell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00B0F0"/>
  </sheetPr>
  <dimension ref="A1:G14"/>
  <sheetViews>
    <sheetView showGridLines="0" workbookViewId="0">
      <selection activeCell="A18" sqref="A18"/>
    </sheetView>
  </sheetViews>
  <sheetFormatPr baseColWidth="10" defaultColWidth="8.83203125" defaultRowHeight="15" x14ac:dyDescent="0.2"/>
  <cols>
    <col min="1" max="1" width="15.33203125" style="2" bestFit="1" customWidth="1"/>
    <col min="2" max="2" width="23.5" style="2" bestFit="1" customWidth="1"/>
    <col min="3" max="3" width="10.5" style="2" bestFit="1" customWidth="1"/>
    <col min="4" max="4" width="21.1640625" style="2" bestFit="1" customWidth="1"/>
    <col min="5" max="6" width="8.83203125" style="2"/>
    <col min="7" max="7" width="9.83203125" style="2" bestFit="1" customWidth="1"/>
    <col min="8" max="16384" width="8.83203125" style="2"/>
  </cols>
  <sheetData>
    <row r="1" spans="1:7" ht="16" x14ac:dyDescent="0.2">
      <c r="A1" s="44" t="s">
        <v>740</v>
      </c>
      <c r="B1" s="44"/>
      <c r="C1" s="44"/>
      <c r="D1" s="44"/>
      <c r="E1" s="47"/>
      <c r="F1" s="47"/>
      <c r="G1" s="47"/>
    </row>
    <row r="2" spans="1:7" ht="16" x14ac:dyDescent="0.2">
      <c r="A2" s="1"/>
      <c r="B2" s="1"/>
      <c r="C2" s="1"/>
      <c r="D2" s="1"/>
    </row>
    <row r="3" spans="1:7" x14ac:dyDescent="0.2">
      <c r="A3" s="13" t="s">
        <v>695</v>
      </c>
      <c r="B3" s="13" t="s">
        <v>696</v>
      </c>
      <c r="C3" s="13" t="s">
        <v>29</v>
      </c>
      <c r="D3" s="13" t="s">
        <v>70</v>
      </c>
    </row>
    <row r="4" spans="1:7" ht="16" x14ac:dyDescent="0.2">
      <c r="A4" s="165" t="s">
        <v>697</v>
      </c>
      <c r="B4" s="16"/>
      <c r="C4" s="113">
        <f>SUM(C5)</f>
        <v>492</v>
      </c>
      <c r="D4" s="48">
        <f>SUM(D5)</f>
        <v>57648031.990000002</v>
      </c>
    </row>
    <row r="5" spans="1:7" x14ac:dyDescent="0.2">
      <c r="B5" s="2" t="s">
        <v>698</v>
      </c>
      <c r="C5" s="2">
        <v>492</v>
      </c>
      <c r="D5" s="10">
        <v>57648031.990000002</v>
      </c>
    </row>
    <row r="6" spans="1:7" x14ac:dyDescent="0.2">
      <c r="A6" s="166" t="s">
        <v>699</v>
      </c>
      <c r="C6" s="113">
        <f>SUM(C7:C10)</f>
        <v>536</v>
      </c>
      <c r="D6" s="48">
        <f>SUM(D7:D10)</f>
        <v>11750987.359999999</v>
      </c>
    </row>
    <row r="7" spans="1:7" x14ac:dyDescent="0.2">
      <c r="B7" s="2" t="s">
        <v>700</v>
      </c>
      <c r="C7" s="2">
        <v>8</v>
      </c>
      <c r="D7" s="10">
        <v>879236.05</v>
      </c>
    </row>
    <row r="8" spans="1:7" x14ac:dyDescent="0.2">
      <c r="B8" s="2" t="s">
        <v>701</v>
      </c>
      <c r="C8" s="2">
        <v>120</v>
      </c>
      <c r="D8" s="10">
        <v>7144888.4800000004</v>
      </c>
    </row>
    <row r="9" spans="1:7" x14ac:dyDescent="0.2">
      <c r="B9" s="2" t="s">
        <v>702</v>
      </c>
      <c r="C9" s="2">
        <v>192</v>
      </c>
      <c r="D9" s="10">
        <v>2622269.0699999998</v>
      </c>
    </row>
    <row r="10" spans="1:7" x14ac:dyDescent="0.2">
      <c r="B10" s="2" t="s">
        <v>703</v>
      </c>
      <c r="C10" s="17">
        <v>216</v>
      </c>
      <c r="D10" s="10">
        <v>1104593.76</v>
      </c>
    </row>
    <row r="11" spans="1:7" x14ac:dyDescent="0.2">
      <c r="A11" s="136" t="s">
        <v>33</v>
      </c>
      <c r="B11" s="167"/>
      <c r="C11" s="71">
        <f>SUM(C6+C4)</f>
        <v>1028</v>
      </c>
      <c r="D11" s="171">
        <f>SUM(D6+D4)</f>
        <v>69399019.349999994</v>
      </c>
      <c r="F11" s="17"/>
      <c r="G11" s="17"/>
    </row>
    <row r="13" spans="1:7" x14ac:dyDescent="0.2">
      <c r="A13" s="8" t="s">
        <v>741</v>
      </c>
      <c r="B13" s="8"/>
      <c r="C13" s="8"/>
      <c r="D13" s="8"/>
    </row>
    <row r="14" spans="1:7" x14ac:dyDescent="0.2">
      <c r="A14" s="8" t="s">
        <v>739</v>
      </c>
      <c r="B14" s="8"/>
      <c r="C14" s="8"/>
      <c r="D14" s="8"/>
    </row>
  </sheetData>
  <pageMargins left="0.7" right="0.7" top="0.75" bottom="0.75" header="0.3" footer="0.3"/>
  <pageSetup orientation="portrait"/>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00B0F0"/>
  </sheetPr>
  <dimension ref="A1:C41"/>
  <sheetViews>
    <sheetView showGridLines="0" topLeftCell="A27" workbookViewId="0">
      <selection activeCell="C27" sqref="C27"/>
    </sheetView>
  </sheetViews>
  <sheetFormatPr baseColWidth="10" defaultColWidth="8.83203125" defaultRowHeight="15" x14ac:dyDescent="0.2"/>
  <cols>
    <col min="1" max="1" width="12.83203125" style="2" bestFit="1" customWidth="1"/>
    <col min="2" max="2" width="44.5" style="2" customWidth="1"/>
    <col min="3" max="3" width="24.5" style="2" customWidth="1"/>
    <col min="4" max="16384" width="8.83203125" style="2"/>
  </cols>
  <sheetData>
    <row r="1" spans="1:3" ht="16" x14ac:dyDescent="0.2">
      <c r="A1" s="1" t="s">
        <v>742</v>
      </c>
      <c r="B1" s="1"/>
      <c r="C1" s="1"/>
    </row>
    <row r="2" spans="1:3" ht="16" x14ac:dyDescent="0.2">
      <c r="A2" s="1"/>
      <c r="B2" s="1"/>
      <c r="C2" s="1"/>
    </row>
    <row r="3" spans="1:3" x14ac:dyDescent="0.2">
      <c r="A3" s="13" t="s">
        <v>64</v>
      </c>
      <c r="B3" s="13" t="s">
        <v>704</v>
      </c>
      <c r="C3" s="13" t="s">
        <v>705</v>
      </c>
    </row>
    <row r="4" spans="1:3" x14ac:dyDescent="0.2">
      <c r="A4" s="168" t="s">
        <v>73</v>
      </c>
      <c r="B4" s="169"/>
      <c r="C4" s="168">
        <f>SUM(C5:C19)</f>
        <v>229</v>
      </c>
    </row>
    <row r="5" spans="1:3" x14ac:dyDescent="0.2">
      <c r="B5" s="2" t="s">
        <v>706</v>
      </c>
      <c r="C5" s="2">
        <v>127</v>
      </c>
    </row>
    <row r="6" spans="1:3" x14ac:dyDescent="0.2">
      <c r="B6" s="2" t="s">
        <v>707</v>
      </c>
      <c r="C6" s="2">
        <v>43</v>
      </c>
    </row>
    <row r="7" spans="1:3" x14ac:dyDescent="0.2">
      <c r="B7" s="2" t="s">
        <v>708</v>
      </c>
      <c r="C7" s="2">
        <v>3</v>
      </c>
    </row>
    <row r="8" spans="1:3" x14ac:dyDescent="0.2">
      <c r="B8" s="2" t="s">
        <v>709</v>
      </c>
      <c r="C8" s="2">
        <v>5</v>
      </c>
    </row>
    <row r="9" spans="1:3" x14ac:dyDescent="0.2">
      <c r="B9" s="2" t="s">
        <v>710</v>
      </c>
      <c r="C9" s="2">
        <v>7</v>
      </c>
    </row>
    <row r="10" spans="1:3" x14ac:dyDescent="0.2">
      <c r="B10" s="2" t="s">
        <v>711</v>
      </c>
      <c r="C10" s="2">
        <v>4</v>
      </c>
    </row>
    <row r="11" spans="1:3" x14ac:dyDescent="0.2">
      <c r="B11" s="2" t="s">
        <v>712</v>
      </c>
      <c r="C11" s="2">
        <v>16</v>
      </c>
    </row>
    <row r="12" spans="1:3" x14ac:dyDescent="0.2">
      <c r="B12" s="2" t="s">
        <v>713</v>
      </c>
      <c r="C12" s="2">
        <v>9</v>
      </c>
    </row>
    <row r="13" spans="1:3" x14ac:dyDescent="0.2">
      <c r="B13" s="2" t="s">
        <v>714</v>
      </c>
      <c r="C13" s="2">
        <v>4</v>
      </c>
    </row>
    <row r="14" spans="1:3" x14ac:dyDescent="0.2">
      <c r="B14" s="2" t="s">
        <v>743</v>
      </c>
      <c r="C14" s="2">
        <v>1</v>
      </c>
    </row>
    <row r="15" spans="1:3" x14ac:dyDescent="0.2">
      <c r="B15" s="2" t="s">
        <v>715</v>
      </c>
      <c r="C15" s="2">
        <v>3</v>
      </c>
    </row>
    <row r="16" spans="1:3" x14ac:dyDescent="0.2">
      <c r="B16" s="2" t="s">
        <v>744</v>
      </c>
      <c r="C16" s="2">
        <v>1</v>
      </c>
    </row>
    <row r="17" spans="1:3" x14ac:dyDescent="0.2">
      <c r="B17" s="2" t="s">
        <v>716</v>
      </c>
      <c r="C17" s="2">
        <v>2</v>
      </c>
    </row>
    <row r="18" spans="1:3" x14ac:dyDescent="0.2">
      <c r="B18" s="2" t="s">
        <v>745</v>
      </c>
      <c r="C18" s="2">
        <v>1</v>
      </c>
    </row>
    <row r="19" spans="1:3" x14ac:dyDescent="0.2">
      <c r="B19" s="2" t="s">
        <v>717</v>
      </c>
      <c r="C19" s="2">
        <v>3</v>
      </c>
    </row>
    <row r="20" spans="1:3" x14ac:dyDescent="0.2">
      <c r="A20" s="168" t="s">
        <v>75</v>
      </c>
      <c r="B20" s="169"/>
      <c r="C20" s="168">
        <f>SUM(C21:C29)</f>
        <v>52</v>
      </c>
    </row>
    <row r="21" spans="1:3" x14ac:dyDescent="0.2">
      <c r="B21" s="2" t="s">
        <v>718</v>
      </c>
      <c r="C21" s="2">
        <v>2</v>
      </c>
    </row>
    <row r="22" spans="1:3" x14ac:dyDescent="0.2">
      <c r="B22" s="2" t="s">
        <v>719</v>
      </c>
      <c r="C22" s="2">
        <v>1</v>
      </c>
    </row>
    <row r="23" spans="1:3" x14ac:dyDescent="0.2">
      <c r="B23" s="2" t="s">
        <v>720</v>
      </c>
      <c r="C23" s="2">
        <v>11</v>
      </c>
    </row>
    <row r="24" spans="1:3" x14ac:dyDescent="0.2">
      <c r="B24" s="2" t="s">
        <v>713</v>
      </c>
      <c r="C24" s="2">
        <v>14</v>
      </c>
    </row>
    <row r="25" spans="1:3" x14ac:dyDescent="0.2">
      <c r="B25" s="2" t="s">
        <v>746</v>
      </c>
      <c r="C25" s="2">
        <v>1</v>
      </c>
    </row>
    <row r="26" spans="1:3" x14ac:dyDescent="0.2">
      <c r="B26" s="2" t="s">
        <v>722</v>
      </c>
      <c r="C26" s="2">
        <v>4</v>
      </c>
    </row>
    <row r="27" spans="1:3" x14ac:dyDescent="0.2">
      <c r="B27" s="2" t="s">
        <v>721</v>
      </c>
      <c r="C27" s="2">
        <v>7</v>
      </c>
    </row>
    <row r="28" spans="1:3" x14ac:dyDescent="0.2">
      <c r="B28" s="2" t="s">
        <v>723</v>
      </c>
      <c r="C28" s="2">
        <v>3</v>
      </c>
    </row>
    <row r="29" spans="1:3" x14ac:dyDescent="0.2">
      <c r="B29" s="2" t="s">
        <v>724</v>
      </c>
      <c r="C29" s="2">
        <v>9</v>
      </c>
    </row>
    <row r="30" spans="1:3" x14ac:dyDescent="0.2">
      <c r="A30" s="168" t="s">
        <v>76</v>
      </c>
      <c r="B30" s="169"/>
      <c r="C30" s="168">
        <f>SUM(C31:C33)</f>
        <v>20</v>
      </c>
    </row>
    <row r="31" spans="1:3" x14ac:dyDescent="0.2">
      <c r="B31" s="2" t="s">
        <v>725</v>
      </c>
      <c r="C31" s="2">
        <v>5</v>
      </c>
    </row>
    <row r="32" spans="1:3" x14ac:dyDescent="0.2">
      <c r="B32" s="2" t="s">
        <v>726</v>
      </c>
      <c r="C32" s="2">
        <v>11</v>
      </c>
    </row>
    <row r="33" spans="1:3" x14ac:dyDescent="0.2">
      <c r="B33" s="2" t="s">
        <v>727</v>
      </c>
      <c r="C33" s="2">
        <v>4</v>
      </c>
    </row>
    <row r="34" spans="1:3" x14ac:dyDescent="0.2">
      <c r="A34" s="168" t="s">
        <v>78</v>
      </c>
      <c r="B34" s="169"/>
      <c r="C34" s="168">
        <f>SUM(C35:C36)</f>
        <v>60</v>
      </c>
    </row>
    <row r="35" spans="1:3" x14ac:dyDescent="0.2">
      <c r="B35" s="2" t="s">
        <v>728</v>
      </c>
      <c r="C35" s="2">
        <v>4</v>
      </c>
    </row>
    <row r="36" spans="1:3" x14ac:dyDescent="0.2">
      <c r="B36" s="2" t="s">
        <v>729</v>
      </c>
      <c r="C36" s="2">
        <v>56</v>
      </c>
    </row>
    <row r="37" spans="1:3" x14ac:dyDescent="0.2">
      <c r="A37" s="168" t="s">
        <v>82</v>
      </c>
      <c r="B37" s="169"/>
      <c r="C37" s="168">
        <f>SUM(C38)</f>
        <v>3</v>
      </c>
    </row>
    <row r="38" spans="1:3" x14ac:dyDescent="0.2">
      <c r="B38" s="2" t="s">
        <v>730</v>
      </c>
      <c r="C38" s="2">
        <v>3</v>
      </c>
    </row>
    <row r="39" spans="1:3" x14ac:dyDescent="0.2">
      <c r="A39" s="138" t="s">
        <v>84</v>
      </c>
      <c r="B39" s="170"/>
      <c r="C39" s="138">
        <f>SUM(C37+C34+C30+C20+C4)</f>
        <v>364</v>
      </c>
    </row>
    <row r="41" spans="1:3" x14ac:dyDescent="0.2">
      <c r="A41" s="8" t="s">
        <v>739</v>
      </c>
      <c r="B41" s="8"/>
      <c r="C41" s="8"/>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00B0F0"/>
  </sheetPr>
  <dimension ref="A1:F12"/>
  <sheetViews>
    <sheetView showGridLines="0" workbookViewId="0">
      <selection activeCell="A15" sqref="A15"/>
    </sheetView>
  </sheetViews>
  <sheetFormatPr baseColWidth="10" defaultColWidth="8.83203125" defaultRowHeight="15" x14ac:dyDescent="0.2"/>
  <cols>
    <col min="1" max="1" width="12.83203125" style="2" bestFit="1" customWidth="1"/>
    <col min="2" max="5" width="11.5" style="2" customWidth="1"/>
    <col min="6" max="6" width="7" style="2" bestFit="1" customWidth="1"/>
    <col min="7" max="16384" width="8.83203125" style="2"/>
  </cols>
  <sheetData>
    <row r="1" spans="1:6" ht="16" x14ac:dyDescent="0.2">
      <c r="A1" s="1" t="s">
        <v>747</v>
      </c>
      <c r="B1" s="1"/>
      <c r="C1" s="1"/>
      <c r="D1" s="1"/>
      <c r="E1" s="1"/>
      <c r="F1" s="1"/>
    </row>
    <row r="2" spans="1:6" ht="16" x14ac:dyDescent="0.2">
      <c r="A2" s="1"/>
      <c r="B2" s="1"/>
      <c r="C2" s="1"/>
      <c r="D2" s="1"/>
      <c r="E2" s="1"/>
      <c r="F2" s="1"/>
    </row>
    <row r="3" spans="1:6" x14ac:dyDescent="0.2">
      <c r="A3" s="13" t="s">
        <v>731</v>
      </c>
      <c r="B3" s="13">
        <v>2021</v>
      </c>
      <c r="C3" s="13">
        <v>2022</v>
      </c>
      <c r="D3" s="13">
        <v>2023</v>
      </c>
      <c r="E3" s="13">
        <v>2024</v>
      </c>
      <c r="F3" s="13">
        <v>2025</v>
      </c>
    </row>
    <row r="4" spans="1:6" x14ac:dyDescent="0.2">
      <c r="A4" s="2" t="s">
        <v>732</v>
      </c>
      <c r="B4" s="2">
        <v>105</v>
      </c>
      <c r="C4" s="2">
        <v>76</v>
      </c>
      <c r="D4" s="2">
        <v>69</v>
      </c>
      <c r="E4" s="2">
        <v>77</v>
      </c>
      <c r="F4" s="2">
        <v>104</v>
      </c>
    </row>
    <row r="5" spans="1:6" x14ac:dyDescent="0.2">
      <c r="A5" s="2" t="s">
        <v>733</v>
      </c>
      <c r="B5" s="2">
        <v>0</v>
      </c>
      <c r="C5" s="2">
        <v>0</v>
      </c>
      <c r="D5" s="2">
        <v>0</v>
      </c>
      <c r="E5" s="2">
        <v>0</v>
      </c>
      <c r="F5" s="2">
        <v>0</v>
      </c>
    </row>
    <row r="6" spans="1:6" x14ac:dyDescent="0.2">
      <c r="A6" s="2" t="s">
        <v>734</v>
      </c>
      <c r="B6" s="2">
        <v>53</v>
      </c>
      <c r="C6" s="2">
        <v>47</v>
      </c>
      <c r="D6" s="2">
        <v>35</v>
      </c>
      <c r="E6" s="2">
        <v>31</v>
      </c>
      <c r="F6" s="2">
        <v>20</v>
      </c>
    </row>
    <row r="7" spans="1:6" x14ac:dyDescent="0.2">
      <c r="A7" s="2" t="s">
        <v>735</v>
      </c>
      <c r="B7" s="2">
        <v>350</v>
      </c>
      <c r="C7" s="2">
        <v>185</v>
      </c>
      <c r="D7" s="2">
        <v>100</v>
      </c>
      <c r="E7" s="2">
        <v>104</v>
      </c>
      <c r="F7" s="2">
        <v>69</v>
      </c>
    </row>
    <row r="8" spans="1:6" x14ac:dyDescent="0.2">
      <c r="A8" s="2" t="s">
        <v>736</v>
      </c>
      <c r="B8" s="2">
        <v>286</v>
      </c>
      <c r="C8" s="2">
        <v>180</v>
      </c>
      <c r="D8" s="2">
        <v>1</v>
      </c>
      <c r="E8" s="2">
        <v>12</v>
      </c>
      <c r="F8" s="2">
        <v>837</v>
      </c>
    </row>
    <row r="9" spans="1:6" x14ac:dyDescent="0.2">
      <c r="A9" s="2" t="s">
        <v>737</v>
      </c>
      <c r="B9" s="2">
        <v>0</v>
      </c>
      <c r="C9" s="2">
        <v>1</v>
      </c>
      <c r="D9" s="2">
        <v>1</v>
      </c>
      <c r="E9" s="2">
        <v>0</v>
      </c>
      <c r="F9" s="2">
        <v>0</v>
      </c>
    </row>
    <row r="10" spans="1:6" x14ac:dyDescent="0.2">
      <c r="A10" s="37" t="s">
        <v>33</v>
      </c>
      <c r="B10" s="71">
        <v>794</v>
      </c>
      <c r="C10" s="71">
        <v>489</v>
      </c>
      <c r="D10" s="71">
        <v>206</v>
      </c>
      <c r="E10" s="71">
        <v>224</v>
      </c>
      <c r="F10" s="71">
        <f>SUM(F4:F9)</f>
        <v>1030</v>
      </c>
    </row>
    <row r="12" spans="1:6" x14ac:dyDescent="0.2">
      <c r="A12" s="8" t="s">
        <v>748</v>
      </c>
      <c r="B12" s="8"/>
      <c r="C12" s="8"/>
      <c r="D12" s="8"/>
      <c r="E12" s="8"/>
      <c r="F12" s="8"/>
    </row>
  </sheetData>
  <pageMargins left="0.7" right="0.7" top="0.75" bottom="0.75" header="0.3" footer="0.3"/>
  <pageSetup orientation="portrait"/>
  <ignoredErrors>
    <ignoredError sqref="F10" formulaRange="1"/>
  </ignoredErrors>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C00000"/>
  </sheetPr>
  <dimension ref="A1:E20"/>
  <sheetViews>
    <sheetView showGridLines="0" topLeftCell="A4" workbookViewId="0">
      <selection activeCell="A5" sqref="A5:A17"/>
    </sheetView>
  </sheetViews>
  <sheetFormatPr baseColWidth="10" defaultColWidth="8.83203125" defaultRowHeight="15" x14ac:dyDescent="0.2"/>
  <cols>
    <col min="1" max="2" width="14" style="2" bestFit="1" customWidth="1"/>
    <col min="3" max="3" width="10.5" style="2" bestFit="1" customWidth="1"/>
    <col min="4" max="5" width="25.83203125" style="2" bestFit="1" customWidth="1"/>
    <col min="6" max="16384" width="8.83203125" style="2"/>
  </cols>
  <sheetData>
    <row r="1" spans="1:5" ht="16" x14ac:dyDescent="0.2">
      <c r="A1" s="1" t="s">
        <v>750</v>
      </c>
      <c r="B1" s="1"/>
      <c r="C1" s="1"/>
      <c r="D1" s="1"/>
      <c r="E1" s="1"/>
    </row>
    <row r="2" spans="1:5" ht="16" x14ac:dyDescent="0.2">
      <c r="A2" s="1"/>
      <c r="B2" s="1"/>
      <c r="C2" s="1"/>
      <c r="D2" s="1"/>
      <c r="E2" s="1"/>
    </row>
    <row r="3" spans="1:5" ht="16" x14ac:dyDescent="0.2">
      <c r="A3" s="254" t="s">
        <v>64</v>
      </c>
      <c r="B3" s="254" t="s">
        <v>95</v>
      </c>
      <c r="C3" s="254" t="s">
        <v>29</v>
      </c>
      <c r="D3" s="256" t="s">
        <v>92</v>
      </c>
      <c r="E3" s="256"/>
    </row>
    <row r="4" spans="1:5" x14ac:dyDescent="0.2">
      <c r="A4" s="255"/>
      <c r="B4" s="255"/>
      <c r="C4" s="255"/>
      <c r="D4" s="3" t="s">
        <v>96</v>
      </c>
      <c r="E4" s="3" t="s">
        <v>682</v>
      </c>
    </row>
    <row r="5" spans="1:5" x14ac:dyDescent="0.2">
      <c r="A5" s="31" t="s">
        <v>71</v>
      </c>
      <c r="B5" s="2">
        <v>23</v>
      </c>
      <c r="C5" s="2">
        <v>35</v>
      </c>
      <c r="D5" s="2">
        <v>20</v>
      </c>
      <c r="E5" s="2">
        <v>15</v>
      </c>
    </row>
    <row r="6" spans="1:5" x14ac:dyDescent="0.2">
      <c r="A6" s="31" t="s">
        <v>72</v>
      </c>
      <c r="B6" s="2">
        <v>10</v>
      </c>
      <c r="C6" s="2">
        <v>80</v>
      </c>
      <c r="D6" s="2">
        <v>62</v>
      </c>
      <c r="E6" s="2">
        <v>18</v>
      </c>
    </row>
    <row r="7" spans="1:5" x14ac:dyDescent="0.2">
      <c r="A7" s="31" t="s">
        <v>73</v>
      </c>
      <c r="B7" s="2">
        <v>27</v>
      </c>
      <c r="C7" s="2">
        <v>942</v>
      </c>
      <c r="D7" s="2">
        <v>781</v>
      </c>
      <c r="E7" s="2">
        <v>161</v>
      </c>
    </row>
    <row r="8" spans="1:5" x14ac:dyDescent="0.2">
      <c r="A8" s="31" t="s">
        <v>74</v>
      </c>
      <c r="B8" s="2">
        <v>4</v>
      </c>
      <c r="C8" s="2">
        <v>31</v>
      </c>
      <c r="D8" s="2">
        <v>28</v>
      </c>
      <c r="E8" s="2">
        <v>3</v>
      </c>
    </row>
    <row r="9" spans="1:5" x14ac:dyDescent="0.2">
      <c r="A9" s="31" t="s">
        <v>75</v>
      </c>
      <c r="B9" s="2">
        <v>27</v>
      </c>
      <c r="C9" s="2">
        <v>420</v>
      </c>
      <c r="D9" s="2">
        <v>357</v>
      </c>
      <c r="E9" s="2">
        <v>63</v>
      </c>
    </row>
    <row r="10" spans="1:5" x14ac:dyDescent="0.2">
      <c r="A10" s="31" t="s">
        <v>76</v>
      </c>
      <c r="B10" s="2">
        <v>25</v>
      </c>
      <c r="C10" s="2">
        <v>172</v>
      </c>
      <c r="D10" s="2">
        <v>142</v>
      </c>
      <c r="E10" s="2">
        <v>30</v>
      </c>
    </row>
    <row r="11" spans="1:5" x14ac:dyDescent="0.2">
      <c r="A11" s="31" t="s">
        <v>77</v>
      </c>
      <c r="B11" s="2">
        <v>1</v>
      </c>
      <c r="C11" s="2">
        <v>10</v>
      </c>
      <c r="D11" s="2">
        <v>8</v>
      </c>
      <c r="E11" s="2">
        <v>2</v>
      </c>
    </row>
    <row r="12" spans="1:5" x14ac:dyDescent="0.2">
      <c r="A12" s="31" t="s">
        <v>78</v>
      </c>
      <c r="B12" s="2">
        <v>19</v>
      </c>
      <c r="C12" s="2">
        <v>121</v>
      </c>
      <c r="D12" s="2">
        <v>95</v>
      </c>
      <c r="E12" s="2">
        <v>26</v>
      </c>
    </row>
    <row r="13" spans="1:5" x14ac:dyDescent="0.2">
      <c r="A13" s="31" t="s">
        <v>79</v>
      </c>
      <c r="B13" s="2">
        <v>8</v>
      </c>
      <c r="C13" s="2">
        <v>74</v>
      </c>
      <c r="D13" s="2">
        <v>56</v>
      </c>
      <c r="E13" s="2">
        <v>18</v>
      </c>
    </row>
    <row r="14" spans="1:5" x14ac:dyDescent="0.2">
      <c r="A14" s="31" t="s">
        <v>80</v>
      </c>
      <c r="B14" s="2">
        <v>10</v>
      </c>
      <c r="C14" s="2">
        <v>67</v>
      </c>
      <c r="D14" s="2">
        <v>56</v>
      </c>
      <c r="E14" s="2">
        <v>11</v>
      </c>
    </row>
    <row r="15" spans="1:5" x14ac:dyDescent="0.2">
      <c r="A15" s="31" t="s">
        <v>81</v>
      </c>
      <c r="B15" s="2">
        <v>13</v>
      </c>
      <c r="C15" s="2">
        <v>44</v>
      </c>
      <c r="D15" s="2">
        <v>29</v>
      </c>
      <c r="E15" s="2">
        <v>15</v>
      </c>
    </row>
    <row r="16" spans="1:5" x14ac:dyDescent="0.2">
      <c r="A16" s="31" t="s">
        <v>82</v>
      </c>
      <c r="B16" s="2">
        <v>4</v>
      </c>
      <c r="C16" s="2">
        <v>50</v>
      </c>
      <c r="D16" s="2">
        <v>34</v>
      </c>
      <c r="E16" s="2">
        <v>16</v>
      </c>
    </row>
    <row r="17" spans="1:5" x14ac:dyDescent="0.2">
      <c r="A17" s="31" t="s">
        <v>83</v>
      </c>
      <c r="B17" s="2">
        <v>4</v>
      </c>
      <c r="C17" s="2">
        <v>91</v>
      </c>
      <c r="D17" s="2">
        <v>75</v>
      </c>
      <c r="E17" s="2">
        <v>16</v>
      </c>
    </row>
    <row r="18" spans="1:5" x14ac:dyDescent="0.2">
      <c r="A18" s="133" t="s">
        <v>84</v>
      </c>
      <c r="B18" s="149">
        <f>SUM(B5:B17)</f>
        <v>175</v>
      </c>
      <c r="C18" s="149">
        <f t="shared" ref="C18:E18" si="0">SUM(C5:C17)</f>
        <v>2137</v>
      </c>
      <c r="D18" s="149">
        <f t="shared" si="0"/>
        <v>1743</v>
      </c>
      <c r="E18" s="149">
        <f t="shared" si="0"/>
        <v>394</v>
      </c>
    </row>
    <row r="20" spans="1:5" x14ac:dyDescent="0.2">
      <c r="A20" s="257" t="s">
        <v>25</v>
      </c>
      <c r="B20" s="257"/>
      <c r="C20" s="257"/>
      <c r="D20" s="257"/>
      <c r="E20" s="257"/>
    </row>
  </sheetData>
  <mergeCells count="5">
    <mergeCell ref="A3:A4"/>
    <mergeCell ref="B3:B4"/>
    <mergeCell ref="C3:C4"/>
    <mergeCell ref="D3:E3"/>
    <mergeCell ref="A20:E20"/>
  </mergeCells>
  <pageMargins left="0.7" right="0.7" top="0.75" bottom="0.75" header="0.3" footer="0.3"/>
  <pageSetup orientation="portrait"/>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C00000"/>
  </sheetPr>
  <dimension ref="A1:K18"/>
  <sheetViews>
    <sheetView showGridLines="0" workbookViewId="0">
      <selection activeCell="A13" sqref="A13:D15"/>
    </sheetView>
  </sheetViews>
  <sheetFormatPr baseColWidth="10" defaultColWidth="8.83203125" defaultRowHeight="15" x14ac:dyDescent="0.2"/>
  <cols>
    <col min="1" max="1" width="12.83203125" style="2" bestFit="1" customWidth="1"/>
    <col min="2" max="2" width="10.5" style="2" bestFit="1" customWidth="1"/>
    <col min="3" max="3" width="27" style="2" bestFit="1" customWidth="1"/>
    <col min="4" max="4" width="21.1640625" style="2" bestFit="1" customWidth="1"/>
    <col min="5" max="16384" width="8.83203125" style="2"/>
  </cols>
  <sheetData>
    <row r="1" spans="1:11" ht="16" x14ac:dyDescent="0.2">
      <c r="A1" s="44" t="s">
        <v>749</v>
      </c>
      <c r="B1" s="44"/>
      <c r="C1" s="44"/>
      <c r="D1" s="44"/>
      <c r="E1" s="47"/>
      <c r="F1" s="47"/>
      <c r="G1" s="47"/>
      <c r="H1" s="47"/>
      <c r="I1" s="47"/>
      <c r="J1" s="47"/>
      <c r="K1" s="47"/>
    </row>
    <row r="2" spans="1:11" ht="16" x14ac:dyDescent="0.2">
      <c r="A2" s="1"/>
      <c r="B2" s="1"/>
      <c r="C2" s="1"/>
      <c r="D2" s="1"/>
    </row>
    <row r="3" spans="1:11" ht="16" x14ac:dyDescent="0.2">
      <c r="A3" s="36" t="s">
        <v>64</v>
      </c>
      <c r="B3" s="36" t="s">
        <v>29</v>
      </c>
      <c r="C3" s="36" t="s">
        <v>92</v>
      </c>
      <c r="D3" s="36" t="s">
        <v>70</v>
      </c>
    </row>
    <row r="4" spans="1:11" x14ac:dyDescent="0.2">
      <c r="A4" s="31" t="s">
        <v>71</v>
      </c>
      <c r="B4" s="2">
        <v>17</v>
      </c>
      <c r="C4" s="2">
        <v>17</v>
      </c>
      <c r="D4" s="10">
        <v>1227372.8</v>
      </c>
    </row>
    <row r="5" spans="1:11" x14ac:dyDescent="0.2">
      <c r="A5" s="31" t="s">
        <v>73</v>
      </c>
      <c r="B5" s="2">
        <v>232</v>
      </c>
      <c r="C5" s="2">
        <v>232</v>
      </c>
      <c r="D5" s="10">
        <v>1823010.76</v>
      </c>
    </row>
    <row r="6" spans="1:11" x14ac:dyDescent="0.2">
      <c r="A6" s="31" t="s">
        <v>74</v>
      </c>
      <c r="B6" s="2">
        <v>0</v>
      </c>
      <c r="C6" s="2">
        <v>0</v>
      </c>
      <c r="D6" s="10">
        <v>3123010</v>
      </c>
    </row>
    <row r="7" spans="1:11" x14ac:dyDescent="0.2">
      <c r="A7" s="31" t="s">
        <v>75</v>
      </c>
      <c r="B7" s="2">
        <v>0</v>
      </c>
      <c r="C7" s="2">
        <v>0</v>
      </c>
      <c r="D7" s="10">
        <v>516200</v>
      </c>
    </row>
    <row r="8" spans="1:11" x14ac:dyDescent="0.2">
      <c r="A8" s="31" t="s">
        <v>77</v>
      </c>
      <c r="B8" s="2">
        <v>161</v>
      </c>
      <c r="C8" s="2">
        <v>161</v>
      </c>
      <c r="D8" s="10">
        <v>1109914.68</v>
      </c>
    </row>
    <row r="9" spans="1:11" x14ac:dyDescent="0.2">
      <c r="A9" s="31" t="s">
        <v>78</v>
      </c>
      <c r="B9" s="2">
        <v>100</v>
      </c>
      <c r="C9" s="2">
        <v>100</v>
      </c>
      <c r="D9" s="10">
        <v>1705200</v>
      </c>
    </row>
    <row r="10" spans="1:11" x14ac:dyDescent="0.2">
      <c r="A10" s="31" t="s">
        <v>81</v>
      </c>
      <c r="B10" s="2">
        <v>174</v>
      </c>
      <c r="C10" s="2">
        <v>174</v>
      </c>
      <c r="D10" s="10">
        <v>3363519.76</v>
      </c>
    </row>
    <row r="11" spans="1:11" x14ac:dyDescent="0.2">
      <c r="A11" s="37" t="s">
        <v>84</v>
      </c>
      <c r="B11" s="38">
        <f>SUM(B4:B10)</f>
        <v>684</v>
      </c>
      <c r="C11" s="38">
        <f t="shared" ref="C11:D11" si="0">SUM(C4:C10)</f>
        <v>684</v>
      </c>
      <c r="D11" s="148">
        <f t="shared" si="0"/>
        <v>12868228</v>
      </c>
    </row>
    <row r="12" spans="1:11" x14ac:dyDescent="0.2">
      <c r="D12" s="17"/>
    </row>
    <row r="13" spans="1:11" x14ac:dyDescent="0.2">
      <c r="A13" s="277" t="s">
        <v>751</v>
      </c>
      <c r="B13" s="277"/>
      <c r="C13" s="277"/>
      <c r="D13" s="277"/>
    </row>
    <row r="14" spans="1:11" x14ac:dyDescent="0.2">
      <c r="A14" s="277"/>
      <c r="B14" s="277"/>
      <c r="C14" s="277"/>
      <c r="D14" s="277"/>
    </row>
    <row r="15" spans="1:11" x14ac:dyDescent="0.2">
      <c r="A15" s="277"/>
      <c r="B15" s="277"/>
      <c r="C15" s="277"/>
      <c r="D15" s="277"/>
    </row>
    <row r="16" spans="1:11" x14ac:dyDescent="0.2">
      <c r="A16" s="120"/>
      <c r="B16" s="120"/>
      <c r="C16" s="120"/>
      <c r="D16" s="120"/>
    </row>
    <row r="17" spans="1:4" x14ac:dyDescent="0.2">
      <c r="A17" s="257" t="s">
        <v>25</v>
      </c>
      <c r="B17" s="257"/>
      <c r="C17" s="257"/>
      <c r="D17" s="257"/>
    </row>
    <row r="18" spans="1:4" x14ac:dyDescent="0.2">
      <c r="A18" s="258"/>
      <c r="B18" s="258"/>
      <c r="C18" s="258"/>
      <c r="D18" s="258"/>
    </row>
  </sheetData>
  <mergeCells count="3">
    <mergeCell ref="A13:D15"/>
    <mergeCell ref="A17:D17"/>
    <mergeCell ref="A18:D18"/>
  </mergeCells>
  <pageMargins left="0.7" right="0.7" top="0.75" bottom="0.75" header="0.3" footer="0.3"/>
  <pageSetup orientation="portrait"/>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002060"/>
  </sheetPr>
  <dimension ref="A1:F21"/>
  <sheetViews>
    <sheetView showGridLines="0" zoomScale="87" workbookViewId="0">
      <selection activeCell="A19" sqref="A19"/>
    </sheetView>
  </sheetViews>
  <sheetFormatPr baseColWidth="10" defaultColWidth="8.83203125" defaultRowHeight="15" x14ac:dyDescent="0.2"/>
  <cols>
    <col min="1" max="1" width="17.5" style="2" bestFit="1" customWidth="1"/>
    <col min="2" max="2" width="27" style="2" bestFit="1" customWidth="1"/>
    <col min="3" max="3" width="25.83203125" style="2" bestFit="1" customWidth="1"/>
    <col min="4" max="4" width="28.1640625" style="2" bestFit="1" customWidth="1"/>
    <col min="5" max="5" width="29.5" style="2" bestFit="1" customWidth="1"/>
    <col min="6" max="6" width="7" style="2" bestFit="1" customWidth="1"/>
    <col min="7" max="16384" width="8.83203125" style="2"/>
  </cols>
  <sheetData>
    <row r="1" spans="1:6" ht="16" x14ac:dyDescent="0.2">
      <c r="A1" s="1" t="s">
        <v>807</v>
      </c>
      <c r="B1" s="1"/>
      <c r="C1" s="1"/>
      <c r="D1" s="1"/>
      <c r="E1" s="1"/>
      <c r="F1" s="1"/>
    </row>
    <row r="2" spans="1:6" ht="16" x14ac:dyDescent="0.2">
      <c r="A2" s="1"/>
      <c r="B2" s="1"/>
      <c r="C2" s="1"/>
      <c r="D2" s="1"/>
      <c r="E2" s="1"/>
      <c r="F2" s="1"/>
    </row>
    <row r="3" spans="1:6" x14ac:dyDescent="0.2">
      <c r="A3" s="254" t="s">
        <v>857</v>
      </c>
      <c r="B3" s="254" t="s">
        <v>858</v>
      </c>
      <c r="C3" s="262" t="s">
        <v>859</v>
      </c>
      <c r="D3" s="262"/>
      <c r="E3" s="262"/>
      <c r="F3" s="254" t="s">
        <v>33</v>
      </c>
    </row>
    <row r="4" spans="1:6" x14ac:dyDescent="0.2">
      <c r="A4" s="255"/>
      <c r="B4" s="255"/>
      <c r="C4" s="3" t="s">
        <v>860</v>
      </c>
      <c r="D4" s="3" t="s">
        <v>861</v>
      </c>
      <c r="E4" s="3" t="s">
        <v>862</v>
      </c>
      <c r="F4" s="255"/>
    </row>
    <row r="5" spans="1:6" x14ac:dyDescent="0.2">
      <c r="A5" s="180" t="s">
        <v>863</v>
      </c>
    </row>
    <row r="6" spans="1:6" x14ac:dyDescent="0.2">
      <c r="A6" s="181"/>
      <c r="B6" s="2" t="s">
        <v>756</v>
      </c>
      <c r="C6" s="2">
        <v>0</v>
      </c>
      <c r="D6" s="2">
        <v>3</v>
      </c>
      <c r="E6" s="2">
        <v>1</v>
      </c>
      <c r="F6" s="2">
        <f>SUM(C6:E6)</f>
        <v>4</v>
      </c>
    </row>
    <row r="7" spans="1:6" x14ac:dyDescent="0.2">
      <c r="B7" s="2" t="s">
        <v>774</v>
      </c>
      <c r="C7" s="2">
        <v>0</v>
      </c>
      <c r="D7" s="2">
        <v>0</v>
      </c>
      <c r="E7" s="2">
        <v>1</v>
      </c>
      <c r="F7" s="2">
        <f t="shared" ref="F7:F18" si="0">SUM(C7:E7)</f>
        <v>1</v>
      </c>
    </row>
    <row r="8" spans="1:6" x14ac:dyDescent="0.2">
      <c r="B8" s="2" t="s">
        <v>806</v>
      </c>
      <c r="C8" s="2">
        <v>0</v>
      </c>
      <c r="D8" s="2">
        <v>2</v>
      </c>
      <c r="E8" s="2">
        <v>2</v>
      </c>
      <c r="F8" s="2">
        <f t="shared" si="0"/>
        <v>4</v>
      </c>
    </row>
    <row r="9" spans="1:6" x14ac:dyDescent="0.2">
      <c r="B9" s="2" t="s">
        <v>752</v>
      </c>
      <c r="C9" s="2">
        <v>2</v>
      </c>
      <c r="D9" s="2">
        <v>5</v>
      </c>
      <c r="E9" s="2">
        <v>5</v>
      </c>
      <c r="F9" s="2">
        <f t="shared" si="0"/>
        <v>12</v>
      </c>
    </row>
    <row r="10" spans="1:6" x14ac:dyDescent="0.2">
      <c r="B10" s="2" t="s">
        <v>800</v>
      </c>
      <c r="C10" s="2">
        <v>3</v>
      </c>
      <c r="D10" s="2">
        <v>1</v>
      </c>
      <c r="E10" s="2">
        <v>4</v>
      </c>
      <c r="F10" s="2">
        <f t="shared" si="0"/>
        <v>8</v>
      </c>
    </row>
    <row r="11" spans="1:6" x14ac:dyDescent="0.2">
      <c r="B11" s="2" t="s">
        <v>799</v>
      </c>
      <c r="C11" s="2">
        <v>19</v>
      </c>
      <c r="D11" s="2">
        <v>7</v>
      </c>
      <c r="E11" s="2">
        <v>8</v>
      </c>
      <c r="F11" s="2">
        <f t="shared" si="0"/>
        <v>34</v>
      </c>
    </row>
    <row r="12" spans="1:6" x14ac:dyDescent="0.2">
      <c r="B12" s="2" t="s">
        <v>753</v>
      </c>
      <c r="C12" s="2">
        <v>1</v>
      </c>
      <c r="D12" s="2">
        <v>2</v>
      </c>
      <c r="E12" s="2">
        <v>3</v>
      </c>
      <c r="F12" s="2">
        <f t="shared" si="0"/>
        <v>6</v>
      </c>
    </row>
    <row r="13" spans="1:6" x14ac:dyDescent="0.2">
      <c r="B13" s="2" t="s">
        <v>755</v>
      </c>
      <c r="C13" s="2">
        <v>0</v>
      </c>
      <c r="D13" s="2">
        <v>2</v>
      </c>
      <c r="E13" s="2">
        <v>1</v>
      </c>
      <c r="F13" s="2">
        <f t="shared" si="0"/>
        <v>3</v>
      </c>
    </row>
    <row r="14" spans="1:6" x14ac:dyDescent="0.2">
      <c r="A14" s="180" t="s">
        <v>864</v>
      </c>
    </row>
    <row r="15" spans="1:6" x14ac:dyDescent="0.2">
      <c r="A15" s="181"/>
      <c r="B15" s="2" t="s">
        <v>758</v>
      </c>
      <c r="C15" s="2">
        <v>5</v>
      </c>
      <c r="D15" s="2">
        <v>4</v>
      </c>
      <c r="E15" s="2">
        <v>4</v>
      </c>
      <c r="F15" s="2">
        <f t="shared" si="0"/>
        <v>13</v>
      </c>
    </row>
    <row r="16" spans="1:6" x14ac:dyDescent="0.2">
      <c r="B16" s="2" t="s">
        <v>757</v>
      </c>
      <c r="C16" s="2">
        <v>1</v>
      </c>
      <c r="D16" s="2">
        <v>6</v>
      </c>
      <c r="E16" s="2">
        <v>4</v>
      </c>
      <c r="F16" s="2">
        <f t="shared" si="0"/>
        <v>11</v>
      </c>
    </row>
    <row r="17" spans="1:6" x14ac:dyDescent="0.2">
      <c r="B17" s="2" t="s">
        <v>865</v>
      </c>
      <c r="C17" s="2">
        <v>4</v>
      </c>
      <c r="D17" s="2">
        <v>0</v>
      </c>
      <c r="E17" s="2">
        <v>2</v>
      </c>
      <c r="F17" s="2">
        <f t="shared" si="0"/>
        <v>6</v>
      </c>
    </row>
    <row r="18" spans="1:6" x14ac:dyDescent="0.2">
      <c r="B18" s="2" t="s">
        <v>782</v>
      </c>
      <c r="C18" s="2">
        <v>2</v>
      </c>
      <c r="D18" s="2">
        <v>0</v>
      </c>
      <c r="E18" s="2">
        <v>0</v>
      </c>
      <c r="F18" s="2">
        <f t="shared" si="0"/>
        <v>2</v>
      </c>
    </row>
    <row r="19" spans="1:6" x14ac:dyDescent="0.2">
      <c r="A19" s="172" t="s">
        <v>33</v>
      </c>
      <c r="B19" s="182"/>
      <c r="C19" s="183">
        <f>SUM(C6:C18)</f>
        <v>37</v>
      </c>
      <c r="D19" s="183">
        <f t="shared" ref="D19:F19" si="1">SUM(D6:D18)</f>
        <v>32</v>
      </c>
      <c r="E19" s="183">
        <f t="shared" si="1"/>
        <v>35</v>
      </c>
      <c r="F19" s="183">
        <f t="shared" si="1"/>
        <v>104</v>
      </c>
    </row>
    <row r="21" spans="1:6" x14ac:dyDescent="0.2">
      <c r="A21" s="257" t="s">
        <v>866</v>
      </c>
      <c r="B21" s="257"/>
      <c r="C21" s="257"/>
      <c r="D21" s="257"/>
      <c r="E21" s="257"/>
      <c r="F21" s="257"/>
    </row>
  </sheetData>
  <mergeCells count="5">
    <mergeCell ref="A3:A4"/>
    <mergeCell ref="B3:B4"/>
    <mergeCell ref="C3:E3"/>
    <mergeCell ref="F3:F4"/>
    <mergeCell ref="A21:F21"/>
  </mergeCells>
  <pageMargins left="0.7" right="0.7" top="0.75" bottom="0.75" header="0.3" footer="0.3"/>
  <pageSetup orientation="portrait"/>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002060"/>
  </sheetPr>
  <dimension ref="A1:E172"/>
  <sheetViews>
    <sheetView showGridLines="0" topLeftCell="A154" zoomScale="80" zoomScaleNormal="80" workbookViewId="0">
      <selection activeCell="A19" sqref="A19"/>
    </sheetView>
  </sheetViews>
  <sheetFormatPr baseColWidth="10" defaultColWidth="8.83203125" defaultRowHeight="15" x14ac:dyDescent="0.2"/>
  <cols>
    <col min="1" max="1" width="27" style="2" bestFit="1" customWidth="1"/>
    <col min="2" max="2" width="103.6640625" style="2" bestFit="1" customWidth="1"/>
    <col min="3" max="3" width="27.1640625" style="2" bestFit="1" customWidth="1"/>
    <col min="4" max="4" width="16.5" style="2" bestFit="1" customWidth="1"/>
    <col min="5" max="16384" width="8.83203125" style="2"/>
  </cols>
  <sheetData>
    <row r="1" spans="1:5" x14ac:dyDescent="0.2">
      <c r="A1" s="65" t="s">
        <v>846</v>
      </c>
    </row>
    <row r="3" spans="1:5" x14ac:dyDescent="0.2">
      <c r="A3" s="13" t="s">
        <v>858</v>
      </c>
      <c r="B3" s="13" t="s">
        <v>28</v>
      </c>
      <c r="C3" s="13" t="s">
        <v>867</v>
      </c>
      <c r="D3" s="13" t="s">
        <v>409</v>
      </c>
    </row>
    <row r="4" spans="1:5" x14ac:dyDescent="0.2">
      <c r="A4" s="278"/>
      <c r="B4" s="278"/>
      <c r="C4" s="278"/>
      <c r="D4" s="278"/>
    </row>
    <row r="5" spans="1:5" x14ac:dyDescent="0.2">
      <c r="A5" s="173" t="s">
        <v>756</v>
      </c>
      <c r="D5" s="65">
        <f>SUM(D6:D9)</f>
        <v>32</v>
      </c>
    </row>
    <row r="6" spans="1:5" x14ac:dyDescent="0.2">
      <c r="B6" t="s">
        <v>868</v>
      </c>
      <c r="C6" t="s">
        <v>761</v>
      </c>
      <c r="D6">
        <v>10</v>
      </c>
      <c r="E6"/>
    </row>
    <row r="7" spans="1:5" x14ac:dyDescent="0.2">
      <c r="A7"/>
      <c r="B7" t="s">
        <v>869</v>
      </c>
      <c r="C7" t="s">
        <v>761</v>
      </c>
      <c r="D7">
        <v>11</v>
      </c>
      <c r="E7"/>
    </row>
    <row r="8" spans="1:5" x14ac:dyDescent="0.2">
      <c r="A8"/>
      <c r="B8" t="s">
        <v>870</v>
      </c>
      <c r="C8" t="s">
        <v>772</v>
      </c>
      <c r="D8">
        <v>8</v>
      </c>
      <c r="E8"/>
    </row>
    <row r="9" spans="1:5" x14ac:dyDescent="0.2">
      <c r="A9"/>
      <c r="B9" t="s">
        <v>871</v>
      </c>
      <c r="C9" t="s">
        <v>872</v>
      </c>
      <c r="D9">
        <v>3</v>
      </c>
      <c r="E9"/>
    </row>
    <row r="10" spans="1:5" x14ac:dyDescent="0.2">
      <c r="A10" s="173" t="s">
        <v>873</v>
      </c>
      <c r="D10" s="65">
        <f>SUM(D11)</f>
        <v>1</v>
      </c>
      <c r="E10"/>
    </row>
    <row r="11" spans="1:5" x14ac:dyDescent="0.2">
      <c r="B11" t="s">
        <v>874</v>
      </c>
      <c r="C11" t="s">
        <v>771</v>
      </c>
      <c r="D11">
        <v>1</v>
      </c>
      <c r="E11"/>
    </row>
    <row r="12" spans="1:5" x14ac:dyDescent="0.2">
      <c r="A12" s="173" t="s">
        <v>875</v>
      </c>
      <c r="D12" s="65">
        <f>SUM(D13)</f>
        <v>45</v>
      </c>
      <c r="E12"/>
    </row>
    <row r="13" spans="1:5" x14ac:dyDescent="0.2">
      <c r="B13" t="s">
        <v>876</v>
      </c>
      <c r="C13" t="s">
        <v>761</v>
      </c>
      <c r="D13">
        <v>45</v>
      </c>
      <c r="E13"/>
    </row>
    <row r="14" spans="1:5" x14ac:dyDescent="0.2">
      <c r="A14" s="173" t="s">
        <v>752</v>
      </c>
      <c r="D14" s="65">
        <f>SUM(D15:D20)</f>
        <v>33</v>
      </c>
      <c r="E14"/>
    </row>
    <row r="15" spans="1:5" x14ac:dyDescent="0.2">
      <c r="B15" t="s">
        <v>877</v>
      </c>
      <c r="C15" t="s">
        <v>761</v>
      </c>
      <c r="D15">
        <v>11</v>
      </c>
      <c r="E15"/>
    </row>
    <row r="16" spans="1:5" x14ac:dyDescent="0.2">
      <c r="A16"/>
      <c r="B16" t="s">
        <v>878</v>
      </c>
      <c r="C16" t="s">
        <v>879</v>
      </c>
      <c r="D16">
        <v>9</v>
      </c>
      <c r="E16"/>
    </row>
    <row r="17" spans="1:5" x14ac:dyDescent="0.2">
      <c r="A17"/>
      <c r="B17" t="s">
        <v>880</v>
      </c>
      <c r="C17" t="s">
        <v>881</v>
      </c>
      <c r="D17">
        <v>6</v>
      </c>
      <c r="E17"/>
    </row>
    <row r="18" spans="1:5" x14ac:dyDescent="0.2">
      <c r="A18"/>
      <c r="B18" t="s">
        <v>882</v>
      </c>
      <c r="C18" t="s">
        <v>883</v>
      </c>
      <c r="D18">
        <v>4</v>
      </c>
      <c r="E18"/>
    </row>
    <row r="19" spans="1:5" x14ac:dyDescent="0.2">
      <c r="A19"/>
      <c r="B19" t="s">
        <v>884</v>
      </c>
      <c r="C19" t="s">
        <v>885</v>
      </c>
      <c r="D19">
        <v>1</v>
      </c>
      <c r="E19"/>
    </row>
    <row r="20" spans="1:5" x14ac:dyDescent="0.2">
      <c r="A20"/>
      <c r="B20" t="s">
        <v>886</v>
      </c>
      <c r="C20" t="s">
        <v>887</v>
      </c>
      <c r="D20">
        <v>2</v>
      </c>
      <c r="E20"/>
    </row>
    <row r="21" spans="1:5" x14ac:dyDescent="0.2">
      <c r="A21" s="173" t="s">
        <v>754</v>
      </c>
      <c r="D21" s="65">
        <f>SUM(D22:D24)</f>
        <v>24</v>
      </c>
      <c r="E21"/>
    </row>
    <row r="22" spans="1:5" x14ac:dyDescent="0.2">
      <c r="B22" t="s">
        <v>888</v>
      </c>
      <c r="C22" t="s">
        <v>808</v>
      </c>
      <c r="D22">
        <v>10</v>
      </c>
      <c r="E22"/>
    </row>
    <row r="23" spans="1:5" x14ac:dyDescent="0.2">
      <c r="A23"/>
      <c r="B23" t="s">
        <v>889</v>
      </c>
      <c r="C23" t="s">
        <v>890</v>
      </c>
      <c r="D23">
        <v>1</v>
      </c>
      <c r="E23"/>
    </row>
    <row r="24" spans="1:5" x14ac:dyDescent="0.2">
      <c r="A24"/>
      <c r="B24" t="s">
        <v>891</v>
      </c>
      <c r="C24" t="s">
        <v>808</v>
      </c>
      <c r="D24">
        <v>13</v>
      </c>
      <c r="E24"/>
    </row>
    <row r="25" spans="1:5" x14ac:dyDescent="0.2">
      <c r="A25" s="173" t="s">
        <v>892</v>
      </c>
      <c r="D25" s="65">
        <f>SUM(D26:D30)</f>
        <v>59</v>
      </c>
      <c r="E25"/>
    </row>
    <row r="26" spans="1:5" x14ac:dyDescent="0.2">
      <c r="B26" t="s">
        <v>893</v>
      </c>
      <c r="C26" t="s">
        <v>885</v>
      </c>
      <c r="D26">
        <v>2</v>
      </c>
      <c r="E26"/>
    </row>
    <row r="27" spans="1:5" x14ac:dyDescent="0.2">
      <c r="A27"/>
      <c r="B27" t="s">
        <v>894</v>
      </c>
      <c r="C27" t="s">
        <v>73</v>
      </c>
      <c r="D27">
        <v>14</v>
      </c>
      <c r="E27"/>
    </row>
    <row r="28" spans="1:5" x14ac:dyDescent="0.2">
      <c r="A28"/>
      <c r="B28" t="s">
        <v>895</v>
      </c>
      <c r="C28" t="s">
        <v>890</v>
      </c>
      <c r="D28">
        <v>1</v>
      </c>
      <c r="E28"/>
    </row>
    <row r="29" spans="1:5" x14ac:dyDescent="0.2">
      <c r="A29"/>
      <c r="B29" t="s">
        <v>896</v>
      </c>
      <c r="C29" t="s">
        <v>897</v>
      </c>
      <c r="D29">
        <v>1</v>
      </c>
      <c r="E29"/>
    </row>
    <row r="30" spans="1:5" x14ac:dyDescent="0.2">
      <c r="A30"/>
      <c r="B30" t="s">
        <v>898</v>
      </c>
      <c r="C30" t="s">
        <v>899</v>
      </c>
      <c r="D30">
        <v>41</v>
      </c>
      <c r="E30"/>
    </row>
    <row r="31" spans="1:5" x14ac:dyDescent="0.2">
      <c r="A31" s="173" t="s">
        <v>900</v>
      </c>
      <c r="D31" s="65">
        <f>SUM(D32:D34)</f>
        <v>37</v>
      </c>
      <c r="E31"/>
    </row>
    <row r="32" spans="1:5" x14ac:dyDescent="0.2">
      <c r="B32" t="s">
        <v>901</v>
      </c>
      <c r="C32" t="s">
        <v>902</v>
      </c>
      <c r="D32">
        <v>10</v>
      </c>
      <c r="E32"/>
    </row>
    <row r="33" spans="1:5" x14ac:dyDescent="0.2">
      <c r="A33"/>
      <c r="B33" t="s">
        <v>903</v>
      </c>
      <c r="C33" t="s">
        <v>881</v>
      </c>
      <c r="D33">
        <v>17</v>
      </c>
      <c r="E33"/>
    </row>
    <row r="34" spans="1:5" x14ac:dyDescent="0.2">
      <c r="A34"/>
      <c r="B34" t="s">
        <v>904</v>
      </c>
      <c r="C34" t="s">
        <v>881</v>
      </c>
      <c r="D34">
        <v>10</v>
      </c>
      <c r="E34"/>
    </row>
    <row r="35" spans="1:5" x14ac:dyDescent="0.2">
      <c r="A35" s="173" t="s">
        <v>784</v>
      </c>
      <c r="D35" s="65">
        <f>SUM(D36:D40)</f>
        <v>45</v>
      </c>
      <c r="E35"/>
    </row>
    <row r="36" spans="1:5" x14ac:dyDescent="0.2">
      <c r="B36" t="s">
        <v>905</v>
      </c>
      <c r="C36" t="s">
        <v>771</v>
      </c>
      <c r="D36">
        <v>6</v>
      </c>
      <c r="E36"/>
    </row>
    <row r="37" spans="1:5" x14ac:dyDescent="0.2">
      <c r="A37"/>
      <c r="B37" t="s">
        <v>906</v>
      </c>
      <c r="C37" t="s">
        <v>907</v>
      </c>
      <c r="D37">
        <v>12</v>
      </c>
      <c r="E37"/>
    </row>
    <row r="38" spans="1:5" x14ac:dyDescent="0.2">
      <c r="A38"/>
      <c r="B38" t="s">
        <v>908</v>
      </c>
      <c r="C38" t="s">
        <v>909</v>
      </c>
      <c r="D38">
        <v>12</v>
      </c>
      <c r="E38"/>
    </row>
    <row r="39" spans="1:5" x14ac:dyDescent="0.2">
      <c r="A39"/>
      <c r="B39" t="s">
        <v>910</v>
      </c>
      <c r="C39" t="s">
        <v>911</v>
      </c>
      <c r="D39">
        <v>11</v>
      </c>
      <c r="E39"/>
    </row>
    <row r="40" spans="1:5" x14ac:dyDescent="0.2">
      <c r="A40"/>
      <c r="B40" t="s">
        <v>912</v>
      </c>
      <c r="C40" t="s">
        <v>885</v>
      </c>
      <c r="D40">
        <v>4</v>
      </c>
      <c r="E40"/>
    </row>
    <row r="41" spans="1:5" x14ac:dyDescent="0.2">
      <c r="A41" s="173" t="s">
        <v>913</v>
      </c>
      <c r="D41" s="65">
        <f>SUM(D42:D43)</f>
        <v>3</v>
      </c>
      <c r="E41"/>
    </row>
    <row r="42" spans="1:5" x14ac:dyDescent="0.2">
      <c r="B42" t="s">
        <v>914</v>
      </c>
      <c r="C42" t="s">
        <v>915</v>
      </c>
      <c r="D42">
        <v>2</v>
      </c>
      <c r="E42"/>
    </row>
    <row r="43" spans="1:5" x14ac:dyDescent="0.2">
      <c r="A43"/>
      <c r="B43" t="s">
        <v>916</v>
      </c>
      <c r="C43" t="s">
        <v>917</v>
      </c>
      <c r="D43">
        <v>1</v>
      </c>
      <c r="E43"/>
    </row>
    <row r="44" spans="1:5" x14ac:dyDescent="0.2">
      <c r="A44" s="173" t="s">
        <v>752</v>
      </c>
      <c r="D44" s="65">
        <f>SUM(D45)</f>
        <v>14</v>
      </c>
      <c r="E44"/>
    </row>
    <row r="45" spans="1:5" x14ac:dyDescent="0.2">
      <c r="B45" t="s">
        <v>809</v>
      </c>
      <c r="C45" t="s">
        <v>808</v>
      </c>
      <c r="D45">
        <v>14</v>
      </c>
      <c r="E45"/>
    </row>
    <row r="46" spans="1:5" x14ac:dyDescent="0.2">
      <c r="A46" s="173" t="s">
        <v>918</v>
      </c>
      <c r="D46" s="65">
        <f>SUM(D47:D48)</f>
        <v>37</v>
      </c>
      <c r="E46"/>
    </row>
    <row r="47" spans="1:5" x14ac:dyDescent="0.2">
      <c r="B47" t="s">
        <v>809</v>
      </c>
      <c r="C47" t="s">
        <v>808</v>
      </c>
      <c r="D47">
        <v>9</v>
      </c>
      <c r="E47"/>
    </row>
    <row r="48" spans="1:5" x14ac:dyDescent="0.2">
      <c r="A48"/>
      <c r="B48" t="s">
        <v>919</v>
      </c>
      <c r="C48" t="s">
        <v>920</v>
      </c>
      <c r="D48">
        <v>28</v>
      </c>
      <c r="E48"/>
    </row>
    <row r="49" spans="1:5" x14ac:dyDescent="0.2">
      <c r="A49" s="173" t="s">
        <v>810</v>
      </c>
      <c r="D49" s="65">
        <f>SUM(D50)</f>
        <v>48</v>
      </c>
      <c r="E49"/>
    </row>
    <row r="50" spans="1:5" x14ac:dyDescent="0.2">
      <c r="B50" t="s">
        <v>809</v>
      </c>
      <c r="C50" t="s">
        <v>808</v>
      </c>
      <c r="D50">
        <v>48</v>
      </c>
      <c r="E50"/>
    </row>
    <row r="51" spans="1:5" x14ac:dyDescent="0.2">
      <c r="A51" s="173" t="s">
        <v>799</v>
      </c>
      <c r="D51" s="65">
        <f>SUM(D52:D53)</f>
        <v>9</v>
      </c>
      <c r="E51"/>
    </row>
    <row r="52" spans="1:5" x14ac:dyDescent="0.2">
      <c r="B52" t="s">
        <v>811</v>
      </c>
      <c r="C52" t="s">
        <v>812</v>
      </c>
      <c r="D52">
        <v>6</v>
      </c>
      <c r="E52"/>
    </row>
    <row r="53" spans="1:5" x14ac:dyDescent="0.2">
      <c r="A53"/>
      <c r="B53" t="s">
        <v>813</v>
      </c>
      <c r="C53" t="s">
        <v>814</v>
      </c>
      <c r="D53">
        <v>3</v>
      </c>
      <c r="E53"/>
    </row>
    <row r="54" spans="1:5" x14ac:dyDescent="0.2">
      <c r="A54" s="173" t="s">
        <v>815</v>
      </c>
      <c r="D54" s="65">
        <f>SUM(D55)</f>
        <v>3</v>
      </c>
      <c r="E54"/>
    </row>
    <row r="55" spans="1:5" x14ac:dyDescent="0.2">
      <c r="B55" t="s">
        <v>816</v>
      </c>
      <c r="C55" t="s">
        <v>808</v>
      </c>
      <c r="D55">
        <v>3</v>
      </c>
      <c r="E55"/>
    </row>
    <row r="56" spans="1:5" x14ac:dyDescent="0.2">
      <c r="A56" s="173" t="s">
        <v>755</v>
      </c>
      <c r="D56" s="65">
        <f>SUM(D57)</f>
        <v>3</v>
      </c>
      <c r="E56"/>
    </row>
    <row r="57" spans="1:5" x14ac:dyDescent="0.2">
      <c r="B57" t="s">
        <v>817</v>
      </c>
      <c r="C57" t="s">
        <v>818</v>
      </c>
      <c r="D57">
        <v>3</v>
      </c>
      <c r="E57"/>
    </row>
    <row r="58" spans="1:5" x14ac:dyDescent="0.2">
      <c r="A58" s="173" t="s">
        <v>769</v>
      </c>
      <c r="D58" s="65">
        <f>SUM(D59:D60)</f>
        <v>6</v>
      </c>
      <c r="E58"/>
    </row>
    <row r="59" spans="1:5" x14ac:dyDescent="0.2">
      <c r="B59" t="s">
        <v>819</v>
      </c>
      <c r="C59" t="s">
        <v>759</v>
      </c>
      <c r="D59">
        <v>5</v>
      </c>
      <c r="E59"/>
    </row>
    <row r="60" spans="1:5" x14ac:dyDescent="0.2">
      <c r="A60"/>
      <c r="B60" t="s">
        <v>820</v>
      </c>
      <c r="C60" t="s">
        <v>821</v>
      </c>
      <c r="D60">
        <v>1</v>
      </c>
      <c r="E60"/>
    </row>
    <row r="61" spans="1:5" x14ac:dyDescent="0.2">
      <c r="A61" s="173" t="s">
        <v>770</v>
      </c>
      <c r="D61" s="65">
        <f>SUM(D62:D63)</f>
        <v>65</v>
      </c>
      <c r="E61"/>
    </row>
    <row r="62" spans="1:5" x14ac:dyDescent="0.2">
      <c r="B62" t="s">
        <v>822</v>
      </c>
      <c r="C62" t="s">
        <v>759</v>
      </c>
      <c r="D62">
        <v>53</v>
      </c>
      <c r="E62"/>
    </row>
    <row r="63" spans="1:5" x14ac:dyDescent="0.2">
      <c r="A63"/>
      <c r="B63" t="s">
        <v>823</v>
      </c>
      <c r="C63" t="s">
        <v>765</v>
      </c>
      <c r="D63">
        <v>12</v>
      </c>
      <c r="E63"/>
    </row>
    <row r="64" spans="1:5" x14ac:dyDescent="0.2">
      <c r="A64" s="173" t="s">
        <v>756</v>
      </c>
      <c r="D64" s="65">
        <f>SUM(D65:D67)</f>
        <v>81</v>
      </c>
      <c r="E64"/>
    </row>
    <row r="65" spans="1:5" x14ac:dyDescent="0.2">
      <c r="B65" t="s">
        <v>822</v>
      </c>
      <c r="C65" t="s">
        <v>759</v>
      </c>
      <c r="D65">
        <v>54</v>
      </c>
      <c r="E65"/>
    </row>
    <row r="66" spans="1:5" x14ac:dyDescent="0.2">
      <c r="A66"/>
      <c r="B66" t="s">
        <v>823</v>
      </c>
      <c r="C66" t="s">
        <v>780</v>
      </c>
      <c r="D66">
        <v>22</v>
      </c>
      <c r="E66"/>
    </row>
    <row r="67" spans="1:5" x14ac:dyDescent="0.2">
      <c r="A67"/>
      <c r="B67" t="s">
        <v>824</v>
      </c>
      <c r="C67" t="s">
        <v>825</v>
      </c>
      <c r="D67">
        <v>5</v>
      </c>
      <c r="E67"/>
    </row>
    <row r="68" spans="1:5" x14ac:dyDescent="0.2">
      <c r="A68" s="173" t="s">
        <v>826</v>
      </c>
      <c r="D68" s="65">
        <f>SUM(D69:D70)</f>
        <v>600</v>
      </c>
      <c r="E68"/>
    </row>
    <row r="69" spans="1:5" x14ac:dyDescent="0.2">
      <c r="B69" t="s">
        <v>822</v>
      </c>
      <c r="C69" t="s">
        <v>763</v>
      </c>
      <c r="D69">
        <v>552</v>
      </c>
      <c r="E69"/>
    </row>
    <row r="70" spans="1:5" x14ac:dyDescent="0.2">
      <c r="A70"/>
      <c r="B70" t="s">
        <v>823</v>
      </c>
      <c r="C70" t="s">
        <v>827</v>
      </c>
      <c r="D70">
        <v>48</v>
      </c>
      <c r="E70"/>
    </row>
    <row r="71" spans="1:5" x14ac:dyDescent="0.2">
      <c r="A71" s="173" t="s">
        <v>773</v>
      </c>
      <c r="D71" s="65">
        <f>SUM(D72:D74)</f>
        <v>148</v>
      </c>
      <c r="E71"/>
    </row>
    <row r="72" spans="1:5" x14ac:dyDescent="0.2">
      <c r="B72" t="s">
        <v>822</v>
      </c>
      <c r="C72" t="s">
        <v>763</v>
      </c>
      <c r="D72">
        <v>128</v>
      </c>
      <c r="E72"/>
    </row>
    <row r="73" spans="1:5" x14ac:dyDescent="0.2">
      <c r="A73"/>
      <c r="B73" t="s">
        <v>823</v>
      </c>
      <c r="C73" t="s">
        <v>781</v>
      </c>
      <c r="D73">
        <v>16</v>
      </c>
      <c r="E73"/>
    </row>
    <row r="74" spans="1:5" x14ac:dyDescent="0.2">
      <c r="A74"/>
      <c r="B74" t="s">
        <v>824</v>
      </c>
      <c r="C74" t="s">
        <v>780</v>
      </c>
      <c r="D74">
        <v>4</v>
      </c>
      <c r="E74"/>
    </row>
    <row r="75" spans="1:5" x14ac:dyDescent="0.2">
      <c r="A75" s="173" t="s">
        <v>798</v>
      </c>
      <c r="D75" s="65">
        <f>SUM(D76:D77)</f>
        <v>359</v>
      </c>
      <c r="E75"/>
    </row>
    <row r="76" spans="1:5" x14ac:dyDescent="0.2">
      <c r="B76" t="s">
        <v>822</v>
      </c>
      <c r="C76" t="s">
        <v>763</v>
      </c>
      <c r="D76">
        <v>321</v>
      </c>
      <c r="E76"/>
    </row>
    <row r="77" spans="1:5" x14ac:dyDescent="0.2">
      <c r="A77"/>
      <c r="B77" t="s">
        <v>823</v>
      </c>
      <c r="C77" t="s">
        <v>761</v>
      </c>
      <c r="D77">
        <v>38</v>
      </c>
      <c r="E77"/>
    </row>
    <row r="78" spans="1:5" x14ac:dyDescent="0.2">
      <c r="A78" s="173" t="s">
        <v>774</v>
      </c>
      <c r="D78" s="65">
        <f>SUM(D79:D81)</f>
        <v>61</v>
      </c>
      <c r="E78"/>
    </row>
    <row r="79" spans="1:5" x14ac:dyDescent="0.2">
      <c r="B79" t="s">
        <v>822</v>
      </c>
      <c r="C79" t="s">
        <v>763</v>
      </c>
      <c r="D79">
        <v>39</v>
      </c>
      <c r="E79"/>
    </row>
    <row r="80" spans="1:5" x14ac:dyDescent="0.2">
      <c r="A80"/>
      <c r="B80" t="s">
        <v>823</v>
      </c>
      <c r="C80" t="s">
        <v>761</v>
      </c>
      <c r="D80">
        <v>20</v>
      </c>
      <c r="E80"/>
    </row>
    <row r="81" spans="1:5" x14ac:dyDescent="0.2">
      <c r="A81"/>
      <c r="B81" t="s">
        <v>824</v>
      </c>
      <c r="C81" t="s">
        <v>762</v>
      </c>
      <c r="D81">
        <v>2</v>
      </c>
      <c r="E81"/>
    </row>
    <row r="82" spans="1:5" x14ac:dyDescent="0.2">
      <c r="A82" s="173" t="s">
        <v>828</v>
      </c>
      <c r="D82" s="65">
        <f>SUM(D83:D84)</f>
        <v>7</v>
      </c>
      <c r="E82"/>
    </row>
    <row r="83" spans="1:5" x14ac:dyDescent="0.2">
      <c r="B83" t="s">
        <v>822</v>
      </c>
      <c r="C83" t="s">
        <v>759</v>
      </c>
      <c r="D83">
        <v>6</v>
      </c>
      <c r="E83"/>
    </row>
    <row r="84" spans="1:5" x14ac:dyDescent="0.2">
      <c r="A84"/>
      <c r="B84" t="s">
        <v>824</v>
      </c>
      <c r="C84" t="s">
        <v>780</v>
      </c>
      <c r="D84">
        <v>1</v>
      </c>
      <c r="E84"/>
    </row>
    <row r="85" spans="1:5" x14ac:dyDescent="0.2">
      <c r="A85" s="173" t="s">
        <v>775</v>
      </c>
      <c r="D85" s="65">
        <f>SUM(D86:D87)</f>
        <v>22</v>
      </c>
      <c r="E85"/>
    </row>
    <row r="86" spans="1:5" x14ac:dyDescent="0.2">
      <c r="B86" t="s">
        <v>822</v>
      </c>
      <c r="C86" t="s">
        <v>763</v>
      </c>
      <c r="D86">
        <v>18</v>
      </c>
      <c r="E86"/>
    </row>
    <row r="87" spans="1:5" x14ac:dyDescent="0.2">
      <c r="A87"/>
      <c r="B87" t="s">
        <v>824</v>
      </c>
      <c r="C87" t="s">
        <v>780</v>
      </c>
      <c r="D87">
        <v>4</v>
      </c>
      <c r="E87"/>
    </row>
    <row r="88" spans="1:5" x14ac:dyDescent="0.2">
      <c r="A88" s="173" t="s">
        <v>829</v>
      </c>
      <c r="D88" s="65">
        <f>SUM(D89:D90)</f>
        <v>10</v>
      </c>
      <c r="E88"/>
    </row>
    <row r="89" spans="1:5" x14ac:dyDescent="0.2">
      <c r="B89" t="s">
        <v>822</v>
      </c>
      <c r="C89" t="s">
        <v>759</v>
      </c>
      <c r="D89">
        <v>9</v>
      </c>
      <c r="E89"/>
    </row>
    <row r="90" spans="1:5" x14ac:dyDescent="0.2">
      <c r="A90"/>
      <c r="B90" t="s">
        <v>824</v>
      </c>
      <c r="C90" t="s">
        <v>771</v>
      </c>
      <c r="D90">
        <v>1</v>
      </c>
      <c r="E90"/>
    </row>
    <row r="91" spans="1:5" x14ac:dyDescent="0.2">
      <c r="A91" s="173" t="s">
        <v>777</v>
      </c>
      <c r="D91" s="65">
        <f>SUM(D92:D96)</f>
        <v>655</v>
      </c>
      <c r="E91"/>
    </row>
    <row r="92" spans="1:5" x14ac:dyDescent="0.2">
      <c r="B92" t="s">
        <v>822</v>
      </c>
      <c r="C92" t="s">
        <v>759</v>
      </c>
      <c r="D92">
        <v>475</v>
      </c>
      <c r="E92"/>
    </row>
    <row r="93" spans="1:5" x14ac:dyDescent="0.2">
      <c r="A93"/>
      <c r="B93" t="s">
        <v>823</v>
      </c>
      <c r="C93" t="s">
        <v>776</v>
      </c>
      <c r="D93">
        <v>72</v>
      </c>
      <c r="E93"/>
    </row>
    <row r="94" spans="1:5" x14ac:dyDescent="0.2">
      <c r="A94"/>
      <c r="B94" t="s">
        <v>824</v>
      </c>
      <c r="C94" t="s">
        <v>830</v>
      </c>
      <c r="D94">
        <v>36</v>
      </c>
      <c r="E94"/>
    </row>
    <row r="95" spans="1:5" x14ac:dyDescent="0.2">
      <c r="A95"/>
      <c r="B95" t="s">
        <v>831</v>
      </c>
      <c r="C95" t="s">
        <v>759</v>
      </c>
      <c r="D95">
        <v>50</v>
      </c>
      <c r="E95"/>
    </row>
    <row r="96" spans="1:5" x14ac:dyDescent="0.2">
      <c r="A96"/>
      <c r="B96" t="s">
        <v>832</v>
      </c>
      <c r="C96" t="s">
        <v>759</v>
      </c>
      <c r="D96">
        <v>22</v>
      </c>
      <c r="E96"/>
    </row>
    <row r="97" spans="1:5" x14ac:dyDescent="0.2">
      <c r="A97" s="173" t="s">
        <v>760</v>
      </c>
      <c r="D97" s="65">
        <f>SUM(D98:D99)</f>
        <v>32</v>
      </c>
      <c r="E97"/>
    </row>
    <row r="98" spans="1:5" x14ac:dyDescent="0.2">
      <c r="B98" t="s">
        <v>822</v>
      </c>
      <c r="C98" t="s">
        <v>759</v>
      </c>
      <c r="D98">
        <v>19</v>
      </c>
      <c r="E98"/>
    </row>
    <row r="99" spans="1:5" x14ac:dyDescent="0.2">
      <c r="A99"/>
      <c r="B99" t="s">
        <v>824</v>
      </c>
      <c r="C99" t="s">
        <v>825</v>
      </c>
      <c r="D99">
        <v>13</v>
      </c>
      <c r="E99"/>
    </row>
    <row r="100" spans="1:5" x14ac:dyDescent="0.2">
      <c r="A100" s="173" t="s">
        <v>778</v>
      </c>
      <c r="D100" s="65">
        <f>SUM(D101:D102)</f>
        <v>9</v>
      </c>
      <c r="E100"/>
    </row>
    <row r="101" spans="1:5" x14ac:dyDescent="0.2">
      <c r="B101" t="s">
        <v>822</v>
      </c>
      <c r="C101" t="s">
        <v>759</v>
      </c>
      <c r="D101">
        <v>8</v>
      </c>
      <c r="E101"/>
    </row>
    <row r="102" spans="1:5" x14ac:dyDescent="0.2">
      <c r="A102"/>
      <c r="B102" t="s">
        <v>824</v>
      </c>
      <c r="C102" t="s">
        <v>825</v>
      </c>
      <c r="D102">
        <v>1</v>
      </c>
      <c r="E102"/>
    </row>
    <row r="103" spans="1:5" x14ac:dyDescent="0.2">
      <c r="A103" s="173" t="s">
        <v>766</v>
      </c>
      <c r="D103" s="65">
        <f>SUM(D104:D106)</f>
        <v>156</v>
      </c>
      <c r="E103"/>
    </row>
    <row r="104" spans="1:5" x14ac:dyDescent="0.2">
      <c r="B104" t="s">
        <v>822</v>
      </c>
      <c r="C104" t="s">
        <v>767</v>
      </c>
      <c r="D104">
        <v>72</v>
      </c>
      <c r="E104"/>
    </row>
    <row r="105" spans="1:5" x14ac:dyDescent="0.2">
      <c r="A105"/>
      <c r="B105" t="s">
        <v>823</v>
      </c>
      <c r="C105" t="s">
        <v>762</v>
      </c>
      <c r="D105">
        <v>48</v>
      </c>
      <c r="E105"/>
    </row>
    <row r="106" spans="1:5" x14ac:dyDescent="0.2">
      <c r="A106"/>
      <c r="B106" t="s">
        <v>824</v>
      </c>
      <c r="C106" t="s">
        <v>830</v>
      </c>
      <c r="D106">
        <v>36</v>
      </c>
      <c r="E106"/>
    </row>
    <row r="107" spans="1:5" x14ac:dyDescent="0.2">
      <c r="A107" s="173" t="s">
        <v>752</v>
      </c>
      <c r="D107" s="65">
        <f>SUM(D108:D110)</f>
        <v>65</v>
      </c>
      <c r="E107"/>
    </row>
    <row r="108" spans="1:5" x14ac:dyDescent="0.2">
      <c r="B108" t="s">
        <v>822</v>
      </c>
      <c r="C108" t="s">
        <v>759</v>
      </c>
      <c r="D108">
        <v>30</v>
      </c>
      <c r="E108"/>
    </row>
    <row r="109" spans="1:5" x14ac:dyDescent="0.2">
      <c r="A109"/>
      <c r="B109" t="s">
        <v>823</v>
      </c>
      <c r="C109" t="s">
        <v>761</v>
      </c>
      <c r="D109">
        <v>19</v>
      </c>
      <c r="E109"/>
    </row>
    <row r="110" spans="1:5" x14ac:dyDescent="0.2">
      <c r="A110"/>
      <c r="B110" t="s">
        <v>824</v>
      </c>
      <c r="C110" t="s">
        <v>780</v>
      </c>
      <c r="D110">
        <v>16</v>
      </c>
      <c r="E110"/>
    </row>
    <row r="111" spans="1:5" x14ac:dyDescent="0.2">
      <c r="A111" s="173" t="s">
        <v>754</v>
      </c>
      <c r="D111" s="65">
        <f>SUM(D112:D114)</f>
        <v>56</v>
      </c>
      <c r="E111"/>
    </row>
    <row r="112" spans="1:5" x14ac:dyDescent="0.2">
      <c r="B112" t="s">
        <v>822</v>
      </c>
      <c r="C112" t="s">
        <v>763</v>
      </c>
      <c r="D112">
        <v>22</v>
      </c>
      <c r="E112"/>
    </row>
    <row r="113" spans="1:5" x14ac:dyDescent="0.2">
      <c r="A113"/>
      <c r="B113" t="s">
        <v>823</v>
      </c>
      <c r="C113" t="s">
        <v>759</v>
      </c>
      <c r="D113">
        <v>21</v>
      </c>
      <c r="E113"/>
    </row>
    <row r="114" spans="1:5" x14ac:dyDescent="0.2">
      <c r="A114"/>
      <c r="B114" t="s">
        <v>824</v>
      </c>
      <c r="C114" t="s">
        <v>761</v>
      </c>
      <c r="D114">
        <v>13</v>
      </c>
      <c r="E114"/>
    </row>
    <row r="115" spans="1:5" x14ac:dyDescent="0.2">
      <c r="A115" s="173" t="s">
        <v>799</v>
      </c>
      <c r="D115" s="65">
        <f>SUM(D116:D118)</f>
        <v>161</v>
      </c>
      <c r="E115"/>
    </row>
    <row r="116" spans="1:5" x14ac:dyDescent="0.2">
      <c r="B116" t="s">
        <v>822</v>
      </c>
      <c r="C116" t="s">
        <v>759</v>
      </c>
      <c r="D116">
        <v>72</v>
      </c>
      <c r="E116"/>
    </row>
    <row r="117" spans="1:5" x14ac:dyDescent="0.2">
      <c r="A117"/>
      <c r="B117" t="s">
        <v>823</v>
      </c>
      <c r="C117" t="s">
        <v>765</v>
      </c>
      <c r="D117">
        <v>55</v>
      </c>
      <c r="E117"/>
    </row>
    <row r="118" spans="1:5" x14ac:dyDescent="0.2">
      <c r="A118"/>
      <c r="B118" t="s">
        <v>824</v>
      </c>
      <c r="C118" t="s">
        <v>771</v>
      </c>
      <c r="D118">
        <v>34</v>
      </c>
      <c r="E118"/>
    </row>
    <row r="119" spans="1:5" x14ac:dyDescent="0.2">
      <c r="A119" s="173" t="s">
        <v>800</v>
      </c>
      <c r="D119" s="65">
        <f>SUM(D120:D122)</f>
        <v>97</v>
      </c>
      <c r="E119"/>
    </row>
    <row r="120" spans="1:5" x14ac:dyDescent="0.2">
      <c r="B120" t="s">
        <v>822</v>
      </c>
      <c r="C120" t="s">
        <v>759</v>
      </c>
      <c r="D120">
        <v>47</v>
      </c>
      <c r="E120"/>
    </row>
    <row r="121" spans="1:5" x14ac:dyDescent="0.2">
      <c r="A121"/>
      <c r="B121" t="s">
        <v>823</v>
      </c>
      <c r="C121" t="s">
        <v>833</v>
      </c>
      <c r="D121">
        <v>30</v>
      </c>
      <c r="E121"/>
    </row>
    <row r="122" spans="1:5" x14ac:dyDescent="0.2">
      <c r="A122"/>
      <c r="B122" t="s">
        <v>824</v>
      </c>
      <c r="C122" t="s">
        <v>780</v>
      </c>
      <c r="D122">
        <v>20</v>
      </c>
      <c r="E122"/>
    </row>
    <row r="123" spans="1:5" x14ac:dyDescent="0.2">
      <c r="A123" s="173" t="s">
        <v>834</v>
      </c>
      <c r="D123" s="65">
        <f>SUM(D124:D125)</f>
        <v>9</v>
      </c>
      <c r="E123"/>
    </row>
    <row r="124" spans="1:5" x14ac:dyDescent="0.2">
      <c r="B124" t="s">
        <v>822</v>
      </c>
      <c r="C124" t="s">
        <v>759</v>
      </c>
      <c r="D124">
        <v>8</v>
      </c>
      <c r="E124"/>
    </row>
    <row r="125" spans="1:5" x14ac:dyDescent="0.2">
      <c r="A125"/>
      <c r="B125" t="s">
        <v>824</v>
      </c>
      <c r="C125" t="s">
        <v>771</v>
      </c>
      <c r="D125">
        <v>1</v>
      </c>
      <c r="E125"/>
    </row>
    <row r="126" spans="1:5" x14ac:dyDescent="0.2">
      <c r="A126" s="173" t="s">
        <v>835</v>
      </c>
      <c r="D126" s="65">
        <f>SUM(D127:D128)</f>
        <v>6</v>
      </c>
      <c r="E126"/>
    </row>
    <row r="127" spans="1:5" x14ac:dyDescent="0.2">
      <c r="B127" t="s">
        <v>822</v>
      </c>
      <c r="C127" t="s">
        <v>759</v>
      </c>
      <c r="D127">
        <v>5</v>
      </c>
      <c r="E127"/>
    </row>
    <row r="128" spans="1:5" x14ac:dyDescent="0.2">
      <c r="A128"/>
      <c r="B128" t="s">
        <v>824</v>
      </c>
      <c r="C128" t="s">
        <v>761</v>
      </c>
      <c r="D128">
        <v>1</v>
      </c>
      <c r="E128"/>
    </row>
    <row r="129" spans="1:5" x14ac:dyDescent="0.2">
      <c r="A129" s="173" t="s">
        <v>783</v>
      </c>
      <c r="D129" s="65">
        <f>SUM(D130:D131)</f>
        <v>205</v>
      </c>
      <c r="E129"/>
    </row>
    <row r="130" spans="1:5" x14ac:dyDescent="0.2">
      <c r="B130" t="s">
        <v>822</v>
      </c>
      <c r="C130" t="s">
        <v>759</v>
      </c>
      <c r="D130">
        <v>141</v>
      </c>
      <c r="E130"/>
    </row>
    <row r="131" spans="1:5" x14ac:dyDescent="0.2">
      <c r="A131"/>
      <c r="B131" t="s">
        <v>823</v>
      </c>
      <c r="C131" t="s">
        <v>763</v>
      </c>
      <c r="D131">
        <v>64</v>
      </c>
      <c r="E131"/>
    </row>
    <row r="132" spans="1:5" x14ac:dyDescent="0.2">
      <c r="A132" s="173" t="s">
        <v>753</v>
      </c>
      <c r="D132" s="65">
        <f>SUM(D133:D135)</f>
        <v>224</v>
      </c>
      <c r="E132"/>
    </row>
    <row r="133" spans="1:5" x14ac:dyDescent="0.2">
      <c r="B133" t="s">
        <v>822</v>
      </c>
      <c r="C133" t="s">
        <v>759</v>
      </c>
      <c r="D133">
        <v>129</v>
      </c>
      <c r="E133"/>
    </row>
    <row r="134" spans="1:5" x14ac:dyDescent="0.2">
      <c r="A134"/>
      <c r="B134" t="s">
        <v>836</v>
      </c>
      <c r="C134" t="s">
        <v>765</v>
      </c>
      <c r="D134">
        <v>66</v>
      </c>
      <c r="E134"/>
    </row>
    <row r="135" spans="1:5" x14ac:dyDescent="0.2">
      <c r="A135"/>
      <c r="B135" t="s">
        <v>824</v>
      </c>
      <c r="C135" t="s">
        <v>771</v>
      </c>
      <c r="D135">
        <v>29</v>
      </c>
      <c r="E135"/>
    </row>
    <row r="136" spans="1:5" x14ac:dyDescent="0.2">
      <c r="A136" s="173" t="s">
        <v>785</v>
      </c>
      <c r="D136" s="65">
        <f>SUM(D137:D139)</f>
        <v>14</v>
      </c>
      <c r="E136"/>
    </row>
    <row r="137" spans="1:5" x14ac:dyDescent="0.2">
      <c r="B137" t="s">
        <v>822</v>
      </c>
      <c r="C137" t="s">
        <v>763</v>
      </c>
      <c r="D137">
        <v>10</v>
      </c>
      <c r="E137"/>
    </row>
    <row r="138" spans="1:5" x14ac:dyDescent="0.2">
      <c r="A138"/>
      <c r="B138" t="s">
        <v>823</v>
      </c>
      <c r="C138" t="s">
        <v>780</v>
      </c>
      <c r="D138">
        <v>2</v>
      </c>
      <c r="E138"/>
    </row>
    <row r="139" spans="1:5" x14ac:dyDescent="0.2">
      <c r="A139"/>
      <c r="B139" t="s">
        <v>824</v>
      </c>
      <c r="C139" t="s">
        <v>837</v>
      </c>
      <c r="D139">
        <v>2</v>
      </c>
      <c r="E139"/>
    </row>
    <row r="140" spans="1:5" x14ac:dyDescent="0.2">
      <c r="A140" s="173" t="s">
        <v>755</v>
      </c>
      <c r="D140" s="65">
        <f>SUM(D141:D143)</f>
        <v>88</v>
      </c>
      <c r="E140"/>
    </row>
    <row r="141" spans="1:5" x14ac:dyDescent="0.2">
      <c r="B141" t="s">
        <v>822</v>
      </c>
      <c r="C141" t="s">
        <v>763</v>
      </c>
      <c r="D141">
        <v>46</v>
      </c>
      <c r="E141"/>
    </row>
    <row r="142" spans="1:5" x14ac:dyDescent="0.2">
      <c r="A142"/>
      <c r="B142" t="s">
        <v>823</v>
      </c>
      <c r="C142" t="s">
        <v>772</v>
      </c>
      <c r="D142">
        <v>33</v>
      </c>
      <c r="E142"/>
    </row>
    <row r="143" spans="1:5" x14ac:dyDescent="0.2">
      <c r="A143"/>
      <c r="B143" t="s">
        <v>824</v>
      </c>
      <c r="C143" t="s">
        <v>838</v>
      </c>
      <c r="D143">
        <v>9</v>
      </c>
      <c r="E143"/>
    </row>
    <row r="144" spans="1:5" x14ac:dyDescent="0.2">
      <c r="A144" s="173" t="s">
        <v>839</v>
      </c>
      <c r="D144" s="65">
        <f>SUM(D145:D149)</f>
        <v>644</v>
      </c>
      <c r="E144"/>
    </row>
    <row r="145" spans="1:5" x14ac:dyDescent="0.2">
      <c r="B145" t="s">
        <v>822</v>
      </c>
      <c r="C145" t="s">
        <v>759</v>
      </c>
      <c r="D145">
        <v>508</v>
      </c>
      <c r="E145"/>
    </row>
    <row r="146" spans="1:5" x14ac:dyDescent="0.2">
      <c r="A146"/>
      <c r="B146" t="s">
        <v>823</v>
      </c>
      <c r="C146" t="s">
        <v>762</v>
      </c>
      <c r="D146">
        <v>72</v>
      </c>
      <c r="E146"/>
    </row>
    <row r="147" spans="1:5" x14ac:dyDescent="0.2">
      <c r="A147"/>
      <c r="B147" t="s">
        <v>824</v>
      </c>
      <c r="C147" t="s">
        <v>830</v>
      </c>
      <c r="D147">
        <v>12</v>
      </c>
      <c r="E147"/>
    </row>
    <row r="148" spans="1:5" x14ac:dyDescent="0.2">
      <c r="A148"/>
      <c r="B148" t="s">
        <v>831</v>
      </c>
      <c r="C148" t="s">
        <v>759</v>
      </c>
      <c r="D148">
        <v>30</v>
      </c>
      <c r="E148"/>
    </row>
    <row r="149" spans="1:5" x14ac:dyDescent="0.2">
      <c r="A149"/>
      <c r="B149" t="s">
        <v>832</v>
      </c>
      <c r="C149" t="s">
        <v>759</v>
      </c>
      <c r="D149">
        <v>22</v>
      </c>
      <c r="E149"/>
    </row>
    <row r="150" spans="1:5" x14ac:dyDescent="0.2">
      <c r="A150" s="173" t="s">
        <v>786</v>
      </c>
      <c r="D150" s="65">
        <f>SUM(D151:D153)</f>
        <v>46</v>
      </c>
      <c r="E150"/>
    </row>
    <row r="151" spans="1:5" x14ac:dyDescent="0.2">
      <c r="B151" t="s">
        <v>822</v>
      </c>
      <c r="C151" t="s">
        <v>763</v>
      </c>
      <c r="D151">
        <v>28</v>
      </c>
      <c r="E151"/>
    </row>
    <row r="152" spans="1:5" x14ac:dyDescent="0.2">
      <c r="A152"/>
      <c r="B152" t="s">
        <v>823</v>
      </c>
      <c r="C152" t="s">
        <v>763</v>
      </c>
      <c r="D152">
        <v>12</v>
      </c>
      <c r="E152"/>
    </row>
    <row r="153" spans="1:5" x14ac:dyDescent="0.2">
      <c r="A153"/>
      <c r="B153" t="s">
        <v>824</v>
      </c>
      <c r="C153" t="s">
        <v>830</v>
      </c>
      <c r="D153">
        <v>6</v>
      </c>
      <c r="E153"/>
    </row>
    <row r="154" spans="1:5" x14ac:dyDescent="0.2">
      <c r="A154" s="173" t="s">
        <v>779</v>
      </c>
      <c r="D154" s="65">
        <f>SUM(D155)</f>
        <v>1</v>
      </c>
      <c r="E154"/>
    </row>
    <row r="155" spans="1:5" x14ac:dyDescent="0.2">
      <c r="B155" t="s">
        <v>824</v>
      </c>
      <c r="C155" t="s">
        <v>830</v>
      </c>
      <c r="D155">
        <v>1</v>
      </c>
      <c r="E155"/>
    </row>
    <row r="156" spans="1:5" x14ac:dyDescent="0.2">
      <c r="A156" s="173" t="s">
        <v>757</v>
      </c>
      <c r="D156" s="65">
        <f>SUM(D157)</f>
        <v>4</v>
      </c>
      <c r="E156"/>
    </row>
    <row r="157" spans="1:5" x14ac:dyDescent="0.2">
      <c r="B157" t="s">
        <v>840</v>
      </c>
      <c r="C157" t="s">
        <v>841</v>
      </c>
      <c r="D157">
        <v>4</v>
      </c>
      <c r="E157"/>
    </row>
    <row r="158" spans="1:5" x14ac:dyDescent="0.2">
      <c r="A158" s="173" t="s">
        <v>842</v>
      </c>
      <c r="D158" s="65">
        <f>SUM(D159)</f>
        <v>4</v>
      </c>
      <c r="E158"/>
    </row>
    <row r="159" spans="1:5" x14ac:dyDescent="0.2">
      <c r="B159" t="s">
        <v>843</v>
      </c>
      <c r="C159" t="s">
        <v>841</v>
      </c>
      <c r="D159">
        <v>4</v>
      </c>
      <c r="E159"/>
    </row>
    <row r="160" spans="1:5" x14ac:dyDescent="0.2">
      <c r="A160" s="173" t="s">
        <v>758</v>
      </c>
      <c r="D160" s="65">
        <f>SUM(D161)</f>
        <v>12</v>
      </c>
      <c r="E160"/>
    </row>
    <row r="161" spans="1:5" x14ac:dyDescent="0.2">
      <c r="B161" t="s">
        <v>843</v>
      </c>
      <c r="C161" t="s">
        <v>841</v>
      </c>
      <c r="D161">
        <v>12</v>
      </c>
      <c r="E161"/>
    </row>
    <row r="162" spans="1:5" x14ac:dyDescent="0.2">
      <c r="A162" s="173" t="s">
        <v>782</v>
      </c>
      <c r="D162" s="65">
        <f>SUM(D163)</f>
        <v>2</v>
      </c>
      <c r="E162"/>
    </row>
    <row r="163" spans="1:5" x14ac:dyDescent="0.2">
      <c r="B163" t="s">
        <v>843</v>
      </c>
      <c r="C163" t="s">
        <v>841</v>
      </c>
      <c r="D163">
        <v>2</v>
      </c>
      <c r="E163"/>
    </row>
    <row r="164" spans="1:5" x14ac:dyDescent="0.2">
      <c r="A164" s="173" t="s">
        <v>764</v>
      </c>
      <c r="D164" s="65">
        <f>SUM(D165)</f>
        <v>70</v>
      </c>
      <c r="E164"/>
    </row>
    <row r="165" spans="1:5" x14ac:dyDescent="0.2">
      <c r="B165" t="s">
        <v>831</v>
      </c>
      <c r="C165" t="s">
        <v>759</v>
      </c>
      <c r="D165">
        <v>70</v>
      </c>
      <c r="E165"/>
    </row>
    <row r="166" spans="1:5" x14ac:dyDescent="0.2">
      <c r="A166" s="173" t="s">
        <v>826</v>
      </c>
      <c r="D166" s="65">
        <f>SUM(D167)</f>
        <v>22</v>
      </c>
      <c r="E166"/>
    </row>
    <row r="167" spans="1:5" x14ac:dyDescent="0.2">
      <c r="B167" t="s">
        <v>844</v>
      </c>
      <c r="C167" t="s">
        <v>759</v>
      </c>
      <c r="D167">
        <v>22</v>
      </c>
      <c r="E167"/>
    </row>
    <row r="168" spans="1:5" x14ac:dyDescent="0.2">
      <c r="A168" s="172" t="s">
        <v>33</v>
      </c>
      <c r="B168" s="172"/>
      <c r="C168" s="172"/>
      <c r="D168" s="178">
        <f>SUM(D5+D10+D12+D14+D21+D25+D31+D35+D41+D44+D46+D49+D51+D54+D56+D58+D61+D64+D68+D71+D75+D78+D82+D85+D88+D91+D97+D100+D103+D107+D111+D115+D123+D126+D132+D136+D140+D144+D150+D154+D156+D158+D160+D162+D164+D166+D129+D119)</f>
        <v>4334</v>
      </c>
      <c r="E168"/>
    </row>
    <row r="169" spans="1:5" x14ac:dyDescent="0.2">
      <c r="A169"/>
      <c r="B169"/>
      <c r="C169"/>
      <c r="D169" s="177"/>
      <c r="E169"/>
    </row>
    <row r="170" spans="1:5" x14ac:dyDescent="0.2">
      <c r="A170" s="279" t="s">
        <v>845</v>
      </c>
      <c r="B170" s="279"/>
      <c r="C170" s="279"/>
      <c r="D170" s="279"/>
      <c r="E170" s="279"/>
    </row>
    <row r="171" spans="1:5" x14ac:dyDescent="0.2">
      <c r="A171"/>
      <c r="B171"/>
      <c r="C171"/>
      <c r="D171"/>
      <c r="E171"/>
    </row>
    <row r="172" spans="1:5" x14ac:dyDescent="0.2">
      <c r="A172"/>
      <c r="B172"/>
      <c r="C172"/>
      <c r="D172"/>
      <c r="E172"/>
    </row>
  </sheetData>
  <mergeCells count="2">
    <mergeCell ref="A4:D4"/>
    <mergeCell ref="A170:E170"/>
  </mergeCells>
  <pageMargins left="0.7" right="0.7" top="0.75" bottom="0.75" header="0.3" footer="0.3"/>
  <pageSetup orientation="portrait"/>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002060"/>
  </sheetPr>
  <dimension ref="A1:D42"/>
  <sheetViews>
    <sheetView showGridLines="0" topLeftCell="A31" zoomScale="78" workbookViewId="0">
      <selection activeCell="E40" sqref="E40"/>
    </sheetView>
  </sheetViews>
  <sheetFormatPr baseColWidth="10" defaultColWidth="8.83203125" defaultRowHeight="15" x14ac:dyDescent="0.2"/>
  <cols>
    <col min="1" max="1" width="28.1640625" style="2" bestFit="1" customWidth="1"/>
    <col min="2" max="2" width="36.5" style="2" bestFit="1" customWidth="1"/>
    <col min="3" max="3" width="11.6640625" style="2" bestFit="1" customWidth="1"/>
    <col min="4" max="4" width="7" style="2" bestFit="1" customWidth="1"/>
    <col min="5" max="16384" width="8.83203125" style="2"/>
  </cols>
  <sheetData>
    <row r="1" spans="1:4" ht="16" x14ac:dyDescent="0.2">
      <c r="A1" s="1" t="s">
        <v>847</v>
      </c>
      <c r="B1" s="1"/>
      <c r="C1" s="1"/>
      <c r="D1" s="1"/>
    </row>
    <row r="2" spans="1:4" ht="16" x14ac:dyDescent="0.2">
      <c r="A2" s="1"/>
      <c r="B2" s="1"/>
      <c r="C2" s="1"/>
      <c r="D2" s="1"/>
    </row>
    <row r="3" spans="1:4" x14ac:dyDescent="0.2">
      <c r="A3" s="20" t="s">
        <v>787</v>
      </c>
      <c r="B3" s="20" t="s">
        <v>788</v>
      </c>
      <c r="C3" s="20" t="s">
        <v>789</v>
      </c>
    </row>
    <row r="4" spans="1:4" x14ac:dyDescent="0.2">
      <c r="A4" s="174" t="s">
        <v>790</v>
      </c>
      <c r="B4" s="175">
        <v>7</v>
      </c>
      <c r="C4" s="175">
        <v>103</v>
      </c>
    </row>
    <row r="5" spans="1:4" x14ac:dyDescent="0.2">
      <c r="A5" t="s">
        <v>797</v>
      </c>
      <c r="B5">
        <v>7</v>
      </c>
      <c r="C5">
        <v>103</v>
      </c>
    </row>
    <row r="6" spans="1:4" x14ac:dyDescent="0.2">
      <c r="A6" s="174" t="s">
        <v>791</v>
      </c>
      <c r="B6" s="175">
        <v>11</v>
      </c>
      <c r="C6" s="175">
        <v>146</v>
      </c>
    </row>
    <row r="7" spans="1:4" x14ac:dyDescent="0.2">
      <c r="A7" t="s">
        <v>806</v>
      </c>
      <c r="B7">
        <v>5</v>
      </c>
      <c r="C7">
        <v>103</v>
      </c>
    </row>
    <row r="8" spans="1:4" x14ac:dyDescent="0.2">
      <c r="A8" t="s">
        <v>799</v>
      </c>
      <c r="B8">
        <v>6</v>
      </c>
      <c r="C8">
        <v>43</v>
      </c>
    </row>
    <row r="9" spans="1:4" x14ac:dyDescent="0.2">
      <c r="A9" s="174" t="s">
        <v>792</v>
      </c>
      <c r="B9" s="175">
        <v>23</v>
      </c>
      <c r="C9" s="175">
        <v>516</v>
      </c>
    </row>
    <row r="10" spans="1:4" x14ac:dyDescent="0.2">
      <c r="A10" t="s">
        <v>850</v>
      </c>
      <c r="B10">
        <v>23</v>
      </c>
      <c r="C10">
        <v>516</v>
      </c>
    </row>
    <row r="11" spans="1:4" x14ac:dyDescent="0.2">
      <c r="A11" s="174" t="s">
        <v>793</v>
      </c>
      <c r="B11" s="175">
        <v>57</v>
      </c>
      <c r="C11" s="175">
        <v>3502</v>
      </c>
    </row>
    <row r="12" spans="1:4" x14ac:dyDescent="0.2">
      <c r="A12" t="s">
        <v>826</v>
      </c>
      <c r="B12">
        <v>19</v>
      </c>
      <c r="C12">
        <v>386</v>
      </c>
    </row>
    <row r="13" spans="1:4" x14ac:dyDescent="0.2">
      <c r="A13" t="s">
        <v>810</v>
      </c>
      <c r="B13">
        <v>14</v>
      </c>
      <c r="C13" s="177">
        <v>2379</v>
      </c>
    </row>
    <row r="14" spans="1:4" x14ac:dyDescent="0.2">
      <c r="A14" t="s">
        <v>766</v>
      </c>
      <c r="B14">
        <v>12</v>
      </c>
      <c r="C14">
        <v>147</v>
      </c>
    </row>
    <row r="15" spans="1:4" x14ac:dyDescent="0.2">
      <c r="A15" t="s">
        <v>785</v>
      </c>
      <c r="B15">
        <v>5</v>
      </c>
      <c r="C15">
        <v>69</v>
      </c>
    </row>
    <row r="16" spans="1:4" x14ac:dyDescent="0.2">
      <c r="A16" t="s">
        <v>768</v>
      </c>
      <c r="B16">
        <v>7</v>
      </c>
      <c r="C16">
        <v>521</v>
      </c>
    </row>
    <row r="17" spans="1:3" x14ac:dyDescent="0.2">
      <c r="A17" s="174" t="s">
        <v>794</v>
      </c>
      <c r="B17" s="175">
        <v>67</v>
      </c>
      <c r="C17" s="175">
        <v>1339</v>
      </c>
    </row>
    <row r="18" spans="1:3" x14ac:dyDescent="0.2">
      <c r="A18" t="s">
        <v>851</v>
      </c>
      <c r="B18">
        <v>3</v>
      </c>
      <c r="C18">
        <v>107</v>
      </c>
    </row>
    <row r="19" spans="1:3" x14ac:dyDescent="0.2">
      <c r="A19" t="s">
        <v>774</v>
      </c>
      <c r="B19">
        <v>14</v>
      </c>
      <c r="C19">
        <v>112</v>
      </c>
    </row>
    <row r="20" spans="1:3" x14ac:dyDescent="0.2">
      <c r="A20" t="s">
        <v>852</v>
      </c>
      <c r="B20">
        <v>4</v>
      </c>
      <c r="C20">
        <v>121</v>
      </c>
    </row>
    <row r="21" spans="1:3" x14ac:dyDescent="0.2">
      <c r="A21" t="s">
        <v>752</v>
      </c>
      <c r="B21">
        <v>3</v>
      </c>
      <c r="C21">
        <v>66</v>
      </c>
    </row>
    <row r="22" spans="1:3" x14ac:dyDescent="0.2">
      <c r="A22" t="s">
        <v>754</v>
      </c>
      <c r="B22">
        <v>6</v>
      </c>
      <c r="C22">
        <v>89</v>
      </c>
    </row>
    <row r="23" spans="1:3" x14ac:dyDescent="0.2">
      <c r="A23" t="s">
        <v>801</v>
      </c>
      <c r="B23">
        <v>5</v>
      </c>
      <c r="C23">
        <v>70</v>
      </c>
    </row>
    <row r="24" spans="1:3" x14ac:dyDescent="0.2">
      <c r="A24" t="s">
        <v>853</v>
      </c>
      <c r="B24">
        <v>5</v>
      </c>
      <c r="C24">
        <v>62</v>
      </c>
    </row>
    <row r="25" spans="1:3" x14ac:dyDescent="0.2">
      <c r="A25" t="s">
        <v>800</v>
      </c>
      <c r="B25">
        <v>4</v>
      </c>
      <c r="C25">
        <v>90</v>
      </c>
    </row>
    <row r="26" spans="1:3" x14ac:dyDescent="0.2">
      <c r="A26" t="s">
        <v>784</v>
      </c>
      <c r="B26">
        <v>23</v>
      </c>
      <c r="C26">
        <v>622</v>
      </c>
    </row>
    <row r="27" spans="1:3" x14ac:dyDescent="0.2">
      <c r="A27" s="174" t="s">
        <v>795</v>
      </c>
      <c r="B27" s="175">
        <v>7</v>
      </c>
      <c r="C27" s="175">
        <v>116</v>
      </c>
    </row>
    <row r="28" spans="1:3" x14ac:dyDescent="0.2">
      <c r="A28" t="s">
        <v>770</v>
      </c>
      <c r="B28">
        <v>7</v>
      </c>
      <c r="C28">
        <v>116</v>
      </c>
    </row>
    <row r="29" spans="1:3" x14ac:dyDescent="0.2">
      <c r="A29" s="174" t="s">
        <v>796</v>
      </c>
      <c r="B29" s="175">
        <v>29</v>
      </c>
      <c r="C29" s="175">
        <v>746</v>
      </c>
    </row>
    <row r="30" spans="1:3" x14ac:dyDescent="0.2">
      <c r="A30" t="s">
        <v>756</v>
      </c>
      <c r="B30">
        <v>5</v>
      </c>
      <c r="C30">
        <v>322</v>
      </c>
    </row>
    <row r="31" spans="1:3" x14ac:dyDescent="0.2">
      <c r="A31" t="s">
        <v>775</v>
      </c>
      <c r="B31">
        <v>12</v>
      </c>
      <c r="C31">
        <v>172</v>
      </c>
    </row>
    <row r="32" spans="1:3" x14ac:dyDescent="0.2">
      <c r="A32" t="s">
        <v>802</v>
      </c>
      <c r="B32">
        <v>5</v>
      </c>
      <c r="C32">
        <v>47</v>
      </c>
    </row>
    <row r="33" spans="1:4" x14ac:dyDescent="0.2">
      <c r="A33" t="s">
        <v>803</v>
      </c>
      <c r="B33">
        <v>2</v>
      </c>
      <c r="C33">
        <v>29</v>
      </c>
    </row>
    <row r="34" spans="1:4" x14ac:dyDescent="0.2">
      <c r="A34" t="s">
        <v>856</v>
      </c>
      <c r="B34">
        <v>5</v>
      </c>
      <c r="C34">
        <v>176</v>
      </c>
    </row>
    <row r="35" spans="1:4" x14ac:dyDescent="0.2">
      <c r="A35" s="174" t="s">
        <v>457</v>
      </c>
      <c r="B35" s="175">
        <v>14</v>
      </c>
      <c r="C35" s="175">
        <v>275</v>
      </c>
    </row>
    <row r="36" spans="1:4" x14ac:dyDescent="0.2">
      <c r="A36" t="s">
        <v>804</v>
      </c>
      <c r="B36">
        <v>6</v>
      </c>
      <c r="C36">
        <v>83</v>
      </c>
    </row>
    <row r="37" spans="1:4" x14ac:dyDescent="0.2">
      <c r="A37" t="s">
        <v>854</v>
      </c>
      <c r="B37">
        <v>5</v>
      </c>
      <c r="C37">
        <v>158</v>
      </c>
    </row>
    <row r="38" spans="1:4" x14ac:dyDescent="0.2">
      <c r="A38" t="s">
        <v>855</v>
      </c>
      <c r="B38">
        <v>3</v>
      </c>
      <c r="C38">
        <v>34</v>
      </c>
    </row>
    <row r="39" spans="1:4" x14ac:dyDescent="0.2">
      <c r="A39" s="87" t="s">
        <v>33</v>
      </c>
      <c r="B39" s="176">
        <f>SUM(B4+B6+B9+B11+B17+B27+B29+B35)</f>
        <v>215</v>
      </c>
      <c r="C39" s="176">
        <f>SUM(C4+C6+C9+C11+C17+C27+C29+C35)</f>
        <v>6743</v>
      </c>
    </row>
    <row r="41" spans="1:4" x14ac:dyDescent="0.2">
      <c r="A41" s="179" t="s">
        <v>805</v>
      </c>
      <c r="B41" s="179"/>
      <c r="C41" s="179"/>
      <c r="D41" s="179"/>
    </row>
    <row r="42" spans="1:4" x14ac:dyDescent="0.2">
      <c r="A42" s="280" t="s">
        <v>848</v>
      </c>
      <c r="B42" s="280"/>
      <c r="C42" s="280"/>
      <c r="D42" s="280"/>
    </row>
  </sheetData>
  <mergeCells count="1">
    <mergeCell ref="A42:D42"/>
  </mergeCells>
  <pageMargins left="0.7" right="0.7" top="0.75" bottom="0.75" header="0.3" footer="0.3"/>
  <pageSetup orientation="portrait"/>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002060"/>
  </sheetPr>
  <dimension ref="A1:M20"/>
  <sheetViews>
    <sheetView showGridLines="0" zoomScale="84" workbookViewId="0">
      <selection activeCell="C22" sqref="C22"/>
    </sheetView>
  </sheetViews>
  <sheetFormatPr baseColWidth="10" defaultColWidth="8.83203125" defaultRowHeight="15" x14ac:dyDescent="0.2"/>
  <cols>
    <col min="1" max="1" width="17.5" style="2" bestFit="1" customWidth="1"/>
    <col min="2" max="2" width="21.33203125" style="2" customWidth="1"/>
    <col min="3" max="3" width="21.1640625" style="2" customWidth="1"/>
    <col min="4" max="4" width="22.33203125" style="2" bestFit="1" customWidth="1"/>
    <col min="5" max="5" width="10.5" style="2" bestFit="1" customWidth="1"/>
    <col min="6" max="6" width="17.5" style="2" bestFit="1" customWidth="1"/>
    <col min="7" max="7" width="10.33203125" style="2" customWidth="1"/>
    <col min="8" max="8" width="16.5" style="2" bestFit="1" customWidth="1"/>
    <col min="9" max="9" width="7.1640625" style="2" customWidth="1"/>
    <col min="10" max="10" width="12.1640625" style="2" bestFit="1" customWidth="1"/>
    <col min="11" max="11" width="9.33203125" style="2" bestFit="1" customWidth="1"/>
    <col min="12" max="12" width="17.1640625" style="2" customWidth="1"/>
    <col min="13" max="16384" width="8.83203125" style="2"/>
  </cols>
  <sheetData>
    <row r="1" spans="1:13" ht="16" x14ac:dyDescent="0.2">
      <c r="A1" s="1" t="s">
        <v>849</v>
      </c>
      <c r="B1" s="1"/>
      <c r="C1" s="1"/>
      <c r="D1" s="1"/>
      <c r="E1" s="1"/>
      <c r="F1" s="1"/>
      <c r="G1" s="1"/>
      <c r="H1" s="1"/>
      <c r="I1" s="1"/>
      <c r="J1" s="1"/>
      <c r="K1" s="1"/>
      <c r="L1" s="1"/>
      <c r="M1" s="1"/>
    </row>
    <row r="2" spans="1:13" ht="16" x14ac:dyDescent="0.2">
      <c r="A2" s="1"/>
      <c r="B2" s="1"/>
      <c r="C2" s="1"/>
      <c r="D2" s="1"/>
      <c r="E2" s="1"/>
      <c r="F2" s="1"/>
      <c r="G2" s="1"/>
      <c r="H2" s="1"/>
      <c r="I2" s="1"/>
      <c r="J2" s="1"/>
      <c r="K2" s="1"/>
      <c r="L2" s="1"/>
      <c r="M2" s="1"/>
    </row>
    <row r="3" spans="1:13" ht="16" x14ac:dyDescent="0.2">
      <c r="A3" s="254" t="s">
        <v>64</v>
      </c>
      <c r="B3" s="254" t="s">
        <v>921</v>
      </c>
      <c r="C3" s="254" t="s">
        <v>922</v>
      </c>
      <c r="D3" s="254" t="s">
        <v>923</v>
      </c>
      <c r="E3" s="254" t="s">
        <v>924</v>
      </c>
      <c r="F3" s="256" t="s">
        <v>925</v>
      </c>
      <c r="G3" s="256"/>
      <c r="H3" s="256"/>
      <c r="I3" s="22"/>
      <c r="J3" s="256" t="s">
        <v>926</v>
      </c>
      <c r="K3" s="256"/>
      <c r="L3" s="256"/>
      <c r="M3" s="1"/>
    </row>
    <row r="4" spans="1:13" x14ac:dyDescent="0.2">
      <c r="A4" s="255"/>
      <c r="B4" s="255"/>
      <c r="C4" s="255"/>
      <c r="D4" s="255"/>
      <c r="E4" s="255"/>
      <c r="F4" s="3" t="s">
        <v>927</v>
      </c>
      <c r="G4" s="3" t="s">
        <v>928</v>
      </c>
      <c r="H4" s="3" t="s">
        <v>929</v>
      </c>
      <c r="I4" s="3"/>
      <c r="J4" s="3" t="s">
        <v>930</v>
      </c>
      <c r="K4" s="3" t="s">
        <v>931</v>
      </c>
      <c r="L4" s="3" t="s">
        <v>932</v>
      </c>
    </row>
    <row r="5" spans="1:13" x14ac:dyDescent="0.2">
      <c r="A5" s="66" t="s">
        <v>933</v>
      </c>
      <c r="B5" s="2">
        <v>0</v>
      </c>
      <c r="C5" s="2">
        <v>0</v>
      </c>
      <c r="D5" s="2">
        <v>0</v>
      </c>
      <c r="E5" s="2">
        <v>0</v>
      </c>
      <c r="F5" s="2">
        <v>1</v>
      </c>
      <c r="G5" s="2">
        <v>0</v>
      </c>
      <c r="H5" s="2">
        <v>24</v>
      </c>
      <c r="J5" s="2">
        <v>3</v>
      </c>
      <c r="K5" s="2">
        <v>2</v>
      </c>
      <c r="L5" s="2">
        <v>35</v>
      </c>
    </row>
    <row r="6" spans="1:13" x14ac:dyDescent="0.2">
      <c r="A6" s="66" t="s">
        <v>934</v>
      </c>
      <c r="B6" s="2">
        <v>1</v>
      </c>
      <c r="C6" s="2">
        <v>1</v>
      </c>
      <c r="D6" s="2">
        <v>2</v>
      </c>
      <c r="E6" s="2">
        <v>1</v>
      </c>
      <c r="F6" s="2">
        <v>7</v>
      </c>
      <c r="G6" s="2">
        <v>18</v>
      </c>
      <c r="H6" s="2">
        <v>8</v>
      </c>
      <c r="J6" s="2">
        <v>5</v>
      </c>
      <c r="K6" s="2">
        <v>0</v>
      </c>
      <c r="L6" s="2">
        <v>43</v>
      </c>
    </row>
    <row r="7" spans="1:13" x14ac:dyDescent="0.2">
      <c r="A7" s="66" t="s">
        <v>191</v>
      </c>
      <c r="B7" s="2">
        <v>6</v>
      </c>
      <c r="C7" s="2">
        <v>4</v>
      </c>
      <c r="D7" s="2">
        <v>2</v>
      </c>
      <c r="E7" s="2">
        <v>5</v>
      </c>
      <c r="F7" s="2">
        <v>23</v>
      </c>
      <c r="G7" s="2">
        <v>14</v>
      </c>
      <c r="H7" s="2">
        <v>17</v>
      </c>
      <c r="J7" s="2">
        <v>9</v>
      </c>
      <c r="K7" s="2">
        <v>3</v>
      </c>
      <c r="L7" s="2">
        <v>135</v>
      </c>
    </row>
    <row r="8" spans="1:13" x14ac:dyDescent="0.2">
      <c r="A8" s="66" t="s">
        <v>935</v>
      </c>
      <c r="B8" s="2">
        <v>2</v>
      </c>
      <c r="C8" s="2">
        <v>0</v>
      </c>
      <c r="D8" s="2">
        <v>1</v>
      </c>
      <c r="E8" s="2">
        <v>0</v>
      </c>
      <c r="F8" s="2">
        <v>6</v>
      </c>
      <c r="G8" s="2">
        <v>3</v>
      </c>
      <c r="H8" s="2">
        <v>38</v>
      </c>
      <c r="J8" s="2">
        <v>31</v>
      </c>
      <c r="K8" s="2">
        <v>9</v>
      </c>
      <c r="L8" s="2">
        <v>32</v>
      </c>
    </row>
    <row r="9" spans="1:13" x14ac:dyDescent="0.2">
      <c r="A9" s="66" t="s">
        <v>936</v>
      </c>
      <c r="B9" s="2">
        <v>1</v>
      </c>
      <c r="C9" s="2">
        <v>3</v>
      </c>
      <c r="D9" s="2">
        <v>4</v>
      </c>
      <c r="E9" s="2">
        <v>3</v>
      </c>
      <c r="F9" s="2">
        <v>20</v>
      </c>
      <c r="G9" s="2">
        <v>25</v>
      </c>
      <c r="H9" s="2">
        <v>31</v>
      </c>
      <c r="J9" s="2">
        <v>18</v>
      </c>
      <c r="K9" s="2">
        <v>9</v>
      </c>
      <c r="L9" s="2">
        <v>100</v>
      </c>
    </row>
    <row r="10" spans="1:13" x14ac:dyDescent="0.2">
      <c r="A10" s="66" t="s">
        <v>937</v>
      </c>
      <c r="B10" s="2">
        <v>2</v>
      </c>
      <c r="C10" s="2">
        <v>1</v>
      </c>
      <c r="D10" s="2">
        <v>2</v>
      </c>
      <c r="E10" s="2">
        <v>1</v>
      </c>
      <c r="F10" s="2">
        <v>30</v>
      </c>
      <c r="G10" s="2">
        <v>12</v>
      </c>
      <c r="H10" s="2">
        <v>45</v>
      </c>
      <c r="J10" s="2">
        <v>30</v>
      </c>
      <c r="K10" s="2">
        <v>27</v>
      </c>
      <c r="L10" s="2">
        <v>69</v>
      </c>
    </row>
    <row r="11" spans="1:13" x14ac:dyDescent="0.2">
      <c r="A11" s="66" t="s">
        <v>938</v>
      </c>
      <c r="B11" s="2">
        <v>0</v>
      </c>
      <c r="C11" s="2">
        <v>2</v>
      </c>
      <c r="D11" s="2">
        <v>1</v>
      </c>
      <c r="E11" s="2">
        <v>1</v>
      </c>
      <c r="F11" s="2">
        <v>15</v>
      </c>
      <c r="G11" s="2">
        <v>4</v>
      </c>
      <c r="H11" s="2">
        <v>24</v>
      </c>
      <c r="J11" s="2">
        <v>12</v>
      </c>
      <c r="K11" s="2">
        <v>2</v>
      </c>
      <c r="L11" s="2">
        <v>54</v>
      </c>
    </row>
    <row r="12" spans="1:13" x14ac:dyDescent="0.2">
      <c r="A12" s="66" t="s">
        <v>939</v>
      </c>
      <c r="B12" s="2">
        <v>2</v>
      </c>
      <c r="C12" s="2">
        <v>2</v>
      </c>
      <c r="D12" s="2">
        <v>0</v>
      </c>
      <c r="E12" s="2">
        <v>1</v>
      </c>
      <c r="F12" s="2">
        <v>5</v>
      </c>
      <c r="G12" s="2">
        <v>10</v>
      </c>
      <c r="H12" s="2">
        <v>6</v>
      </c>
      <c r="J12" s="2">
        <v>6</v>
      </c>
      <c r="K12" s="2">
        <v>3</v>
      </c>
      <c r="L12" s="2">
        <v>32</v>
      </c>
    </row>
    <row r="13" spans="1:13" x14ac:dyDescent="0.2">
      <c r="A13" s="66" t="s">
        <v>940</v>
      </c>
      <c r="B13" s="2">
        <v>0</v>
      </c>
      <c r="C13" s="2">
        <v>1</v>
      </c>
      <c r="D13" s="2">
        <v>1</v>
      </c>
      <c r="E13" s="2">
        <v>0</v>
      </c>
      <c r="F13" s="2">
        <v>7</v>
      </c>
      <c r="G13" s="2">
        <v>27</v>
      </c>
      <c r="H13" s="2">
        <v>26</v>
      </c>
      <c r="J13" s="2">
        <v>17</v>
      </c>
      <c r="K13" s="2">
        <v>10</v>
      </c>
      <c r="L13" s="2">
        <v>36</v>
      </c>
    </row>
    <row r="14" spans="1:13" x14ac:dyDescent="0.2">
      <c r="A14" s="66" t="s">
        <v>941</v>
      </c>
      <c r="B14" s="2">
        <v>0</v>
      </c>
      <c r="C14" s="2">
        <v>0</v>
      </c>
      <c r="D14" s="2">
        <v>1</v>
      </c>
      <c r="E14" s="2">
        <v>0</v>
      </c>
      <c r="F14" s="2">
        <v>8</v>
      </c>
      <c r="G14" s="2">
        <v>8</v>
      </c>
      <c r="H14" s="2">
        <v>2</v>
      </c>
      <c r="J14" s="2">
        <v>3</v>
      </c>
      <c r="K14" s="2">
        <v>2</v>
      </c>
      <c r="L14" s="2">
        <v>12</v>
      </c>
    </row>
    <row r="15" spans="1:13" x14ac:dyDescent="0.2">
      <c r="A15" s="66" t="s">
        <v>942</v>
      </c>
      <c r="B15" s="2">
        <v>1</v>
      </c>
      <c r="C15" s="2">
        <v>1</v>
      </c>
      <c r="D15" s="2">
        <v>1</v>
      </c>
      <c r="E15" s="2">
        <v>0</v>
      </c>
      <c r="F15" s="2">
        <v>0</v>
      </c>
      <c r="G15" s="2">
        <v>2</v>
      </c>
      <c r="H15" s="2">
        <v>10</v>
      </c>
      <c r="J15" s="2">
        <v>21</v>
      </c>
      <c r="K15" s="2">
        <v>0</v>
      </c>
      <c r="L15" s="2">
        <v>22</v>
      </c>
    </row>
    <row r="16" spans="1:13" x14ac:dyDescent="0.2">
      <c r="A16" s="87" t="s">
        <v>84</v>
      </c>
      <c r="B16" s="184">
        <v>15</v>
      </c>
      <c r="C16" s="184">
        <v>15</v>
      </c>
      <c r="D16" s="184">
        <v>15</v>
      </c>
      <c r="E16" s="184">
        <v>12</v>
      </c>
      <c r="F16" s="184">
        <v>122</v>
      </c>
      <c r="G16" s="184">
        <v>123</v>
      </c>
      <c r="H16" s="184">
        <v>231</v>
      </c>
      <c r="I16" s="184"/>
      <c r="J16" s="184">
        <v>155</v>
      </c>
      <c r="K16" s="184">
        <v>67</v>
      </c>
      <c r="L16" s="184">
        <v>570</v>
      </c>
    </row>
    <row r="18" spans="1:13" ht="14.5" customHeight="1" x14ac:dyDescent="0.2">
      <c r="A18" s="8" t="s">
        <v>943</v>
      </c>
      <c r="B18" s="8"/>
      <c r="C18" s="8"/>
      <c r="D18" s="8"/>
      <c r="E18" s="8"/>
      <c r="F18" s="8"/>
      <c r="G18" s="8"/>
      <c r="H18" s="8"/>
      <c r="I18" s="8"/>
      <c r="J18" s="8"/>
      <c r="K18" s="8"/>
      <c r="L18" s="8"/>
      <c r="M18" s="8"/>
    </row>
    <row r="19" spans="1:13" x14ac:dyDescent="0.2">
      <c r="A19" s="8" t="s">
        <v>944</v>
      </c>
      <c r="B19" s="8"/>
      <c r="C19" s="8"/>
      <c r="D19" s="8"/>
      <c r="E19" s="8"/>
      <c r="F19" s="8"/>
      <c r="G19" s="8"/>
      <c r="H19" s="8"/>
      <c r="I19" s="8"/>
      <c r="J19" s="8"/>
      <c r="K19" s="8"/>
      <c r="L19" s="8"/>
      <c r="M19" s="8"/>
    </row>
    <row r="20" spans="1:13" x14ac:dyDescent="0.2">
      <c r="A20" s="8" t="s">
        <v>848</v>
      </c>
      <c r="B20" s="8"/>
      <c r="C20" s="8"/>
      <c r="D20" s="8"/>
      <c r="E20" s="8"/>
      <c r="F20" s="8"/>
      <c r="G20" s="8"/>
      <c r="H20" s="8"/>
      <c r="I20" s="8"/>
      <c r="J20" s="8"/>
      <c r="K20" s="8"/>
      <c r="L20" s="8"/>
      <c r="M20" s="8"/>
    </row>
  </sheetData>
  <mergeCells count="7">
    <mergeCell ref="J3:L3"/>
    <mergeCell ref="A3:A4"/>
    <mergeCell ref="B3:B4"/>
    <mergeCell ref="C3:C4"/>
    <mergeCell ref="D3:D4"/>
    <mergeCell ref="E3:E4"/>
    <mergeCell ref="F3:H3"/>
  </mergeCells>
  <pageMargins left="0.7" right="0.7" top="0.75" bottom="0.75" header="0.3" footer="0.3"/>
  <pageSetup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C00000"/>
  </sheetPr>
  <dimension ref="A1:F15"/>
  <sheetViews>
    <sheetView showGridLines="0" workbookViewId="0">
      <selection activeCell="A14" sqref="A14:D14"/>
    </sheetView>
  </sheetViews>
  <sheetFormatPr baseColWidth="10" defaultColWidth="8.83203125" defaultRowHeight="15" x14ac:dyDescent="0.2"/>
  <cols>
    <col min="1" max="1" width="12.83203125" style="2" bestFit="1" customWidth="1"/>
    <col min="2" max="2" width="14" style="2" bestFit="1" customWidth="1"/>
    <col min="3" max="4" width="19.1640625" style="2" bestFit="1" customWidth="1"/>
    <col min="5" max="16384" width="8.83203125" style="2"/>
  </cols>
  <sheetData>
    <row r="1" spans="1:6" ht="16" x14ac:dyDescent="0.2">
      <c r="A1" s="1" t="s">
        <v>948</v>
      </c>
      <c r="B1" s="1"/>
      <c r="C1" s="1"/>
      <c r="D1" s="1"/>
    </row>
    <row r="2" spans="1:6" ht="16" x14ac:dyDescent="0.2">
      <c r="A2" s="1"/>
      <c r="B2" s="1"/>
      <c r="C2" s="1"/>
      <c r="D2" s="1"/>
    </row>
    <row r="3" spans="1:6" x14ac:dyDescent="0.2">
      <c r="A3" s="13" t="s">
        <v>64</v>
      </c>
      <c r="B3" s="13" t="s">
        <v>945</v>
      </c>
      <c r="C3" s="13" t="s">
        <v>70</v>
      </c>
    </row>
    <row r="4" spans="1:6" x14ac:dyDescent="0.2">
      <c r="A4" s="66" t="s">
        <v>934</v>
      </c>
      <c r="B4" s="2">
        <v>1</v>
      </c>
      <c r="C4" s="10">
        <v>10500</v>
      </c>
    </row>
    <row r="5" spans="1:6" x14ac:dyDescent="0.2">
      <c r="A5" s="31" t="s">
        <v>73</v>
      </c>
      <c r="B5" s="2">
        <v>46</v>
      </c>
      <c r="C5" s="10">
        <v>472500</v>
      </c>
    </row>
    <row r="6" spans="1:6" x14ac:dyDescent="0.2">
      <c r="A6" s="31" t="s">
        <v>75</v>
      </c>
      <c r="B6" s="2">
        <v>6</v>
      </c>
      <c r="C6" s="10">
        <v>63000</v>
      </c>
    </row>
    <row r="7" spans="1:6" x14ac:dyDescent="0.2">
      <c r="A7" s="66" t="s">
        <v>937</v>
      </c>
      <c r="B7" s="2">
        <v>2</v>
      </c>
      <c r="C7" s="10">
        <v>21000</v>
      </c>
    </row>
    <row r="8" spans="1:6" x14ac:dyDescent="0.2">
      <c r="A8" s="31" t="s">
        <v>78</v>
      </c>
      <c r="B8" s="2">
        <v>18</v>
      </c>
      <c r="C8" s="10">
        <v>189000</v>
      </c>
    </row>
    <row r="9" spans="1:6" x14ac:dyDescent="0.2">
      <c r="A9" s="66" t="s">
        <v>940</v>
      </c>
      <c r="B9" s="2">
        <v>2</v>
      </c>
      <c r="C9" s="10">
        <v>21000</v>
      </c>
    </row>
    <row r="10" spans="1:6" x14ac:dyDescent="0.2">
      <c r="A10" s="31" t="s">
        <v>83</v>
      </c>
      <c r="B10" s="2">
        <v>1</v>
      </c>
      <c r="C10" s="10">
        <v>10500</v>
      </c>
    </row>
    <row r="11" spans="1:6" x14ac:dyDescent="0.2">
      <c r="A11" s="46" t="s">
        <v>84</v>
      </c>
      <c r="B11" s="185">
        <f>SUM(B4:B10)</f>
        <v>76</v>
      </c>
      <c r="C11" s="188">
        <f>SUM(C4:C10)</f>
        <v>787500</v>
      </c>
    </row>
    <row r="12" spans="1:6" x14ac:dyDescent="0.2">
      <c r="A12" s="162"/>
      <c r="B12" s="21"/>
      <c r="C12" s="21"/>
      <c r="D12" s="21"/>
    </row>
    <row r="13" spans="1:6" x14ac:dyDescent="0.2">
      <c r="A13" s="186" t="s">
        <v>946</v>
      </c>
      <c r="B13" s="8"/>
      <c r="C13" s="8"/>
      <c r="D13" s="8"/>
      <c r="F13" s="187"/>
    </row>
    <row r="14" spans="1:6" x14ac:dyDescent="0.2">
      <c r="A14" s="257" t="s">
        <v>25</v>
      </c>
      <c r="B14" s="257"/>
      <c r="C14" s="257"/>
      <c r="D14" s="257"/>
    </row>
    <row r="15" spans="1:6" x14ac:dyDescent="0.2">
      <c r="A15" s="257"/>
      <c r="B15" s="257"/>
      <c r="C15" s="257"/>
      <c r="D15" s="257"/>
    </row>
  </sheetData>
  <mergeCells count="2">
    <mergeCell ref="A14:D14"/>
    <mergeCell ref="A15:D15"/>
  </mergeCells>
  <pageMargins left="0.7" right="0.7" top="0.75" bottom="0.75" header="0.3" footer="0.3"/>
  <pageSetup orientation="portrait"/>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0070C0"/>
  </sheetPr>
  <dimension ref="A1:L22"/>
  <sheetViews>
    <sheetView showGridLines="0" zoomScale="90" zoomScaleNormal="90" workbookViewId="0">
      <selection activeCell="A19" sqref="A19"/>
    </sheetView>
  </sheetViews>
  <sheetFormatPr baseColWidth="10" defaultColWidth="8.83203125" defaultRowHeight="15" x14ac:dyDescent="0.2"/>
  <cols>
    <col min="1" max="1" width="12.83203125" style="2" bestFit="1" customWidth="1"/>
    <col min="2" max="2" width="11.6640625" style="2" bestFit="1" customWidth="1"/>
    <col min="3" max="3" width="10.83203125" style="2" customWidth="1"/>
    <col min="4" max="5" width="14" style="2" bestFit="1" customWidth="1"/>
    <col min="6" max="6" width="8.1640625" style="2" bestFit="1" customWidth="1"/>
    <col min="7" max="7" width="5.1640625" style="2" customWidth="1"/>
    <col min="8" max="8" width="9.33203125" style="2" bestFit="1" customWidth="1"/>
    <col min="9" max="9" width="9.1640625" style="2" bestFit="1" customWidth="1"/>
    <col min="10" max="16384" width="8.83203125" style="2"/>
  </cols>
  <sheetData>
    <row r="1" spans="1:9" ht="16" x14ac:dyDescent="0.2">
      <c r="A1" s="1" t="s">
        <v>1113</v>
      </c>
      <c r="B1" s="1"/>
      <c r="C1" s="1"/>
      <c r="D1" s="1"/>
      <c r="E1" s="1"/>
      <c r="F1" s="1"/>
      <c r="G1" s="1"/>
      <c r="H1" s="1"/>
      <c r="I1" s="1"/>
    </row>
    <row r="2" spans="1:9" ht="16" x14ac:dyDescent="0.2">
      <c r="A2" s="1"/>
      <c r="B2" s="1"/>
      <c r="C2" s="1"/>
      <c r="D2" s="1"/>
      <c r="E2" s="1"/>
      <c r="F2" s="1"/>
      <c r="G2" s="1"/>
      <c r="H2" s="1"/>
      <c r="I2" s="1"/>
    </row>
    <row r="3" spans="1:9" ht="16" x14ac:dyDescent="0.2">
      <c r="A3" s="254" t="s">
        <v>212</v>
      </c>
      <c r="B3" s="256" t="s">
        <v>967</v>
      </c>
      <c r="C3" s="256"/>
      <c r="D3" s="256"/>
      <c r="E3" s="256"/>
      <c r="F3" s="256"/>
      <c r="G3" s="191"/>
      <c r="H3" s="256" t="s">
        <v>968</v>
      </c>
      <c r="I3" s="256"/>
    </row>
    <row r="4" spans="1:9" x14ac:dyDescent="0.2">
      <c r="A4" s="255"/>
      <c r="B4" s="118" t="s">
        <v>969</v>
      </c>
      <c r="C4" s="118" t="s">
        <v>970</v>
      </c>
      <c r="D4" s="118" t="s">
        <v>971</v>
      </c>
      <c r="E4" s="118" t="s">
        <v>972</v>
      </c>
      <c r="F4" s="118" t="s">
        <v>1409</v>
      </c>
      <c r="G4" s="118"/>
      <c r="H4" s="118" t="s">
        <v>96</v>
      </c>
      <c r="I4" s="118" t="s">
        <v>97</v>
      </c>
    </row>
    <row r="5" spans="1:9" x14ac:dyDescent="0.2">
      <c r="A5" s="2" t="s">
        <v>214</v>
      </c>
      <c r="B5" s="2">
        <v>1</v>
      </c>
      <c r="C5" s="2">
        <v>279</v>
      </c>
      <c r="D5" s="2">
        <v>652</v>
      </c>
      <c r="E5" s="2">
        <v>205</v>
      </c>
      <c r="F5" s="2">
        <v>0</v>
      </c>
      <c r="H5" s="2">
        <v>843</v>
      </c>
      <c r="I5" s="2">
        <v>6</v>
      </c>
    </row>
    <row r="6" spans="1:9" x14ac:dyDescent="0.2">
      <c r="A6" s="2" t="s">
        <v>215</v>
      </c>
      <c r="B6" s="2">
        <v>0</v>
      </c>
      <c r="C6" s="2">
        <v>277</v>
      </c>
      <c r="D6" s="2">
        <v>655</v>
      </c>
      <c r="E6" s="2">
        <v>219</v>
      </c>
      <c r="F6" s="2">
        <v>0</v>
      </c>
      <c r="H6" s="2">
        <v>845</v>
      </c>
      <c r="I6" s="2">
        <v>8</v>
      </c>
    </row>
    <row r="7" spans="1:9" x14ac:dyDescent="0.2">
      <c r="A7" s="2" t="s">
        <v>216</v>
      </c>
      <c r="B7" s="2">
        <v>0</v>
      </c>
      <c r="C7" s="2">
        <v>379</v>
      </c>
      <c r="D7" s="2">
        <v>794</v>
      </c>
      <c r="E7" s="2">
        <v>220</v>
      </c>
      <c r="F7" s="2">
        <v>0</v>
      </c>
      <c r="H7" s="2">
        <v>1077</v>
      </c>
      <c r="I7" s="2">
        <v>19</v>
      </c>
    </row>
    <row r="8" spans="1:9" x14ac:dyDescent="0.2">
      <c r="A8" s="2" t="s">
        <v>217</v>
      </c>
      <c r="B8" s="2">
        <v>0</v>
      </c>
      <c r="C8" s="2">
        <v>360</v>
      </c>
      <c r="D8" s="2">
        <v>637</v>
      </c>
      <c r="E8" s="2">
        <v>194</v>
      </c>
      <c r="F8" s="2">
        <v>0</v>
      </c>
      <c r="H8" s="2">
        <v>936</v>
      </c>
      <c r="I8" s="2">
        <v>4</v>
      </c>
    </row>
    <row r="9" spans="1:9" x14ac:dyDescent="0.2">
      <c r="A9" s="2" t="s">
        <v>218</v>
      </c>
      <c r="B9" s="2">
        <v>1</v>
      </c>
      <c r="C9" s="2">
        <v>549</v>
      </c>
      <c r="D9" s="2">
        <v>1163</v>
      </c>
      <c r="E9" s="2">
        <v>229</v>
      </c>
      <c r="F9" s="2">
        <v>0</v>
      </c>
      <c r="H9" s="2">
        <v>1509</v>
      </c>
      <c r="I9" s="2">
        <v>6</v>
      </c>
    </row>
    <row r="10" spans="1:9" x14ac:dyDescent="0.2">
      <c r="A10" s="2" t="s">
        <v>219</v>
      </c>
      <c r="B10" s="2">
        <v>0</v>
      </c>
      <c r="C10" s="2">
        <v>396</v>
      </c>
      <c r="D10" s="2">
        <v>820</v>
      </c>
      <c r="E10" s="2">
        <v>217</v>
      </c>
      <c r="F10" s="2">
        <v>0</v>
      </c>
      <c r="H10" s="2">
        <v>1057</v>
      </c>
      <c r="I10" s="2">
        <v>2</v>
      </c>
    </row>
    <row r="11" spans="1:9" x14ac:dyDescent="0.2">
      <c r="A11" s="2" t="s">
        <v>220</v>
      </c>
      <c r="B11" s="2">
        <v>0</v>
      </c>
      <c r="C11" s="2">
        <v>347</v>
      </c>
      <c r="D11" s="2">
        <v>767</v>
      </c>
      <c r="E11" s="2">
        <v>178</v>
      </c>
      <c r="F11" s="2">
        <v>0</v>
      </c>
      <c r="H11" s="2">
        <v>954</v>
      </c>
      <c r="I11" s="2">
        <v>5</v>
      </c>
    </row>
    <row r="12" spans="1:9" x14ac:dyDescent="0.2">
      <c r="A12" s="2" t="s">
        <v>221</v>
      </c>
      <c r="B12" s="2">
        <v>0</v>
      </c>
      <c r="C12" s="2">
        <v>308</v>
      </c>
      <c r="D12" s="2">
        <v>709</v>
      </c>
      <c r="E12" s="2">
        <v>150</v>
      </c>
      <c r="F12" s="2">
        <v>0</v>
      </c>
      <c r="H12" s="2">
        <v>924</v>
      </c>
      <c r="I12" s="2">
        <v>10</v>
      </c>
    </row>
    <row r="13" spans="1:9" x14ac:dyDescent="0.2">
      <c r="A13" s="2" t="s">
        <v>222</v>
      </c>
      <c r="B13" s="2">
        <v>0</v>
      </c>
      <c r="C13" s="2">
        <v>338</v>
      </c>
      <c r="D13" s="2">
        <v>674</v>
      </c>
      <c r="E13" s="2">
        <v>216</v>
      </c>
      <c r="F13" s="2">
        <v>0</v>
      </c>
      <c r="H13" s="2">
        <v>913</v>
      </c>
      <c r="I13" s="2">
        <v>5</v>
      </c>
    </row>
    <row r="14" spans="1:9" x14ac:dyDescent="0.2">
      <c r="A14" s="2" t="s">
        <v>223</v>
      </c>
      <c r="B14" s="2">
        <v>1</v>
      </c>
      <c r="C14" s="2">
        <v>323</v>
      </c>
      <c r="D14" s="2">
        <v>668</v>
      </c>
      <c r="E14" s="2">
        <v>135</v>
      </c>
      <c r="F14" s="2">
        <v>0</v>
      </c>
      <c r="H14" s="2">
        <v>875</v>
      </c>
      <c r="I14" s="2">
        <v>0</v>
      </c>
    </row>
    <row r="15" spans="1:9" x14ac:dyDescent="0.2">
      <c r="A15" s="2" t="s">
        <v>224</v>
      </c>
      <c r="B15" s="2">
        <v>0</v>
      </c>
      <c r="C15" s="2">
        <v>347</v>
      </c>
      <c r="D15" s="2">
        <v>723</v>
      </c>
      <c r="E15" s="2">
        <v>210</v>
      </c>
      <c r="F15" s="2">
        <v>0</v>
      </c>
      <c r="H15" s="2">
        <v>971</v>
      </c>
      <c r="I15" s="2">
        <v>0</v>
      </c>
    </row>
    <row r="16" spans="1:9" x14ac:dyDescent="0.2">
      <c r="A16" s="2" t="s">
        <v>225</v>
      </c>
      <c r="B16" s="2">
        <v>0</v>
      </c>
      <c r="C16" s="2">
        <v>359</v>
      </c>
      <c r="D16" s="2">
        <v>763</v>
      </c>
      <c r="E16" s="2">
        <v>192</v>
      </c>
      <c r="F16" s="2">
        <v>0</v>
      </c>
      <c r="H16" s="2">
        <v>1019</v>
      </c>
      <c r="I16" s="2">
        <v>11</v>
      </c>
    </row>
    <row r="17" spans="1:12" ht="16" x14ac:dyDescent="0.2">
      <c r="A17" s="104" t="s">
        <v>33</v>
      </c>
      <c r="B17" s="192">
        <f>SUM(B5:B16)</f>
        <v>3</v>
      </c>
      <c r="C17" s="192">
        <f t="shared" ref="C17:F17" si="0">SUM(C5:C16)</f>
        <v>4262</v>
      </c>
      <c r="D17" s="192">
        <f t="shared" si="0"/>
        <v>9025</v>
      </c>
      <c r="E17" s="192">
        <f t="shared" si="0"/>
        <v>2365</v>
      </c>
      <c r="F17" s="192">
        <f t="shared" si="0"/>
        <v>0</v>
      </c>
      <c r="G17" s="192"/>
      <c r="H17" s="192">
        <f>SUM(H5:H16)</f>
        <v>11923</v>
      </c>
      <c r="I17" s="192">
        <f>SUM(I5:I16)</f>
        <v>76</v>
      </c>
    </row>
    <row r="18" spans="1:12" x14ac:dyDescent="0.2">
      <c r="A18" s="106"/>
      <c r="B18" s="193"/>
      <c r="C18" s="193"/>
      <c r="D18" s="193"/>
      <c r="E18" s="193"/>
      <c r="F18" s="193"/>
      <c r="G18" s="193"/>
      <c r="H18" s="193"/>
      <c r="I18" s="193"/>
    </row>
    <row r="19" spans="1:12" x14ac:dyDescent="0.2">
      <c r="A19" s="8" t="s">
        <v>973</v>
      </c>
      <c r="B19" s="8"/>
      <c r="C19" s="8"/>
      <c r="D19" s="8"/>
      <c r="E19" s="8"/>
      <c r="F19" s="8"/>
      <c r="G19" s="8"/>
      <c r="H19" s="8"/>
      <c r="I19" s="8"/>
      <c r="J19" s="8"/>
      <c r="K19" s="8"/>
      <c r="L19" s="8"/>
    </row>
    <row r="20" spans="1:12" x14ac:dyDescent="0.2">
      <c r="A20" s="8"/>
      <c r="B20" s="8"/>
      <c r="C20" s="8"/>
      <c r="D20" s="8"/>
      <c r="E20" s="8"/>
      <c r="F20" s="8"/>
      <c r="G20" s="8"/>
      <c r="H20" s="8"/>
      <c r="I20" s="8"/>
      <c r="J20" s="8"/>
      <c r="K20" s="8"/>
      <c r="L20" s="8"/>
    </row>
    <row r="21" spans="1:12" x14ac:dyDescent="0.2">
      <c r="A21" s="8" t="s">
        <v>1171</v>
      </c>
      <c r="B21" s="8"/>
      <c r="C21" s="8"/>
      <c r="D21" s="8"/>
      <c r="E21" s="8"/>
      <c r="F21" s="8"/>
      <c r="G21" s="8"/>
      <c r="H21" s="8"/>
      <c r="I21" s="8"/>
      <c r="J21" s="8"/>
      <c r="K21" s="8"/>
      <c r="L21" s="8"/>
    </row>
    <row r="22" spans="1:12" x14ac:dyDescent="0.2">
      <c r="A22" s="8"/>
      <c r="B22" s="8"/>
      <c r="C22" s="8"/>
      <c r="D22" s="8"/>
      <c r="E22" s="8"/>
      <c r="F22" s="8"/>
      <c r="G22" s="8"/>
      <c r="H22" s="8"/>
      <c r="I22" s="8"/>
      <c r="J22" s="8"/>
      <c r="K22" s="8"/>
      <c r="L22" s="8"/>
    </row>
  </sheetData>
  <mergeCells count="3">
    <mergeCell ref="A3:A4"/>
    <mergeCell ref="B3:F3"/>
    <mergeCell ref="H3:I3"/>
  </mergeCells>
  <pageMargins left="0.7" right="0.7" top="0.75" bottom="0.75" header="0.3" footer="0.3"/>
  <pageSetup orientation="portrait"/>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0070C0"/>
  </sheetPr>
  <dimension ref="A1:E19"/>
  <sheetViews>
    <sheetView showGridLines="0" zoomScale="90" zoomScaleNormal="90" workbookViewId="0">
      <selection activeCell="F4" sqref="F4"/>
    </sheetView>
  </sheetViews>
  <sheetFormatPr baseColWidth="10" defaultColWidth="8.83203125" defaultRowHeight="15" x14ac:dyDescent="0.2"/>
  <cols>
    <col min="1" max="1" width="14" style="2" bestFit="1" customWidth="1"/>
    <col min="2" max="2" width="25.83203125" style="2" customWidth="1"/>
    <col min="3" max="3" width="24.6640625" style="2" customWidth="1"/>
    <col min="4" max="4" width="26.1640625" style="2" bestFit="1" customWidth="1"/>
    <col min="5" max="5" width="27" style="2" bestFit="1" customWidth="1"/>
    <col min="6" max="16384" width="8.83203125" style="2"/>
  </cols>
  <sheetData>
    <row r="1" spans="1:5" ht="16" x14ac:dyDescent="0.2">
      <c r="A1" s="1" t="s">
        <v>1116</v>
      </c>
      <c r="B1" s="1"/>
      <c r="C1" s="1"/>
      <c r="D1" s="1"/>
      <c r="E1" s="1"/>
    </row>
    <row r="2" spans="1:5" ht="16" x14ac:dyDescent="0.2">
      <c r="A2" s="1"/>
      <c r="B2" s="1"/>
      <c r="C2" s="1"/>
      <c r="D2" s="1"/>
      <c r="E2" s="1"/>
    </row>
    <row r="3" spans="1:5" x14ac:dyDescent="0.2">
      <c r="A3" s="42" t="s">
        <v>64</v>
      </c>
      <c r="B3" s="42" t="s">
        <v>1179</v>
      </c>
      <c r="C3" s="42" t="s">
        <v>1180</v>
      </c>
      <c r="D3" s="42" t="s">
        <v>1181</v>
      </c>
      <c r="E3" s="42" t="s">
        <v>1180</v>
      </c>
    </row>
    <row r="4" spans="1:5" x14ac:dyDescent="0.2">
      <c r="A4" s="31" t="s">
        <v>71</v>
      </c>
      <c r="B4" s="17">
        <v>405</v>
      </c>
      <c r="C4" s="17">
        <v>106</v>
      </c>
      <c r="D4" s="2">
        <v>635</v>
      </c>
      <c r="E4" s="2">
        <v>450</v>
      </c>
    </row>
    <row r="5" spans="1:5" x14ac:dyDescent="0.2">
      <c r="A5" s="31" t="s">
        <v>72</v>
      </c>
      <c r="B5" s="2">
        <v>606</v>
      </c>
      <c r="C5" s="17">
        <v>265</v>
      </c>
      <c r="D5" s="2">
        <v>882</v>
      </c>
      <c r="E5" s="2">
        <v>846</v>
      </c>
    </row>
    <row r="6" spans="1:5" x14ac:dyDescent="0.2">
      <c r="A6" s="31" t="s">
        <v>73</v>
      </c>
      <c r="B6" s="2">
        <v>316</v>
      </c>
      <c r="C6" s="17">
        <v>135</v>
      </c>
      <c r="D6" s="2">
        <v>780</v>
      </c>
      <c r="E6" s="2">
        <v>577</v>
      </c>
    </row>
    <row r="7" spans="1:5" x14ac:dyDescent="0.2">
      <c r="A7" s="31" t="s">
        <v>74</v>
      </c>
      <c r="B7" s="17">
        <v>529</v>
      </c>
      <c r="C7" s="17">
        <v>259</v>
      </c>
      <c r="D7" s="2">
        <v>1085</v>
      </c>
      <c r="E7" s="2">
        <v>902</v>
      </c>
    </row>
    <row r="8" spans="1:5" x14ac:dyDescent="0.2">
      <c r="A8" s="31" t="s">
        <v>75</v>
      </c>
      <c r="B8" s="17">
        <v>209</v>
      </c>
      <c r="C8" s="17">
        <v>64</v>
      </c>
      <c r="D8" s="2">
        <v>2593</v>
      </c>
      <c r="E8" s="2">
        <v>1748</v>
      </c>
    </row>
    <row r="9" spans="1:5" x14ac:dyDescent="0.2">
      <c r="A9" s="31" t="s">
        <v>76</v>
      </c>
      <c r="B9" s="2">
        <v>788</v>
      </c>
      <c r="C9" s="17">
        <v>339</v>
      </c>
      <c r="D9" s="2">
        <v>2454</v>
      </c>
      <c r="E9" s="2">
        <v>1480</v>
      </c>
    </row>
    <row r="10" spans="1:5" x14ac:dyDescent="0.2">
      <c r="A10" s="31" t="s">
        <v>77</v>
      </c>
      <c r="B10" s="17">
        <v>710</v>
      </c>
      <c r="C10" s="17">
        <v>245</v>
      </c>
      <c r="D10" s="2">
        <v>1438</v>
      </c>
      <c r="E10" s="2">
        <v>1409</v>
      </c>
    </row>
    <row r="11" spans="1:5" x14ac:dyDescent="0.2">
      <c r="A11" s="31" t="s">
        <v>78</v>
      </c>
      <c r="B11" s="17">
        <v>285</v>
      </c>
      <c r="C11" s="17">
        <v>108</v>
      </c>
      <c r="D11" s="2">
        <v>442</v>
      </c>
      <c r="E11" s="2">
        <v>339</v>
      </c>
    </row>
    <row r="12" spans="1:5" x14ac:dyDescent="0.2">
      <c r="A12" s="31" t="s">
        <v>79</v>
      </c>
      <c r="B12" s="17">
        <v>541</v>
      </c>
      <c r="C12" s="17">
        <v>192</v>
      </c>
      <c r="D12" s="2">
        <v>1297</v>
      </c>
      <c r="E12" s="2">
        <v>844</v>
      </c>
    </row>
    <row r="13" spans="1:5" x14ac:dyDescent="0.2">
      <c r="A13" s="31" t="s">
        <v>80</v>
      </c>
      <c r="B13" s="2">
        <v>142</v>
      </c>
      <c r="C13" s="17">
        <v>64</v>
      </c>
      <c r="D13" s="2">
        <v>1579</v>
      </c>
      <c r="E13" s="2">
        <v>1478</v>
      </c>
    </row>
    <row r="14" spans="1:5" x14ac:dyDescent="0.2">
      <c r="A14" s="31" t="s">
        <v>81</v>
      </c>
      <c r="B14" s="2">
        <v>946</v>
      </c>
      <c r="C14" s="17">
        <v>367</v>
      </c>
      <c r="D14" s="2">
        <v>951</v>
      </c>
      <c r="E14" s="2">
        <v>687</v>
      </c>
    </row>
    <row r="15" spans="1:5" x14ac:dyDescent="0.2">
      <c r="A15" s="31" t="s">
        <v>82</v>
      </c>
      <c r="B15" s="2">
        <v>329</v>
      </c>
      <c r="C15" s="17">
        <v>105</v>
      </c>
      <c r="D15" s="2">
        <v>1043</v>
      </c>
      <c r="E15" s="2">
        <v>587</v>
      </c>
    </row>
    <row r="16" spans="1:5" x14ac:dyDescent="0.2">
      <c r="A16" s="31" t="s">
        <v>83</v>
      </c>
      <c r="B16" s="2">
        <v>513</v>
      </c>
      <c r="C16" s="17">
        <v>178</v>
      </c>
      <c r="D16" s="2">
        <v>1074</v>
      </c>
      <c r="E16" s="2">
        <v>887</v>
      </c>
    </row>
    <row r="17" spans="1:5" ht="16" x14ac:dyDescent="0.2">
      <c r="A17" s="40" t="s">
        <v>84</v>
      </c>
      <c r="B17" s="41">
        <f>SUM(B4:B16)</f>
        <v>6319</v>
      </c>
      <c r="C17" s="41">
        <f t="shared" ref="C17:E17" si="0">SUM(C4:C16)</f>
        <v>2427</v>
      </c>
      <c r="D17" s="41">
        <f t="shared" si="0"/>
        <v>16253</v>
      </c>
      <c r="E17" s="41">
        <f t="shared" si="0"/>
        <v>12234</v>
      </c>
    </row>
    <row r="19" spans="1:5" x14ac:dyDescent="0.2">
      <c r="A19" s="8" t="s">
        <v>101</v>
      </c>
    </row>
  </sheetData>
  <pageMargins left="0.7" right="0.7" top="0.75" bottom="0.75" header="0.3" footer="0.3"/>
  <pageSetup orientation="portrait"/>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0070C0"/>
  </sheetPr>
  <dimension ref="A1:B7"/>
  <sheetViews>
    <sheetView showGridLines="0" zoomScale="90" zoomScaleNormal="90" workbookViewId="0">
      <selection activeCell="F4" sqref="F4"/>
    </sheetView>
  </sheetViews>
  <sheetFormatPr baseColWidth="10" defaultColWidth="8.83203125" defaultRowHeight="15" x14ac:dyDescent="0.2"/>
  <cols>
    <col min="1" max="1" width="19.83203125" style="2" customWidth="1"/>
    <col min="2" max="2" width="20" style="2" bestFit="1" customWidth="1"/>
    <col min="3" max="16384" width="8.83203125" style="2"/>
  </cols>
  <sheetData>
    <row r="1" spans="1:2" ht="16" x14ac:dyDescent="0.2">
      <c r="A1" s="1" t="s">
        <v>98</v>
      </c>
      <c r="B1" s="1"/>
    </row>
    <row r="2" spans="1:2" ht="16" x14ac:dyDescent="0.2">
      <c r="A2" s="1"/>
      <c r="B2" s="1"/>
    </row>
    <row r="3" spans="1:2" x14ac:dyDescent="0.2">
      <c r="A3" s="42" t="s">
        <v>99</v>
      </c>
      <c r="B3" s="13" t="s">
        <v>96</v>
      </c>
    </row>
    <row r="4" spans="1:2" ht="16" x14ac:dyDescent="0.2">
      <c r="A4" s="39" t="s">
        <v>100</v>
      </c>
      <c r="B4" s="43">
        <v>772</v>
      </c>
    </row>
    <row r="5" spans="1:2" ht="16" x14ac:dyDescent="0.2">
      <c r="A5" s="40" t="s">
        <v>33</v>
      </c>
      <c r="B5" s="54">
        <f>SUM(B4)</f>
        <v>772</v>
      </c>
    </row>
    <row r="7" spans="1:2" x14ac:dyDescent="0.2">
      <c r="A7" s="8" t="s">
        <v>101</v>
      </c>
    </row>
  </sheetData>
  <pageMargins left="0.7" right="0.7" top="0.75" bottom="0.75" header="0.3" footer="0.3"/>
  <pageSetup orientation="portrait"/>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0070C0"/>
  </sheetPr>
  <dimension ref="A1:D12"/>
  <sheetViews>
    <sheetView showGridLines="0" zoomScale="89" workbookViewId="0">
      <selection activeCell="D19" sqref="D19"/>
    </sheetView>
  </sheetViews>
  <sheetFormatPr baseColWidth="10" defaultColWidth="8.83203125" defaultRowHeight="15" x14ac:dyDescent="0.2"/>
  <cols>
    <col min="1" max="1" width="21.1640625" style="2" bestFit="1" customWidth="1"/>
    <col min="2" max="3" width="20" style="2" bestFit="1" customWidth="1"/>
    <col min="4" max="4" width="7" style="2" bestFit="1" customWidth="1"/>
    <col min="5" max="16384" width="8.83203125" style="2"/>
  </cols>
  <sheetData>
    <row r="1" spans="1:4" ht="16" x14ac:dyDescent="0.2">
      <c r="A1" s="1" t="s">
        <v>1118</v>
      </c>
      <c r="B1" s="1"/>
      <c r="C1" s="1"/>
      <c r="D1" s="1"/>
    </row>
    <row r="2" spans="1:4" ht="16" x14ac:dyDescent="0.2">
      <c r="A2" s="1"/>
      <c r="B2" s="1"/>
      <c r="C2" s="1"/>
      <c r="D2" s="1"/>
    </row>
    <row r="3" spans="1:4" ht="16" x14ac:dyDescent="0.2">
      <c r="A3" s="254" t="s">
        <v>99</v>
      </c>
      <c r="B3" s="256" t="s">
        <v>975</v>
      </c>
      <c r="C3" s="256"/>
    </row>
    <row r="4" spans="1:4" x14ac:dyDescent="0.2">
      <c r="A4" s="255"/>
      <c r="B4" s="3" t="s">
        <v>974</v>
      </c>
      <c r="C4" s="3" t="s">
        <v>97</v>
      </c>
    </row>
    <row r="5" spans="1:4" x14ac:dyDescent="0.2">
      <c r="A5" s="2" t="s">
        <v>976</v>
      </c>
      <c r="B5" s="2">
        <v>867</v>
      </c>
      <c r="C5" s="2">
        <v>0</v>
      </c>
    </row>
    <row r="6" spans="1:4" x14ac:dyDescent="0.2">
      <c r="A6" s="2" t="s">
        <v>978</v>
      </c>
      <c r="B6" s="17">
        <v>152</v>
      </c>
      <c r="C6" s="2">
        <v>0</v>
      </c>
    </row>
    <row r="7" spans="1:4" x14ac:dyDescent="0.2">
      <c r="A7" s="2" t="s">
        <v>977</v>
      </c>
      <c r="B7" s="17">
        <v>1170</v>
      </c>
      <c r="C7" s="2">
        <v>5</v>
      </c>
    </row>
    <row r="8" spans="1:4" x14ac:dyDescent="0.2">
      <c r="A8" s="2" t="s">
        <v>979</v>
      </c>
      <c r="B8" s="17">
        <v>150</v>
      </c>
      <c r="C8" s="2">
        <v>1</v>
      </c>
    </row>
    <row r="9" spans="1:4" x14ac:dyDescent="0.2">
      <c r="A9" s="2" t="s">
        <v>980</v>
      </c>
      <c r="B9" s="17">
        <v>568</v>
      </c>
      <c r="C9" s="2">
        <v>0</v>
      </c>
    </row>
    <row r="10" spans="1:4" ht="16" x14ac:dyDescent="0.2">
      <c r="A10" s="194" t="s">
        <v>33</v>
      </c>
      <c r="B10" s="54">
        <f>SUM(B5:B9)</f>
        <v>2907</v>
      </c>
      <c r="C10" s="54">
        <f>SUM(C5:C9)</f>
        <v>6</v>
      </c>
    </row>
    <row r="12" spans="1:4" x14ac:dyDescent="0.2">
      <c r="A12" s="8" t="s">
        <v>101</v>
      </c>
      <c r="B12" s="8"/>
      <c r="C12" s="8"/>
      <c r="D12" s="8"/>
    </row>
  </sheetData>
  <mergeCells count="2">
    <mergeCell ref="A3:A4"/>
    <mergeCell ref="B3:C3"/>
  </mergeCells>
  <pageMargins left="0.7" right="0.7" top="0.75" bottom="0.75" header="0.3" footer="0.3"/>
  <pageSetup orientation="portrait"/>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0070C0"/>
  </sheetPr>
  <dimension ref="A1:D13"/>
  <sheetViews>
    <sheetView showGridLines="0" zoomScale="96" workbookViewId="0">
      <selection activeCell="F4" sqref="F4"/>
    </sheetView>
  </sheetViews>
  <sheetFormatPr baseColWidth="10" defaultColWidth="8.83203125" defaultRowHeight="15" x14ac:dyDescent="0.2"/>
  <cols>
    <col min="1" max="1" width="22.33203125" style="2" bestFit="1" customWidth="1"/>
    <col min="2" max="3" width="20" style="2" bestFit="1" customWidth="1"/>
    <col min="4" max="4" width="16.83203125" style="2" bestFit="1" customWidth="1"/>
    <col min="5" max="16384" width="8.83203125" style="2"/>
  </cols>
  <sheetData>
    <row r="1" spans="1:4" ht="16" x14ac:dyDescent="0.2">
      <c r="A1" s="259" t="s">
        <v>1120</v>
      </c>
      <c r="B1" s="259"/>
      <c r="C1" s="259"/>
      <c r="D1" s="259"/>
    </row>
    <row r="2" spans="1:4" ht="16" x14ac:dyDescent="0.2">
      <c r="A2" s="1"/>
      <c r="B2" s="1"/>
      <c r="C2" s="1"/>
      <c r="D2" s="1"/>
    </row>
    <row r="3" spans="1:4" ht="16" x14ac:dyDescent="0.2">
      <c r="A3" s="254" t="s">
        <v>99</v>
      </c>
      <c r="B3" s="256" t="s">
        <v>975</v>
      </c>
      <c r="C3" s="256"/>
    </row>
    <row r="4" spans="1:4" x14ac:dyDescent="0.2">
      <c r="A4" s="255"/>
      <c r="B4" s="3" t="s">
        <v>974</v>
      </c>
      <c r="C4" s="3" t="s">
        <v>97</v>
      </c>
    </row>
    <row r="5" spans="1:4" x14ac:dyDescent="0.2">
      <c r="A5" s="2" t="s">
        <v>981</v>
      </c>
      <c r="B5" s="2">
        <v>179</v>
      </c>
      <c r="C5" s="2">
        <v>32</v>
      </c>
    </row>
    <row r="6" spans="1:4" x14ac:dyDescent="0.2">
      <c r="A6" s="2" t="s">
        <v>984</v>
      </c>
      <c r="B6" s="2">
        <v>2159</v>
      </c>
      <c r="C6" s="2">
        <v>1951</v>
      </c>
    </row>
    <row r="7" spans="1:4" x14ac:dyDescent="0.2">
      <c r="A7" s="2" t="s">
        <v>982</v>
      </c>
      <c r="B7" s="2">
        <v>273</v>
      </c>
      <c r="C7" s="2">
        <v>11</v>
      </c>
    </row>
    <row r="8" spans="1:4" x14ac:dyDescent="0.2">
      <c r="A8" s="2" t="s">
        <v>983</v>
      </c>
      <c r="B8" s="2">
        <v>577</v>
      </c>
      <c r="C8" s="2">
        <v>105</v>
      </c>
    </row>
    <row r="9" spans="1:4" x14ac:dyDescent="0.2">
      <c r="A9" s="2" t="s">
        <v>985</v>
      </c>
      <c r="B9" s="2">
        <v>94</v>
      </c>
      <c r="C9" s="2">
        <v>24</v>
      </c>
    </row>
    <row r="10" spans="1:4" x14ac:dyDescent="0.2">
      <c r="A10" s="2" t="s">
        <v>986</v>
      </c>
      <c r="B10" s="2">
        <v>81</v>
      </c>
      <c r="C10" s="2">
        <v>7</v>
      </c>
    </row>
    <row r="11" spans="1:4" ht="16" x14ac:dyDescent="0.2">
      <c r="A11" s="161" t="s">
        <v>33</v>
      </c>
      <c r="B11" s="54">
        <f>SUM(B5:B10)</f>
        <v>3363</v>
      </c>
      <c r="C11" s="54">
        <f>SUM(C5:C10)</f>
        <v>2130</v>
      </c>
    </row>
    <row r="13" spans="1:4" x14ac:dyDescent="0.2">
      <c r="A13" s="8" t="s">
        <v>101</v>
      </c>
    </row>
  </sheetData>
  <mergeCells count="3">
    <mergeCell ref="A1:D1"/>
    <mergeCell ref="A3:A4"/>
    <mergeCell ref="B3:C3"/>
  </mergeCells>
  <pageMargins left="0.7" right="0.7" top="0.75" bottom="0.75" header="0.3" footer="0.3"/>
  <pageSetup orientation="portrait"/>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0070C0"/>
  </sheetPr>
  <dimension ref="A1:F11"/>
  <sheetViews>
    <sheetView showGridLines="0" zoomScale="96" zoomScaleNormal="96" workbookViewId="0">
      <selection activeCell="A19" sqref="A19"/>
    </sheetView>
  </sheetViews>
  <sheetFormatPr baseColWidth="10" defaultColWidth="8.83203125" defaultRowHeight="15" x14ac:dyDescent="0.2"/>
  <cols>
    <col min="1" max="1" width="217" style="2" bestFit="1" customWidth="1"/>
    <col min="2" max="2" width="14.5" style="2" bestFit="1" customWidth="1"/>
    <col min="3" max="3" width="23.5" style="2" bestFit="1" customWidth="1"/>
    <col min="4" max="4" width="103.6640625" style="2" bestFit="1" customWidth="1"/>
    <col min="5" max="5" width="243" style="2" bestFit="1" customWidth="1"/>
    <col min="6" max="16384" width="8.83203125" style="2"/>
  </cols>
  <sheetData>
    <row r="1" spans="1:6" ht="16" x14ac:dyDescent="0.2">
      <c r="A1" s="44" t="s">
        <v>1172</v>
      </c>
      <c r="B1" s="1"/>
      <c r="C1" s="1"/>
      <c r="D1" s="1"/>
    </row>
    <row r="2" spans="1:6" ht="16" x14ac:dyDescent="0.2">
      <c r="A2" s="1"/>
      <c r="B2" s="1"/>
      <c r="C2" s="1"/>
      <c r="D2" s="1"/>
    </row>
    <row r="3" spans="1:6" x14ac:dyDescent="0.2">
      <c r="A3" s="13" t="s">
        <v>987</v>
      </c>
      <c r="B3" s="13" t="s">
        <v>988</v>
      </c>
      <c r="C3" s="13" t="s">
        <v>989</v>
      </c>
      <c r="D3" s="195" t="s">
        <v>990</v>
      </c>
    </row>
    <row r="4" spans="1:6" x14ac:dyDescent="0.2">
      <c r="A4" s="2" t="s">
        <v>1175</v>
      </c>
      <c r="B4" s="10">
        <v>3704181.32</v>
      </c>
      <c r="C4" s="10">
        <v>31</v>
      </c>
      <c r="D4" s="196" t="s">
        <v>1176</v>
      </c>
      <c r="F4" s="2" t="s">
        <v>1409</v>
      </c>
    </row>
    <row r="5" spans="1:6" x14ac:dyDescent="0.2">
      <c r="A5" s="2" t="s">
        <v>1177</v>
      </c>
      <c r="B5" s="10">
        <v>11873339.050000001</v>
      </c>
      <c r="C5" s="10">
        <v>14661</v>
      </c>
      <c r="D5" s="196" t="s">
        <v>1178</v>
      </c>
    </row>
    <row r="6" spans="1:6" x14ac:dyDescent="0.2">
      <c r="A6" s="118" t="s">
        <v>1173</v>
      </c>
      <c r="B6" s="203">
        <v>4932411.4000000004</v>
      </c>
      <c r="C6" s="203">
        <v>3224</v>
      </c>
      <c r="D6" s="197" t="s">
        <v>1174</v>
      </c>
    </row>
    <row r="7" spans="1:6" x14ac:dyDescent="0.2">
      <c r="B7" s="17"/>
    </row>
    <row r="8" spans="1:6" x14ac:dyDescent="0.2">
      <c r="A8" s="8" t="s">
        <v>991</v>
      </c>
      <c r="B8" s="17"/>
    </row>
    <row r="9" spans="1:6" x14ac:dyDescent="0.2">
      <c r="A9" s="8" t="s">
        <v>101</v>
      </c>
      <c r="B9" s="17"/>
    </row>
    <row r="10" spans="1:6" x14ac:dyDescent="0.2">
      <c r="B10" s="17"/>
    </row>
    <row r="11" spans="1:6" x14ac:dyDescent="0.2">
      <c r="A11" s="8"/>
    </row>
  </sheetData>
  <pageMargins left="0.7" right="0.7" top="0.75" bottom="0.75" header="0.3" footer="0.3"/>
  <pageSetup orientation="portrait"/>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7030A0"/>
  </sheetPr>
  <dimension ref="A1:F19"/>
  <sheetViews>
    <sheetView showGridLines="0" topLeftCell="A12" zoomScale="96" zoomScaleNormal="80" workbookViewId="0">
      <selection activeCell="A23" sqref="A23:XFD23"/>
    </sheetView>
  </sheetViews>
  <sheetFormatPr baseColWidth="10" defaultColWidth="8.83203125" defaultRowHeight="15" x14ac:dyDescent="0.2"/>
  <cols>
    <col min="1" max="1" width="119.1640625" style="2" bestFit="1" customWidth="1"/>
    <col min="2" max="5" width="24.6640625" style="2" bestFit="1" customWidth="1"/>
    <col min="6" max="6" width="14.83203125" style="2" customWidth="1"/>
    <col min="7" max="16384" width="8.83203125" style="2"/>
  </cols>
  <sheetData>
    <row r="1" spans="1:6" ht="16" x14ac:dyDescent="0.2">
      <c r="A1" s="1" t="s">
        <v>1124</v>
      </c>
      <c r="B1" s="1"/>
      <c r="C1" s="1"/>
      <c r="D1" s="1"/>
      <c r="E1" s="1"/>
    </row>
    <row r="2" spans="1:6" ht="16" x14ac:dyDescent="0.2">
      <c r="A2" s="1"/>
      <c r="B2" s="1"/>
      <c r="C2" s="1"/>
      <c r="D2" s="1"/>
      <c r="E2" s="1"/>
    </row>
    <row r="3" spans="1:6" ht="16" x14ac:dyDescent="0.2">
      <c r="A3" s="254" t="s">
        <v>1182</v>
      </c>
      <c r="B3" s="263" t="s">
        <v>92</v>
      </c>
      <c r="C3" s="263"/>
      <c r="D3" s="263"/>
      <c r="E3" s="263"/>
      <c r="F3" s="263"/>
    </row>
    <row r="4" spans="1:6" x14ac:dyDescent="0.2">
      <c r="A4" s="255"/>
      <c r="B4" s="13">
        <v>2021</v>
      </c>
      <c r="C4" s="13">
        <v>2022</v>
      </c>
      <c r="D4" s="13">
        <v>2023</v>
      </c>
      <c r="E4" s="13">
        <v>2024</v>
      </c>
      <c r="F4" s="13">
        <v>2025</v>
      </c>
    </row>
    <row r="5" spans="1:6" x14ac:dyDescent="0.2">
      <c r="A5" s="2" t="s">
        <v>1183</v>
      </c>
      <c r="B5" s="2">
        <v>0</v>
      </c>
      <c r="C5" s="17">
        <v>1889</v>
      </c>
      <c r="D5" s="2">
        <v>465</v>
      </c>
      <c r="E5" s="2">
        <v>455</v>
      </c>
      <c r="F5" s="2">
        <v>0</v>
      </c>
    </row>
    <row r="6" spans="1:6" x14ac:dyDescent="0.2">
      <c r="A6" s="2" t="s">
        <v>1184</v>
      </c>
      <c r="B6" s="2">
        <v>0</v>
      </c>
      <c r="C6" s="2">
        <v>153</v>
      </c>
      <c r="D6" s="2">
        <v>900</v>
      </c>
      <c r="E6" s="17">
        <v>2316</v>
      </c>
      <c r="F6" s="2">
        <v>2639</v>
      </c>
    </row>
    <row r="7" spans="1:6" x14ac:dyDescent="0.2">
      <c r="A7" s="2" t="s">
        <v>1185</v>
      </c>
      <c r="B7" s="2">
        <v>0</v>
      </c>
      <c r="C7" s="2">
        <v>507</v>
      </c>
      <c r="D7" s="2">
        <v>315</v>
      </c>
      <c r="E7" s="2">
        <v>613</v>
      </c>
      <c r="F7" s="2">
        <v>125</v>
      </c>
    </row>
    <row r="8" spans="1:6" x14ac:dyDescent="0.2">
      <c r="A8" s="2" t="s">
        <v>1186</v>
      </c>
      <c r="B8" s="2">
        <v>0</v>
      </c>
      <c r="C8" s="2">
        <v>0</v>
      </c>
      <c r="D8" s="17">
        <v>1245</v>
      </c>
      <c r="E8" s="2">
        <v>0</v>
      </c>
      <c r="F8" s="2">
        <v>0</v>
      </c>
    </row>
    <row r="9" spans="1:6" x14ac:dyDescent="0.2">
      <c r="A9" s="2" t="s">
        <v>1187</v>
      </c>
      <c r="B9" s="17">
        <v>4311</v>
      </c>
      <c r="C9" s="17">
        <v>11365</v>
      </c>
      <c r="D9" s="17">
        <v>11532</v>
      </c>
      <c r="E9" s="2">
        <v>276</v>
      </c>
      <c r="F9" s="2">
        <v>317</v>
      </c>
    </row>
    <row r="10" spans="1:6" x14ac:dyDescent="0.2">
      <c r="A10" s="2" t="s">
        <v>1188</v>
      </c>
      <c r="B10" s="2">
        <v>0</v>
      </c>
      <c r="C10" s="17">
        <v>10989</v>
      </c>
      <c r="D10" s="2">
        <v>0</v>
      </c>
      <c r="E10" s="2">
        <v>0</v>
      </c>
      <c r="F10" s="2">
        <v>0</v>
      </c>
    </row>
    <row r="11" spans="1:6" x14ac:dyDescent="0.2">
      <c r="A11" s="2" t="s">
        <v>1189</v>
      </c>
      <c r="B11" s="2">
        <v>346</v>
      </c>
      <c r="C11" s="2">
        <v>731</v>
      </c>
      <c r="D11" s="2">
        <v>405</v>
      </c>
      <c r="E11" s="2">
        <v>833</v>
      </c>
      <c r="F11" s="2">
        <v>2320</v>
      </c>
    </row>
    <row r="12" spans="1:6" x14ac:dyDescent="0.2">
      <c r="A12" s="2" t="s">
        <v>1190</v>
      </c>
      <c r="B12" s="2">
        <v>0</v>
      </c>
      <c r="C12" s="2">
        <v>41</v>
      </c>
      <c r="D12" s="2">
        <v>174</v>
      </c>
      <c r="E12" s="2">
        <v>29</v>
      </c>
      <c r="F12" s="2">
        <v>15</v>
      </c>
    </row>
    <row r="13" spans="1:6" x14ac:dyDescent="0.2">
      <c r="A13" s="2" t="s">
        <v>1191</v>
      </c>
      <c r="B13" s="2">
        <v>0</v>
      </c>
      <c r="C13" s="2">
        <v>12</v>
      </c>
      <c r="D13" s="2">
        <v>0</v>
      </c>
      <c r="E13" s="2">
        <v>0</v>
      </c>
      <c r="F13" s="2">
        <v>0</v>
      </c>
    </row>
    <row r="14" spans="1:6" x14ac:dyDescent="0.2">
      <c r="A14" s="2" t="s">
        <v>1196</v>
      </c>
      <c r="B14" s="2">
        <v>0</v>
      </c>
      <c r="C14" s="2">
        <v>0</v>
      </c>
      <c r="D14" s="2">
        <v>0</v>
      </c>
      <c r="E14" s="2">
        <v>0</v>
      </c>
      <c r="F14" s="2">
        <v>1178</v>
      </c>
    </row>
    <row r="15" spans="1:6" x14ac:dyDescent="0.2">
      <c r="A15" s="2" t="s">
        <v>1197</v>
      </c>
      <c r="B15" s="2">
        <v>0</v>
      </c>
      <c r="C15" s="2">
        <v>0</v>
      </c>
      <c r="D15" s="2">
        <v>0</v>
      </c>
      <c r="E15" s="2">
        <v>0</v>
      </c>
      <c r="F15" s="2">
        <v>1312</v>
      </c>
    </row>
    <row r="16" spans="1:6" x14ac:dyDescent="0.2">
      <c r="A16" s="2" t="s">
        <v>1198</v>
      </c>
      <c r="B16" s="2">
        <v>0</v>
      </c>
      <c r="C16" s="2">
        <v>0</v>
      </c>
      <c r="D16" s="2">
        <v>0</v>
      </c>
      <c r="E16" s="2">
        <v>0</v>
      </c>
      <c r="F16" s="2">
        <v>596</v>
      </c>
    </row>
    <row r="17" spans="1:6" x14ac:dyDescent="0.2">
      <c r="A17" s="205" t="s">
        <v>33</v>
      </c>
      <c r="B17" s="206">
        <f>SUM(B5:B16)</f>
        <v>4657</v>
      </c>
      <c r="C17" s="206">
        <f t="shared" ref="C17:F17" si="0">SUM(C5:C16)</f>
        <v>25687</v>
      </c>
      <c r="D17" s="206">
        <f t="shared" si="0"/>
        <v>15036</v>
      </c>
      <c r="E17" s="206">
        <f t="shared" si="0"/>
        <v>4522</v>
      </c>
      <c r="F17" s="206">
        <f t="shared" si="0"/>
        <v>8502</v>
      </c>
    </row>
    <row r="19" spans="1:6" x14ac:dyDescent="0.2">
      <c r="A19" s="257" t="s">
        <v>1199</v>
      </c>
      <c r="B19" s="257"/>
      <c r="C19" s="257"/>
      <c r="D19" s="257"/>
      <c r="E19" s="257"/>
    </row>
  </sheetData>
  <mergeCells count="3">
    <mergeCell ref="A3:A4"/>
    <mergeCell ref="A19:E19"/>
    <mergeCell ref="B3:F3"/>
  </mergeCells>
  <pageMargins left="0.7" right="0.7" top="0.75" bottom="0.75" header="0.3" footer="0.3"/>
  <pageSetup orientation="portrait"/>
  <ignoredErrors>
    <ignoredError sqref="B17:F17" formulaRange="1"/>
  </ignoredErrors>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7030A0"/>
  </sheetPr>
  <dimension ref="A1:B14"/>
  <sheetViews>
    <sheetView showGridLines="0" workbookViewId="0">
      <selection activeCell="C11" sqref="C11"/>
    </sheetView>
  </sheetViews>
  <sheetFormatPr baseColWidth="10" defaultColWidth="8.83203125" defaultRowHeight="15" x14ac:dyDescent="0.2"/>
  <cols>
    <col min="1" max="1" width="61.33203125" style="2" bestFit="1" customWidth="1"/>
    <col min="2" max="2" width="12.83203125" style="2" bestFit="1" customWidth="1"/>
    <col min="3" max="3" width="22.83203125" style="2" customWidth="1"/>
    <col min="4" max="16384" width="8.83203125" style="2"/>
  </cols>
  <sheetData>
    <row r="1" spans="1:2" ht="16" x14ac:dyDescent="0.2">
      <c r="A1" s="1" t="s">
        <v>1127</v>
      </c>
      <c r="B1" s="1"/>
    </row>
    <row r="2" spans="1:2" ht="16" x14ac:dyDescent="0.2">
      <c r="A2" s="1"/>
      <c r="B2" s="1"/>
    </row>
    <row r="3" spans="1:2" x14ac:dyDescent="0.2">
      <c r="A3" s="13" t="s">
        <v>1192</v>
      </c>
      <c r="B3" s="13" t="s">
        <v>1193</v>
      </c>
    </row>
    <row r="4" spans="1:2" x14ac:dyDescent="0.2">
      <c r="A4" s="207" t="s">
        <v>1194</v>
      </c>
      <c r="B4" s="208">
        <v>5500</v>
      </c>
    </row>
    <row r="5" spans="1:2" x14ac:dyDescent="0.2">
      <c r="A5" s="207" t="s">
        <v>1195</v>
      </c>
      <c r="B5" s="208">
        <v>750</v>
      </c>
    </row>
    <row r="6" spans="1:2" x14ac:dyDescent="0.2">
      <c r="A6" s="5" t="s">
        <v>1201</v>
      </c>
      <c r="B6" s="2">
        <v>100</v>
      </c>
    </row>
    <row r="7" spans="1:2" x14ac:dyDescent="0.2">
      <c r="A7" s="5" t="s">
        <v>1202</v>
      </c>
      <c r="B7" s="2">
        <v>150</v>
      </c>
    </row>
    <row r="8" spans="1:2" x14ac:dyDescent="0.2">
      <c r="A8" s="5" t="s">
        <v>1203</v>
      </c>
      <c r="B8" s="17">
        <v>500</v>
      </c>
    </row>
    <row r="9" spans="1:2" x14ac:dyDescent="0.2">
      <c r="A9" s="65" t="s">
        <v>1204</v>
      </c>
      <c r="B9" s="65">
        <v>359</v>
      </c>
    </row>
    <row r="10" spans="1:2" x14ac:dyDescent="0.2">
      <c r="A10" s="65" t="s">
        <v>1205</v>
      </c>
      <c r="B10" s="18">
        <v>500</v>
      </c>
    </row>
    <row r="11" spans="1:2" x14ac:dyDescent="0.2">
      <c r="A11" s="65" t="s">
        <v>1196</v>
      </c>
      <c r="B11" s="18">
        <v>1178</v>
      </c>
    </row>
    <row r="12" spans="1:2" x14ac:dyDescent="0.2">
      <c r="A12" s="241" t="s">
        <v>33</v>
      </c>
      <c r="B12" s="211">
        <f>SUM(B4+B5+B9+B11+B10)</f>
        <v>8287</v>
      </c>
    </row>
    <row r="14" spans="1:2" x14ac:dyDescent="0.2">
      <c r="A14" s="8" t="s">
        <v>1200</v>
      </c>
      <c r="B14" s="8"/>
    </row>
  </sheetData>
  <pageMargins left="0.7" right="0.7" top="0.75" bottom="0.75" header="0.3" footer="0.3"/>
  <pageSetup orientation="portrait"/>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7030A0"/>
  </sheetPr>
  <dimension ref="A1:B24"/>
  <sheetViews>
    <sheetView showGridLines="0" workbookViewId="0">
      <selection activeCell="A34" sqref="A34"/>
    </sheetView>
  </sheetViews>
  <sheetFormatPr baseColWidth="10" defaultColWidth="8.83203125" defaultRowHeight="15" x14ac:dyDescent="0.2"/>
  <cols>
    <col min="1" max="1" width="132" style="2" bestFit="1" customWidth="1"/>
    <col min="2" max="2" width="12.83203125" style="2" bestFit="1" customWidth="1"/>
    <col min="3" max="3" width="7" style="2" bestFit="1" customWidth="1"/>
    <col min="4" max="16384" width="8.83203125" style="2"/>
  </cols>
  <sheetData>
    <row r="1" spans="1:2" ht="16" x14ac:dyDescent="0.2">
      <c r="A1" s="1" t="s">
        <v>1129</v>
      </c>
      <c r="B1" s="1"/>
    </row>
    <row r="2" spans="1:2" ht="16" x14ac:dyDescent="0.2">
      <c r="A2" s="1"/>
      <c r="B2" s="1"/>
    </row>
    <row r="3" spans="1:2" x14ac:dyDescent="0.2">
      <c r="A3" s="209" t="s">
        <v>1192</v>
      </c>
      <c r="B3" s="209" t="s">
        <v>1193</v>
      </c>
    </row>
    <row r="4" spans="1:2" x14ac:dyDescent="0.2">
      <c r="A4" s="2" t="s">
        <v>1206</v>
      </c>
      <c r="B4" s="2">
        <v>450</v>
      </c>
    </row>
    <row r="5" spans="1:2" x14ac:dyDescent="0.2">
      <c r="A5" s="2" t="s">
        <v>1207</v>
      </c>
      <c r="B5" s="17">
        <v>406</v>
      </c>
    </row>
    <row r="6" spans="1:2" x14ac:dyDescent="0.2">
      <c r="A6" s="2" t="s">
        <v>1208</v>
      </c>
      <c r="B6" s="2">
        <v>125</v>
      </c>
    </row>
    <row r="7" spans="1:2" x14ac:dyDescent="0.2">
      <c r="A7" s="2" t="s">
        <v>1209</v>
      </c>
      <c r="B7" s="2">
        <v>200</v>
      </c>
    </row>
    <row r="8" spans="1:2" x14ac:dyDescent="0.2">
      <c r="A8" s="2" t="s">
        <v>1210</v>
      </c>
      <c r="B8" s="2">
        <v>180</v>
      </c>
    </row>
    <row r="9" spans="1:2" x14ac:dyDescent="0.2">
      <c r="A9" s="2" t="s">
        <v>1211</v>
      </c>
      <c r="B9" s="2">
        <v>233</v>
      </c>
    </row>
    <row r="10" spans="1:2" x14ac:dyDescent="0.2">
      <c r="A10" s="2" t="s">
        <v>1212</v>
      </c>
      <c r="B10" s="2">
        <v>290</v>
      </c>
    </row>
    <row r="11" spans="1:2" x14ac:dyDescent="0.2">
      <c r="A11" s="2" t="s">
        <v>1213</v>
      </c>
      <c r="B11" s="2">
        <v>350</v>
      </c>
    </row>
    <row r="12" spans="1:2" x14ac:dyDescent="0.2">
      <c r="A12" s="2" t="s">
        <v>1214</v>
      </c>
      <c r="B12" s="2">
        <v>250</v>
      </c>
    </row>
    <row r="13" spans="1:2" x14ac:dyDescent="0.2">
      <c r="A13" s="2" t="s">
        <v>1215</v>
      </c>
      <c r="B13" s="2">
        <v>505</v>
      </c>
    </row>
    <row r="14" spans="1:2" x14ac:dyDescent="0.2">
      <c r="A14" s="2" t="s">
        <v>1216</v>
      </c>
      <c r="B14" s="2">
        <v>120</v>
      </c>
    </row>
    <row r="15" spans="1:2" x14ac:dyDescent="0.2">
      <c r="A15" s="2" t="s">
        <v>1217</v>
      </c>
      <c r="B15" s="2">
        <v>230</v>
      </c>
    </row>
    <row r="16" spans="1:2" x14ac:dyDescent="0.2">
      <c r="A16" s="2" t="s">
        <v>1218</v>
      </c>
      <c r="B16" s="2">
        <v>450</v>
      </c>
    </row>
    <row r="17" spans="1:2" x14ac:dyDescent="0.2">
      <c r="A17" s="2" t="s">
        <v>1219</v>
      </c>
      <c r="B17" s="2">
        <v>569</v>
      </c>
    </row>
    <row r="18" spans="1:2" x14ac:dyDescent="0.2">
      <c r="A18" s="2" t="s">
        <v>1220</v>
      </c>
      <c r="B18" s="2">
        <v>59</v>
      </c>
    </row>
    <row r="19" spans="1:2" x14ac:dyDescent="0.2">
      <c r="A19" s="2" t="s">
        <v>1221</v>
      </c>
      <c r="B19" s="2">
        <v>982</v>
      </c>
    </row>
    <row r="20" spans="1:2" x14ac:dyDescent="0.2">
      <c r="A20" s="2" t="s">
        <v>1222</v>
      </c>
      <c r="B20" s="2">
        <v>150</v>
      </c>
    </row>
    <row r="21" spans="1:2" x14ac:dyDescent="0.2">
      <c r="A21" s="2" t="s">
        <v>1223</v>
      </c>
      <c r="B21" s="2">
        <v>72</v>
      </c>
    </row>
    <row r="22" spans="1:2" ht="16" x14ac:dyDescent="0.2">
      <c r="A22" s="210" t="s">
        <v>33</v>
      </c>
      <c r="B22" s="211">
        <f>SUM(B4:B21)</f>
        <v>5621</v>
      </c>
    </row>
    <row r="23" spans="1:2" x14ac:dyDescent="0.2">
      <c r="A23" s="212"/>
      <c r="B23" s="213"/>
    </row>
    <row r="24" spans="1:2" x14ac:dyDescent="0.2">
      <c r="A24" s="8" t="s">
        <v>1200</v>
      </c>
      <c r="B24" s="8"/>
    </row>
  </sheetData>
  <pageMargins left="0.7" right="0.7" top="0.75" bottom="0.75" header="0.3" footer="0.3"/>
  <pageSetup orientation="portrait"/>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FFFF00"/>
  </sheetPr>
  <dimension ref="A1:C9"/>
  <sheetViews>
    <sheetView showGridLines="0" workbookViewId="0">
      <selection activeCell="C7" sqref="C7"/>
    </sheetView>
  </sheetViews>
  <sheetFormatPr baseColWidth="10" defaultColWidth="8.83203125" defaultRowHeight="15" x14ac:dyDescent="0.2"/>
  <cols>
    <col min="1" max="1" width="22.33203125" style="2" bestFit="1" customWidth="1"/>
    <col min="2" max="2" width="27" style="2" bestFit="1" customWidth="1"/>
    <col min="3" max="3" width="12.83203125" style="2" bestFit="1" customWidth="1"/>
    <col min="4" max="16384" width="8.83203125" style="2"/>
  </cols>
  <sheetData>
    <row r="1" spans="1:3" ht="16" x14ac:dyDescent="0.2">
      <c r="A1" s="1" t="s">
        <v>1131</v>
      </c>
    </row>
    <row r="3" spans="1:3" x14ac:dyDescent="0.2">
      <c r="A3" s="13" t="s">
        <v>1224</v>
      </c>
      <c r="B3" s="13" t="s">
        <v>1225</v>
      </c>
      <c r="C3" s="13" t="s">
        <v>1193</v>
      </c>
    </row>
    <row r="4" spans="1:3" x14ac:dyDescent="0.2">
      <c r="A4" s="2" t="s">
        <v>1226</v>
      </c>
      <c r="B4" s="2">
        <v>78</v>
      </c>
      <c r="C4" s="17">
        <v>3542</v>
      </c>
    </row>
    <row r="5" spans="1:3" x14ac:dyDescent="0.2">
      <c r="A5" s="2" t="s">
        <v>1227</v>
      </c>
      <c r="B5" s="2">
        <v>45</v>
      </c>
      <c r="C5" s="2">
        <v>1286</v>
      </c>
    </row>
    <row r="6" spans="1:3" x14ac:dyDescent="0.2">
      <c r="A6" s="2" t="s">
        <v>1228</v>
      </c>
      <c r="B6" s="2">
        <v>109</v>
      </c>
      <c r="C6" s="2">
        <v>3495</v>
      </c>
    </row>
    <row r="7" spans="1:3" x14ac:dyDescent="0.2">
      <c r="A7" s="214" t="s">
        <v>33</v>
      </c>
      <c r="B7" s="129">
        <f>SUM(B4:B6)</f>
        <v>232</v>
      </c>
      <c r="C7" s="129">
        <f>SUM(C4:C6)</f>
        <v>8323</v>
      </c>
    </row>
    <row r="9" spans="1:3" x14ac:dyDescent="0.2">
      <c r="A9" s="8" t="s">
        <v>1234</v>
      </c>
    </row>
  </sheetData>
  <pageMargins left="0.7" right="0.7" top="0.75" bottom="0.75" header="0.3" footer="0.3"/>
  <pageSetup orientation="portrait"/>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FFFF00"/>
  </sheetPr>
  <dimension ref="A1:C8"/>
  <sheetViews>
    <sheetView showGridLines="0" workbookViewId="0">
      <selection activeCell="D10" sqref="D10"/>
    </sheetView>
  </sheetViews>
  <sheetFormatPr baseColWidth="10" defaultColWidth="8.83203125" defaultRowHeight="15" x14ac:dyDescent="0.2"/>
  <cols>
    <col min="1" max="1" width="49.33203125" style="2" bestFit="1" customWidth="1"/>
    <col min="2" max="2" width="27" style="2" bestFit="1" customWidth="1"/>
    <col min="3" max="3" width="12.83203125" style="2" bestFit="1" customWidth="1"/>
    <col min="4" max="16384" width="8.83203125" style="2"/>
  </cols>
  <sheetData>
    <row r="1" spans="1:3" ht="16" x14ac:dyDescent="0.2">
      <c r="A1" s="1" t="s">
        <v>1134</v>
      </c>
      <c r="B1" s="1"/>
      <c r="C1" s="1"/>
    </row>
    <row r="2" spans="1:3" ht="16" x14ac:dyDescent="0.2">
      <c r="A2" s="1"/>
      <c r="B2" s="1"/>
      <c r="C2" s="1"/>
    </row>
    <row r="3" spans="1:3" x14ac:dyDescent="0.2">
      <c r="A3" s="13" t="s">
        <v>1229</v>
      </c>
      <c r="B3" s="13" t="s">
        <v>1225</v>
      </c>
      <c r="C3" s="13" t="s">
        <v>1193</v>
      </c>
    </row>
    <row r="4" spans="1:3" x14ac:dyDescent="0.2">
      <c r="A4" s="2" t="s">
        <v>1235</v>
      </c>
      <c r="B4" s="2">
        <v>10</v>
      </c>
      <c r="C4" s="2">
        <v>243</v>
      </c>
    </row>
    <row r="5" spans="1:3" x14ac:dyDescent="0.2">
      <c r="A5" s="2" t="s">
        <v>1236</v>
      </c>
      <c r="B5" s="2">
        <v>5</v>
      </c>
      <c r="C5" s="2">
        <v>45</v>
      </c>
    </row>
    <row r="6" spans="1:3" x14ac:dyDescent="0.2">
      <c r="A6" s="214" t="s">
        <v>33</v>
      </c>
      <c r="B6" s="129">
        <f>SUM(B4:B5)</f>
        <v>15</v>
      </c>
      <c r="C6" s="129">
        <f>SUM(C4:C5)</f>
        <v>288</v>
      </c>
    </row>
    <row r="7" spans="1:3" x14ac:dyDescent="0.2">
      <c r="A7" s="215"/>
      <c r="B7" s="110"/>
    </row>
    <row r="8" spans="1:3" x14ac:dyDescent="0.2">
      <c r="A8" s="257" t="s">
        <v>1234</v>
      </c>
      <c r="B8" s="257"/>
      <c r="C8" s="257"/>
    </row>
  </sheetData>
  <mergeCells count="1">
    <mergeCell ref="A8:C8"/>
  </mergeCells>
  <pageMargins left="0.7" right="0.7" top="0.75" bottom="0.75" header="0.3" footer="0.3"/>
  <pageSetup orientation="portrait"/>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FFFF00"/>
  </sheetPr>
  <dimension ref="A1:B11"/>
  <sheetViews>
    <sheetView showGridLines="0" workbookViewId="0">
      <selection activeCell="A13" sqref="A13"/>
    </sheetView>
  </sheetViews>
  <sheetFormatPr baseColWidth="10" defaultRowHeight="15" x14ac:dyDescent="0.2"/>
  <cols>
    <col min="1" max="1" width="94.83203125" bestFit="1" customWidth="1"/>
    <col min="2" max="2" width="22.1640625" bestFit="1" customWidth="1"/>
  </cols>
  <sheetData>
    <row r="1" spans="1:2" ht="16" x14ac:dyDescent="0.2">
      <c r="A1" s="1" t="s">
        <v>56</v>
      </c>
    </row>
    <row r="3" spans="1:2" x14ac:dyDescent="0.2">
      <c r="A3" s="24" t="s">
        <v>57</v>
      </c>
      <c r="B3" s="24" t="s">
        <v>58</v>
      </c>
    </row>
    <row r="4" spans="1:2" x14ac:dyDescent="0.2">
      <c r="A4" s="23" t="s">
        <v>63</v>
      </c>
      <c r="B4" s="23">
        <v>94</v>
      </c>
    </row>
    <row r="5" spans="1:2" x14ac:dyDescent="0.2">
      <c r="A5" s="23" t="s">
        <v>59</v>
      </c>
      <c r="B5" s="23">
        <v>20</v>
      </c>
    </row>
    <row r="6" spans="1:2" x14ac:dyDescent="0.2">
      <c r="A6" s="23" t="s">
        <v>60</v>
      </c>
      <c r="B6" s="23">
        <v>49</v>
      </c>
    </row>
    <row r="7" spans="1:2" x14ac:dyDescent="0.2">
      <c r="A7" s="23" t="s">
        <v>61</v>
      </c>
      <c r="B7" s="23">
        <v>28</v>
      </c>
    </row>
    <row r="8" spans="1:2" x14ac:dyDescent="0.2">
      <c r="A8" s="23" t="s">
        <v>62</v>
      </c>
      <c r="B8" s="23">
        <v>11</v>
      </c>
    </row>
    <row r="9" spans="1:2" x14ac:dyDescent="0.2">
      <c r="A9" s="25" t="s">
        <v>33</v>
      </c>
      <c r="B9" s="25">
        <v>202</v>
      </c>
    </row>
    <row r="10" spans="1:2" x14ac:dyDescent="0.2">
      <c r="A10" s="23"/>
      <c r="B10" s="23"/>
    </row>
    <row r="11" spans="1:2" x14ac:dyDescent="0.2">
      <c r="A11" s="23" t="s">
        <v>1445</v>
      </c>
      <c r="B11" s="23"/>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FFFF00"/>
  </sheetPr>
  <dimension ref="A1:B12"/>
  <sheetViews>
    <sheetView showGridLines="0" workbookViewId="0">
      <selection activeCell="A12" sqref="A12"/>
    </sheetView>
  </sheetViews>
  <sheetFormatPr baseColWidth="10" defaultColWidth="8.83203125" defaultRowHeight="15" x14ac:dyDescent="0.2"/>
  <cols>
    <col min="1" max="1" width="69.5" style="2" bestFit="1" customWidth="1"/>
    <col min="2" max="2" width="13.33203125" style="2" bestFit="1" customWidth="1"/>
    <col min="3" max="16384" width="8.83203125" style="2"/>
  </cols>
  <sheetData>
    <row r="1" spans="1:2" ht="16" x14ac:dyDescent="0.2">
      <c r="A1" s="1" t="s">
        <v>1136</v>
      </c>
      <c r="B1" s="1"/>
    </row>
    <row r="2" spans="1:2" ht="16" x14ac:dyDescent="0.2">
      <c r="A2" s="1"/>
      <c r="B2" s="1"/>
    </row>
    <row r="3" spans="1:2" x14ac:dyDescent="0.2">
      <c r="A3" s="20" t="s">
        <v>1230</v>
      </c>
      <c r="B3" s="20" t="s">
        <v>92</v>
      </c>
    </row>
    <row r="4" spans="1:2" x14ac:dyDescent="0.2">
      <c r="A4" s="2" t="s">
        <v>1237</v>
      </c>
      <c r="B4" s="2">
        <v>49</v>
      </c>
    </row>
    <row r="5" spans="1:2" x14ac:dyDescent="0.2">
      <c r="A5" s="2" t="s">
        <v>1231</v>
      </c>
      <c r="B5" s="2">
        <v>30</v>
      </c>
    </row>
    <row r="6" spans="1:2" x14ac:dyDescent="0.2">
      <c r="A6" s="2" t="s">
        <v>1238</v>
      </c>
      <c r="B6" s="2">
        <v>12</v>
      </c>
    </row>
    <row r="7" spans="1:2" x14ac:dyDescent="0.2">
      <c r="A7" s="2" t="s">
        <v>1232</v>
      </c>
      <c r="B7" s="2">
        <v>5</v>
      </c>
    </row>
    <row r="8" spans="1:2" x14ac:dyDescent="0.2">
      <c r="A8" s="2" t="s">
        <v>1239</v>
      </c>
      <c r="B8" s="2">
        <v>3</v>
      </c>
    </row>
    <row r="9" spans="1:2" x14ac:dyDescent="0.2">
      <c r="A9" s="2" t="s">
        <v>1233</v>
      </c>
      <c r="B9" s="2">
        <v>1</v>
      </c>
    </row>
    <row r="10" spans="1:2" x14ac:dyDescent="0.2">
      <c r="A10" s="214" t="s">
        <v>33</v>
      </c>
      <c r="B10" s="129">
        <f>SUM(B4:B9)</f>
        <v>100</v>
      </c>
    </row>
    <row r="12" spans="1:2" x14ac:dyDescent="0.2">
      <c r="A12" s="8" t="s">
        <v>1234</v>
      </c>
      <c r="B12" s="8"/>
    </row>
  </sheetData>
  <pageMargins left="0.7" right="0.7" top="0.75" bottom="0.75" header="0.3" footer="0.3"/>
  <pageSetup orientation="portrait"/>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C00000"/>
  </sheetPr>
  <dimension ref="A1:D21"/>
  <sheetViews>
    <sheetView showGridLines="0" zoomScale="90" zoomScaleNormal="90" workbookViewId="0">
      <selection activeCell="A21" sqref="A21"/>
    </sheetView>
  </sheetViews>
  <sheetFormatPr baseColWidth="10" defaultColWidth="8.83203125" defaultRowHeight="15" x14ac:dyDescent="0.2"/>
  <cols>
    <col min="1" max="1" width="14" style="2" bestFit="1" customWidth="1"/>
    <col min="2" max="2" width="25.83203125" style="2" bestFit="1" customWidth="1"/>
    <col min="3" max="3" width="41.1640625" style="2" bestFit="1" customWidth="1"/>
    <col min="4" max="4" width="28.1640625" style="2" bestFit="1" customWidth="1"/>
    <col min="5" max="5" width="481.1640625" style="2" bestFit="1" customWidth="1"/>
    <col min="6" max="16384" width="8.83203125" style="2"/>
  </cols>
  <sheetData>
    <row r="1" spans="1:4" ht="16" x14ac:dyDescent="0.2">
      <c r="A1" s="1" t="s">
        <v>1138</v>
      </c>
      <c r="B1" s="1"/>
      <c r="C1" s="1"/>
      <c r="D1" s="1"/>
    </row>
    <row r="2" spans="1:4" ht="16" x14ac:dyDescent="0.2">
      <c r="A2" s="1"/>
      <c r="B2" s="1"/>
      <c r="C2" s="1"/>
      <c r="D2" s="1"/>
    </row>
    <row r="3" spans="1:4" x14ac:dyDescent="0.2">
      <c r="A3" s="13" t="s">
        <v>64</v>
      </c>
      <c r="B3" s="13" t="s">
        <v>1240</v>
      </c>
      <c r="C3" s="13" t="s">
        <v>1241</v>
      </c>
      <c r="D3" s="13" t="s">
        <v>1242</v>
      </c>
    </row>
    <row r="4" spans="1:4" ht="16" x14ac:dyDescent="0.2">
      <c r="A4" s="216" t="s">
        <v>71</v>
      </c>
      <c r="B4" s="17">
        <v>1284142</v>
      </c>
      <c r="C4" s="17">
        <v>58</v>
      </c>
      <c r="D4" s="17">
        <v>7264</v>
      </c>
    </row>
    <row r="5" spans="1:4" ht="16" x14ac:dyDescent="0.2">
      <c r="A5" s="216" t="s">
        <v>72</v>
      </c>
      <c r="B5" s="17">
        <v>374076</v>
      </c>
      <c r="C5" s="17">
        <v>24</v>
      </c>
      <c r="D5" s="17">
        <v>2111</v>
      </c>
    </row>
    <row r="6" spans="1:4" ht="16" x14ac:dyDescent="0.2">
      <c r="A6" s="216" t="s">
        <v>73</v>
      </c>
      <c r="B6" s="17">
        <v>479701</v>
      </c>
      <c r="C6" s="217" t="s">
        <v>1243</v>
      </c>
      <c r="D6" s="217">
        <v>2704</v>
      </c>
    </row>
    <row r="7" spans="1:4" ht="16" x14ac:dyDescent="0.2">
      <c r="A7" s="216" t="s">
        <v>74</v>
      </c>
      <c r="B7" s="17">
        <v>965519</v>
      </c>
      <c r="C7" s="17">
        <v>67</v>
      </c>
      <c r="D7" s="17">
        <v>5444</v>
      </c>
    </row>
    <row r="8" spans="1:4" ht="16" x14ac:dyDescent="0.2">
      <c r="A8" s="216" t="s">
        <v>75</v>
      </c>
      <c r="B8" s="17">
        <v>1231807</v>
      </c>
      <c r="C8" s="17">
        <v>71</v>
      </c>
      <c r="D8" s="17">
        <v>6944</v>
      </c>
    </row>
    <row r="9" spans="1:4" ht="16" x14ac:dyDescent="0.2">
      <c r="A9" s="216" t="s">
        <v>76</v>
      </c>
      <c r="B9" s="17">
        <v>877222</v>
      </c>
      <c r="C9" s="17">
        <v>42</v>
      </c>
      <c r="D9" s="17">
        <v>4945</v>
      </c>
    </row>
    <row r="10" spans="1:4" ht="16" x14ac:dyDescent="0.2">
      <c r="A10" s="216" t="s">
        <v>77</v>
      </c>
      <c r="B10" s="17">
        <v>61844</v>
      </c>
      <c r="C10" s="17">
        <v>3</v>
      </c>
      <c r="D10" s="17">
        <v>349</v>
      </c>
    </row>
    <row r="11" spans="1:4" ht="16" x14ac:dyDescent="0.2">
      <c r="A11" s="216" t="s">
        <v>78</v>
      </c>
      <c r="B11" s="17">
        <v>814691</v>
      </c>
      <c r="C11" s="17">
        <v>48</v>
      </c>
      <c r="D11" s="17">
        <v>4594</v>
      </c>
    </row>
    <row r="12" spans="1:4" ht="16" x14ac:dyDescent="0.2">
      <c r="A12" s="216" t="s">
        <v>79</v>
      </c>
      <c r="B12" s="17">
        <v>219178</v>
      </c>
      <c r="C12" s="17">
        <v>10</v>
      </c>
      <c r="D12" s="17">
        <v>1232</v>
      </c>
    </row>
    <row r="13" spans="1:4" ht="16" x14ac:dyDescent="0.2">
      <c r="A13" s="216" t="s">
        <v>80</v>
      </c>
      <c r="B13" s="17">
        <v>646646</v>
      </c>
      <c r="C13" s="17">
        <v>34</v>
      </c>
      <c r="D13" s="17">
        <v>3641</v>
      </c>
    </row>
    <row r="14" spans="1:4" ht="16" x14ac:dyDescent="0.2">
      <c r="A14" s="216" t="s">
        <v>81</v>
      </c>
      <c r="B14" s="17">
        <v>282440</v>
      </c>
      <c r="C14" s="17">
        <v>26</v>
      </c>
      <c r="D14" s="17">
        <v>1590</v>
      </c>
    </row>
    <row r="15" spans="1:4" ht="16" x14ac:dyDescent="0.2">
      <c r="A15" s="216" t="s">
        <v>82</v>
      </c>
      <c r="B15" s="17">
        <v>64442</v>
      </c>
      <c r="C15" s="17">
        <v>2</v>
      </c>
      <c r="D15" s="17">
        <v>367</v>
      </c>
    </row>
    <row r="16" spans="1:4" ht="16" x14ac:dyDescent="0.2">
      <c r="A16" s="216" t="s">
        <v>83</v>
      </c>
      <c r="B16" s="17">
        <v>146767</v>
      </c>
      <c r="C16" s="17">
        <v>6</v>
      </c>
      <c r="D16" s="17">
        <v>828</v>
      </c>
    </row>
    <row r="17" spans="1:4" ht="16" x14ac:dyDescent="0.2">
      <c r="A17" s="218" t="s">
        <v>84</v>
      </c>
      <c r="B17" s="219">
        <v>7448475</v>
      </c>
      <c r="C17" s="219">
        <v>428</v>
      </c>
      <c r="D17" s="219">
        <v>42013</v>
      </c>
    </row>
    <row r="18" spans="1:4" x14ac:dyDescent="0.2">
      <c r="A18" s="220"/>
      <c r="B18" s="17"/>
    </row>
    <row r="19" spans="1:4" ht="10.5" customHeight="1" x14ac:dyDescent="0.2">
      <c r="A19" s="221" t="s">
        <v>1326</v>
      </c>
      <c r="B19" s="108"/>
      <c r="C19" s="8"/>
      <c r="D19" s="8"/>
    </row>
    <row r="20" spans="1:4" ht="12" customHeight="1" x14ac:dyDescent="0.2">
      <c r="A20" s="221"/>
      <c r="B20" s="108"/>
      <c r="C20" s="8"/>
      <c r="D20" s="8"/>
    </row>
    <row r="21" spans="1:4" x14ac:dyDescent="0.2">
      <c r="A21" s="8" t="s">
        <v>1325</v>
      </c>
      <c r="B21" s="8"/>
      <c r="C21" s="8"/>
      <c r="D21" s="8"/>
    </row>
  </sheetData>
  <pageMargins left="0.7" right="0.7" top="0.75" bottom="0.75" header="0.3" footer="0.3"/>
  <pageSetup orientation="portrait"/>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C00000"/>
  </sheetPr>
  <dimension ref="A1:D15"/>
  <sheetViews>
    <sheetView showGridLines="0" workbookViewId="0">
      <selection activeCell="A21" sqref="A21"/>
    </sheetView>
  </sheetViews>
  <sheetFormatPr baseColWidth="10" defaultColWidth="8.83203125" defaultRowHeight="15" x14ac:dyDescent="0.2"/>
  <cols>
    <col min="1" max="1" width="29.5" style="2" bestFit="1" customWidth="1"/>
    <col min="2" max="4" width="10.5" style="2" bestFit="1" customWidth="1"/>
    <col min="5" max="5" width="7" style="2" bestFit="1" customWidth="1"/>
    <col min="6" max="16384" width="8.83203125" style="2"/>
  </cols>
  <sheetData>
    <row r="1" spans="1:4" ht="16" x14ac:dyDescent="0.2">
      <c r="A1" s="1" t="s">
        <v>1144</v>
      </c>
      <c r="B1" s="1"/>
      <c r="C1" s="1"/>
      <c r="D1" s="1"/>
    </row>
    <row r="2" spans="1:4" ht="16" x14ac:dyDescent="0.2">
      <c r="A2" s="1"/>
      <c r="B2" s="1"/>
      <c r="C2" s="1"/>
      <c r="D2" s="1"/>
    </row>
    <row r="3" spans="1:4" x14ac:dyDescent="0.2">
      <c r="A3" s="13" t="s">
        <v>1253</v>
      </c>
      <c r="B3" s="13" t="s">
        <v>1254</v>
      </c>
      <c r="C3" s="13" t="s">
        <v>1255</v>
      </c>
      <c r="D3" s="13" t="s">
        <v>1256</v>
      </c>
    </row>
    <row r="4" spans="1:4" x14ac:dyDescent="0.2">
      <c r="A4" s="2" t="s">
        <v>1257</v>
      </c>
      <c r="B4" s="196">
        <v>20</v>
      </c>
      <c r="C4" s="196">
        <v>33</v>
      </c>
      <c r="D4" s="196">
        <v>18</v>
      </c>
    </row>
    <row r="5" spans="1:4" x14ac:dyDescent="0.2">
      <c r="A5" s="2" t="s">
        <v>1258</v>
      </c>
      <c r="B5" s="196">
        <v>23</v>
      </c>
      <c r="C5" s="196">
        <v>17</v>
      </c>
      <c r="D5" s="196">
        <v>9</v>
      </c>
    </row>
    <row r="6" spans="1:4" x14ac:dyDescent="0.2">
      <c r="A6" s="2" t="s">
        <v>1259</v>
      </c>
      <c r="B6" s="196">
        <v>20</v>
      </c>
      <c r="C6" s="196">
        <v>23</v>
      </c>
      <c r="D6" s="196">
        <v>0</v>
      </c>
    </row>
    <row r="7" spans="1:4" x14ac:dyDescent="0.2">
      <c r="A7" s="2" t="s">
        <v>1260</v>
      </c>
      <c r="B7" s="196">
        <v>32</v>
      </c>
      <c r="C7" s="196">
        <v>28</v>
      </c>
      <c r="D7" s="196">
        <v>0</v>
      </c>
    </row>
    <row r="8" spans="1:4" x14ac:dyDescent="0.2">
      <c r="A8" s="2" t="s">
        <v>1261</v>
      </c>
      <c r="B8" s="196">
        <v>16</v>
      </c>
      <c r="C8" s="196">
        <v>22</v>
      </c>
      <c r="D8" s="196">
        <v>0</v>
      </c>
    </row>
    <row r="9" spans="1:4" x14ac:dyDescent="0.2">
      <c r="A9" s="2" t="s">
        <v>1262</v>
      </c>
      <c r="B9" s="196">
        <v>26</v>
      </c>
      <c r="C9" s="196">
        <v>42</v>
      </c>
      <c r="D9" s="196">
        <v>26</v>
      </c>
    </row>
    <row r="10" spans="1:4" x14ac:dyDescent="0.2">
      <c r="A10" s="2" t="s">
        <v>1263</v>
      </c>
      <c r="B10" s="196">
        <v>5</v>
      </c>
      <c r="C10" s="196">
        <v>0</v>
      </c>
      <c r="D10" s="196">
        <v>0</v>
      </c>
    </row>
    <row r="11" spans="1:4" x14ac:dyDescent="0.2">
      <c r="A11" s="2" t="s">
        <v>1264</v>
      </c>
      <c r="B11" s="196">
        <v>15</v>
      </c>
      <c r="C11" s="196">
        <v>30</v>
      </c>
      <c r="D11" s="196">
        <v>34</v>
      </c>
    </row>
    <row r="12" spans="1:4" x14ac:dyDescent="0.2">
      <c r="A12" s="2" t="s">
        <v>1329</v>
      </c>
      <c r="B12" s="196">
        <v>0</v>
      </c>
      <c r="C12" s="196">
        <v>5</v>
      </c>
      <c r="D12" s="196">
        <v>0</v>
      </c>
    </row>
    <row r="13" spans="1:4" x14ac:dyDescent="0.2">
      <c r="A13" s="223" t="s">
        <v>33</v>
      </c>
      <c r="B13" s="224">
        <f>SUM(B4:B12)</f>
        <v>157</v>
      </c>
      <c r="C13" s="224">
        <f t="shared" ref="C13:D13" si="0">SUM(C4:C12)</f>
        <v>200</v>
      </c>
      <c r="D13" s="224">
        <f t="shared" si="0"/>
        <v>87</v>
      </c>
    </row>
    <row r="15" spans="1:4" x14ac:dyDescent="0.2">
      <c r="A15" s="8" t="s">
        <v>1325</v>
      </c>
    </row>
  </sheetData>
  <pageMargins left="0.7" right="0.7" top="0.75" bottom="0.75" header="0.3" footer="0.3"/>
  <pageSetup orientation="portrait"/>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C00000"/>
  </sheetPr>
  <dimension ref="A1:D40"/>
  <sheetViews>
    <sheetView showGridLines="0" workbookViewId="0">
      <selection activeCell="A21" sqref="A21"/>
    </sheetView>
  </sheetViews>
  <sheetFormatPr baseColWidth="10" defaultColWidth="8.83203125" defaultRowHeight="15" x14ac:dyDescent="0.2"/>
  <cols>
    <col min="1" max="1" width="33" style="2" bestFit="1" customWidth="1"/>
    <col min="2" max="2" width="10.5" style="2" bestFit="1" customWidth="1"/>
    <col min="3" max="3" width="16.5" style="2" bestFit="1" customWidth="1"/>
    <col min="4" max="4" width="7" style="2" bestFit="1" customWidth="1"/>
    <col min="5" max="16384" width="8.83203125" style="2"/>
  </cols>
  <sheetData>
    <row r="1" spans="1:4" ht="16" x14ac:dyDescent="0.2">
      <c r="A1" s="1" t="s">
        <v>1146</v>
      </c>
      <c r="B1" s="1"/>
      <c r="C1" s="1"/>
      <c r="D1" s="1"/>
    </row>
    <row r="2" spans="1:4" ht="16" x14ac:dyDescent="0.2">
      <c r="A2" s="1"/>
      <c r="B2" s="1"/>
      <c r="C2" s="1"/>
      <c r="D2" s="1"/>
    </row>
    <row r="3" spans="1:4" x14ac:dyDescent="0.2">
      <c r="A3" s="13" t="s">
        <v>1265</v>
      </c>
      <c r="B3" s="13" t="s">
        <v>1266</v>
      </c>
      <c r="C3" s="13" t="s">
        <v>92</v>
      </c>
    </row>
    <row r="4" spans="1:4" x14ac:dyDescent="0.2">
      <c r="A4" s="2" t="s">
        <v>1330</v>
      </c>
      <c r="B4" s="17">
        <v>9</v>
      </c>
      <c r="C4" s="17">
        <v>135</v>
      </c>
    </row>
    <row r="5" spans="1:4" x14ac:dyDescent="0.2">
      <c r="A5" s="2" t="s">
        <v>1331</v>
      </c>
      <c r="B5" s="17">
        <v>5</v>
      </c>
      <c r="C5" s="17">
        <v>37</v>
      </c>
    </row>
    <row r="6" spans="1:4" x14ac:dyDescent="0.2">
      <c r="A6" s="2" t="s">
        <v>1332</v>
      </c>
      <c r="B6" s="17">
        <v>10</v>
      </c>
      <c r="C6" s="17">
        <v>173</v>
      </c>
    </row>
    <row r="7" spans="1:4" x14ac:dyDescent="0.2">
      <c r="A7" s="2" t="s">
        <v>1333</v>
      </c>
      <c r="B7" s="17">
        <v>9</v>
      </c>
      <c r="C7" s="17">
        <v>30</v>
      </c>
    </row>
    <row r="8" spans="1:4" x14ac:dyDescent="0.2">
      <c r="A8" s="2" t="s">
        <v>1334</v>
      </c>
      <c r="B8" s="17">
        <v>13</v>
      </c>
      <c r="C8" s="17">
        <v>156</v>
      </c>
    </row>
    <row r="9" spans="1:4" x14ac:dyDescent="0.2">
      <c r="A9" s="2" t="s">
        <v>1335</v>
      </c>
      <c r="B9" s="17">
        <v>6</v>
      </c>
      <c r="C9" s="17">
        <v>17</v>
      </c>
    </row>
    <row r="10" spans="1:4" x14ac:dyDescent="0.2">
      <c r="A10" s="2" t="s">
        <v>1336</v>
      </c>
      <c r="B10" s="17">
        <v>14</v>
      </c>
      <c r="C10" s="17">
        <v>61</v>
      </c>
    </row>
    <row r="11" spans="1:4" x14ac:dyDescent="0.2">
      <c r="A11" s="2" t="s">
        <v>1337</v>
      </c>
      <c r="B11" s="17">
        <v>5</v>
      </c>
      <c r="C11" s="17">
        <v>83</v>
      </c>
    </row>
    <row r="12" spans="1:4" x14ac:dyDescent="0.2">
      <c r="A12" s="2" t="s">
        <v>1338</v>
      </c>
      <c r="B12" s="17">
        <v>13</v>
      </c>
      <c r="C12" s="17">
        <v>89</v>
      </c>
    </row>
    <row r="13" spans="1:4" x14ac:dyDescent="0.2">
      <c r="A13" s="2" t="s">
        <v>1339</v>
      </c>
      <c r="B13" s="17">
        <v>16</v>
      </c>
      <c r="C13" s="17">
        <v>197</v>
      </c>
    </row>
    <row r="14" spans="1:4" x14ac:dyDescent="0.2">
      <c r="A14" s="2" t="s">
        <v>1340</v>
      </c>
      <c r="B14" s="17">
        <v>10</v>
      </c>
      <c r="C14" s="17">
        <v>71</v>
      </c>
    </row>
    <row r="15" spans="1:4" x14ac:dyDescent="0.2">
      <c r="A15" s="2" t="s">
        <v>1341</v>
      </c>
      <c r="B15" s="17">
        <v>11</v>
      </c>
      <c r="C15" s="17">
        <v>107</v>
      </c>
    </row>
    <row r="16" spans="1:4" x14ac:dyDescent="0.2">
      <c r="A16" s="2" t="s">
        <v>1342</v>
      </c>
      <c r="B16" s="17">
        <v>5</v>
      </c>
      <c r="C16" s="17">
        <v>57</v>
      </c>
    </row>
    <row r="17" spans="1:3" x14ac:dyDescent="0.2">
      <c r="A17" s="2" t="s">
        <v>1343</v>
      </c>
      <c r="B17" s="17">
        <v>12</v>
      </c>
      <c r="C17" s="17">
        <v>87</v>
      </c>
    </row>
    <row r="18" spans="1:3" x14ac:dyDescent="0.2">
      <c r="A18" s="2" t="s">
        <v>1344</v>
      </c>
      <c r="B18" s="17">
        <v>7</v>
      </c>
      <c r="C18" s="17">
        <v>34</v>
      </c>
    </row>
    <row r="19" spans="1:3" x14ac:dyDescent="0.2">
      <c r="A19" s="2" t="s">
        <v>1345</v>
      </c>
      <c r="B19" s="17">
        <v>10</v>
      </c>
      <c r="C19" s="17">
        <v>98</v>
      </c>
    </row>
    <row r="20" spans="1:3" x14ac:dyDescent="0.2">
      <c r="A20" s="2" t="s">
        <v>1346</v>
      </c>
      <c r="B20" s="17">
        <v>8</v>
      </c>
      <c r="C20" s="17">
        <v>46</v>
      </c>
    </row>
    <row r="21" spans="1:3" x14ac:dyDescent="0.2">
      <c r="A21" s="2" t="s">
        <v>1347</v>
      </c>
      <c r="B21" s="17">
        <v>10</v>
      </c>
      <c r="C21" s="17">
        <v>86</v>
      </c>
    </row>
    <row r="22" spans="1:3" x14ac:dyDescent="0.2">
      <c r="A22" s="2" t="s">
        <v>1348</v>
      </c>
      <c r="B22" s="17">
        <v>11</v>
      </c>
      <c r="C22" s="17">
        <v>106</v>
      </c>
    </row>
    <row r="23" spans="1:3" x14ac:dyDescent="0.2">
      <c r="A23" s="2" t="s">
        <v>1349</v>
      </c>
      <c r="B23" s="17">
        <v>11</v>
      </c>
      <c r="C23" s="17">
        <v>94</v>
      </c>
    </row>
    <row r="24" spans="1:3" x14ac:dyDescent="0.2">
      <c r="A24" s="2" t="s">
        <v>1350</v>
      </c>
      <c r="B24" s="17">
        <v>16</v>
      </c>
      <c r="C24" s="17">
        <v>247</v>
      </c>
    </row>
    <row r="25" spans="1:3" x14ac:dyDescent="0.2">
      <c r="A25" s="2" t="s">
        <v>1351</v>
      </c>
      <c r="B25" s="17">
        <v>10</v>
      </c>
      <c r="C25" s="17">
        <v>169</v>
      </c>
    </row>
    <row r="26" spans="1:3" x14ac:dyDescent="0.2">
      <c r="A26" s="2" t="s">
        <v>1352</v>
      </c>
      <c r="B26" s="17">
        <v>9</v>
      </c>
      <c r="C26" s="17">
        <v>125</v>
      </c>
    </row>
    <row r="27" spans="1:3" x14ac:dyDescent="0.2">
      <c r="A27" s="2" t="s">
        <v>1353</v>
      </c>
      <c r="B27" s="17">
        <v>8</v>
      </c>
      <c r="C27" s="17">
        <v>52</v>
      </c>
    </row>
    <row r="28" spans="1:3" x14ac:dyDescent="0.2">
      <c r="A28" s="2" t="s">
        <v>1354</v>
      </c>
      <c r="B28" s="17">
        <v>3</v>
      </c>
      <c r="C28" s="17">
        <v>172</v>
      </c>
    </row>
    <row r="29" spans="1:3" x14ac:dyDescent="0.2">
      <c r="A29" s="2" t="s">
        <v>1355</v>
      </c>
      <c r="B29" s="17">
        <v>10</v>
      </c>
      <c r="C29" s="17">
        <v>146</v>
      </c>
    </row>
    <row r="30" spans="1:3" x14ac:dyDescent="0.2">
      <c r="A30" s="2" t="s">
        <v>707</v>
      </c>
      <c r="B30" s="17">
        <v>14</v>
      </c>
      <c r="C30" s="17">
        <v>415</v>
      </c>
    </row>
    <row r="31" spans="1:3" x14ac:dyDescent="0.2">
      <c r="A31" s="225" t="s">
        <v>33</v>
      </c>
      <c r="B31" s="226">
        <f>SUM(B4:B30)</f>
        <v>265</v>
      </c>
      <c r="C31" s="226">
        <f>SUM(C4:C30)</f>
        <v>3090</v>
      </c>
    </row>
    <row r="32" spans="1:3" ht="8" customHeight="1" x14ac:dyDescent="0.2"/>
    <row r="33" spans="1:4" x14ac:dyDescent="0.2">
      <c r="A33" s="281" t="s">
        <v>1356</v>
      </c>
      <c r="B33" s="281"/>
      <c r="C33" s="281"/>
      <c r="D33" s="281"/>
    </row>
    <row r="34" spans="1:4" ht="4.5" customHeight="1" x14ac:dyDescent="0.2">
      <c r="A34" s="281"/>
      <c r="B34" s="281"/>
      <c r="C34" s="281"/>
      <c r="D34" s="281"/>
    </row>
    <row r="35" spans="1:4" ht="14.5" customHeight="1" x14ac:dyDescent="0.2">
      <c r="A35" s="281"/>
      <c r="B35" s="281"/>
      <c r="C35" s="281"/>
      <c r="D35" s="281"/>
    </row>
    <row r="36" spans="1:4" x14ac:dyDescent="0.2">
      <c r="A36" s="281"/>
      <c r="B36" s="281"/>
      <c r="C36" s="281"/>
      <c r="D36" s="281"/>
    </row>
    <row r="37" spans="1:4" ht="25" customHeight="1" x14ac:dyDescent="0.2">
      <c r="A37" s="281"/>
      <c r="B37" s="281"/>
      <c r="C37" s="281"/>
      <c r="D37" s="281"/>
    </row>
    <row r="38" spans="1:4" ht="35" customHeight="1" x14ac:dyDescent="0.2">
      <c r="A38" s="281"/>
      <c r="B38" s="281"/>
      <c r="C38" s="281"/>
      <c r="D38" s="281"/>
    </row>
    <row r="39" spans="1:4" ht="2.5" customHeight="1" x14ac:dyDescent="0.2">
      <c r="C39" s="17"/>
    </row>
    <row r="40" spans="1:4" x14ac:dyDescent="0.2">
      <c r="A40" s="8" t="s">
        <v>1325</v>
      </c>
    </row>
  </sheetData>
  <mergeCells count="1">
    <mergeCell ref="A33:D38"/>
  </mergeCells>
  <pageMargins left="0.7" right="0.7" top="0.75" bottom="0.75" header="0.3" footer="0.3"/>
  <pageSetup orientation="portrait"/>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C00000"/>
  </sheetPr>
  <dimension ref="A1:F21"/>
  <sheetViews>
    <sheetView showGridLines="0" zoomScale="83" workbookViewId="0">
      <selection activeCell="A21" sqref="A21:E21"/>
    </sheetView>
  </sheetViews>
  <sheetFormatPr baseColWidth="10" defaultColWidth="8.83203125" defaultRowHeight="15" x14ac:dyDescent="0.2"/>
  <cols>
    <col min="1" max="1" width="14" style="2" bestFit="1" customWidth="1"/>
    <col min="2" max="2" width="28.1640625" style="2" bestFit="1" customWidth="1"/>
    <col min="3" max="3" width="25.83203125" style="2" bestFit="1" customWidth="1"/>
    <col min="4" max="4" width="29.5" style="2" bestFit="1" customWidth="1"/>
    <col min="5" max="5" width="25.83203125" style="2" bestFit="1" customWidth="1"/>
    <col min="6" max="6" width="7" style="2" bestFit="1" customWidth="1"/>
    <col min="7" max="16384" width="8.83203125" style="2"/>
  </cols>
  <sheetData>
    <row r="1" spans="1:5" ht="16" x14ac:dyDescent="0.2">
      <c r="A1" s="259" t="s">
        <v>1357</v>
      </c>
      <c r="B1" s="259"/>
      <c r="C1" s="259"/>
      <c r="D1" s="259"/>
      <c r="E1" s="259"/>
    </row>
    <row r="2" spans="1:5" ht="13.5" customHeight="1" x14ac:dyDescent="0.2">
      <c r="A2" s="1"/>
      <c r="B2" s="1"/>
      <c r="C2" s="1"/>
      <c r="D2" s="1"/>
      <c r="E2" s="1"/>
    </row>
    <row r="3" spans="1:5" x14ac:dyDescent="0.2">
      <c r="A3" s="13" t="s">
        <v>64</v>
      </c>
      <c r="B3" s="13" t="s">
        <v>1267</v>
      </c>
      <c r="C3" s="13" t="s">
        <v>1268</v>
      </c>
      <c r="D3" s="13" t="s">
        <v>1269</v>
      </c>
      <c r="E3" s="13" t="s">
        <v>1270</v>
      </c>
    </row>
    <row r="4" spans="1:5" ht="16" x14ac:dyDescent="0.2">
      <c r="A4" s="216" t="s">
        <v>71</v>
      </c>
      <c r="B4" s="217">
        <v>3900</v>
      </c>
      <c r="C4" s="217">
        <v>1491</v>
      </c>
      <c r="D4" s="217">
        <v>43</v>
      </c>
      <c r="E4" s="217">
        <v>10</v>
      </c>
    </row>
    <row r="5" spans="1:5" ht="16" x14ac:dyDescent="0.2">
      <c r="A5" s="216" t="s">
        <v>72</v>
      </c>
      <c r="B5" s="217">
        <v>3000</v>
      </c>
      <c r="C5" s="217">
        <v>1194</v>
      </c>
      <c r="D5" s="217">
        <v>14</v>
      </c>
      <c r="E5" s="217">
        <v>4</v>
      </c>
    </row>
    <row r="6" spans="1:5" ht="16" x14ac:dyDescent="0.2">
      <c r="A6" s="216" t="s">
        <v>191</v>
      </c>
      <c r="B6" s="217">
        <v>18812</v>
      </c>
      <c r="C6" s="217">
        <v>10107</v>
      </c>
      <c r="D6" s="217">
        <v>3</v>
      </c>
      <c r="E6" s="217">
        <v>18</v>
      </c>
    </row>
    <row r="7" spans="1:5" ht="16" x14ac:dyDescent="0.2">
      <c r="A7" s="216" t="s">
        <v>74</v>
      </c>
      <c r="B7" s="217">
        <v>600</v>
      </c>
      <c r="C7" s="217">
        <v>215</v>
      </c>
      <c r="D7" s="217">
        <v>8</v>
      </c>
      <c r="E7" s="217">
        <v>16</v>
      </c>
    </row>
    <row r="8" spans="1:5" ht="16" x14ac:dyDescent="0.2">
      <c r="A8" s="216" t="s">
        <v>75</v>
      </c>
      <c r="B8" s="217">
        <v>5760</v>
      </c>
      <c r="C8" s="217">
        <v>2880</v>
      </c>
      <c r="D8" s="217">
        <v>2</v>
      </c>
      <c r="E8" s="217">
        <v>5</v>
      </c>
    </row>
    <row r="9" spans="1:5" ht="16" x14ac:dyDescent="0.2">
      <c r="A9" s="216" t="s">
        <v>76</v>
      </c>
      <c r="B9" s="217">
        <v>15078</v>
      </c>
      <c r="C9" s="217">
        <v>5534</v>
      </c>
      <c r="D9" s="217">
        <v>29</v>
      </c>
      <c r="E9" s="217">
        <v>0</v>
      </c>
    </row>
    <row r="10" spans="1:5" ht="16" x14ac:dyDescent="0.2">
      <c r="A10" s="216" t="s">
        <v>77</v>
      </c>
      <c r="B10" s="217">
        <v>3182</v>
      </c>
      <c r="C10" s="217">
        <v>1426</v>
      </c>
      <c r="D10" s="217">
        <v>1</v>
      </c>
      <c r="E10" s="217">
        <v>16</v>
      </c>
    </row>
    <row r="11" spans="1:5" ht="16" x14ac:dyDescent="0.2">
      <c r="A11" s="216" t="s">
        <v>78</v>
      </c>
      <c r="B11" s="217">
        <v>2000</v>
      </c>
      <c r="C11" s="217">
        <v>1000</v>
      </c>
      <c r="D11" s="217">
        <v>5</v>
      </c>
      <c r="E11" s="217">
        <v>13</v>
      </c>
    </row>
    <row r="12" spans="1:5" ht="16" x14ac:dyDescent="0.2">
      <c r="A12" s="216" t="s">
        <v>79</v>
      </c>
      <c r="B12" s="217">
        <v>1500</v>
      </c>
      <c r="C12" s="217">
        <v>437</v>
      </c>
      <c r="D12" s="217">
        <v>11</v>
      </c>
      <c r="E12" s="217">
        <v>14</v>
      </c>
    </row>
    <row r="13" spans="1:5" ht="16" x14ac:dyDescent="0.2">
      <c r="A13" s="216" t="s">
        <v>80</v>
      </c>
      <c r="B13" s="217">
        <v>4802</v>
      </c>
      <c r="C13" s="217">
        <v>2562</v>
      </c>
      <c r="D13" s="217">
        <v>14</v>
      </c>
      <c r="E13" s="217">
        <v>11</v>
      </c>
    </row>
    <row r="14" spans="1:5" ht="16" x14ac:dyDescent="0.2">
      <c r="A14" s="216" t="s">
        <v>81</v>
      </c>
      <c r="B14" s="217">
        <v>240</v>
      </c>
      <c r="C14" s="217">
        <v>175</v>
      </c>
      <c r="D14" s="217">
        <v>5</v>
      </c>
      <c r="E14" s="217">
        <v>0</v>
      </c>
    </row>
    <row r="15" spans="1:5" ht="16" x14ac:dyDescent="0.2">
      <c r="A15" s="216" t="s">
        <v>82</v>
      </c>
      <c r="B15" s="217">
        <v>730</v>
      </c>
      <c r="C15" s="217">
        <v>282</v>
      </c>
      <c r="D15" s="217">
        <v>3</v>
      </c>
      <c r="E15" s="217">
        <v>4</v>
      </c>
    </row>
    <row r="16" spans="1:5" ht="16" x14ac:dyDescent="0.2">
      <c r="A16" s="216" t="s">
        <v>83</v>
      </c>
      <c r="B16" s="217">
        <v>2294</v>
      </c>
      <c r="C16" s="217">
        <v>656</v>
      </c>
      <c r="D16" s="217">
        <v>6</v>
      </c>
      <c r="E16" s="217">
        <v>8</v>
      </c>
    </row>
    <row r="17" spans="1:6" x14ac:dyDescent="0.2">
      <c r="A17" s="87" t="s">
        <v>84</v>
      </c>
      <c r="B17" s="149">
        <f>SUM(B4:B16)</f>
        <v>61898</v>
      </c>
      <c r="C17" s="149">
        <f>SUM(C4:C16)</f>
        <v>27959</v>
      </c>
      <c r="D17" s="149">
        <f>SUM(D4:D16)</f>
        <v>144</v>
      </c>
      <c r="E17" s="149">
        <f>SUM(E4:E16)</f>
        <v>119</v>
      </c>
    </row>
    <row r="18" spans="1:6" x14ac:dyDescent="0.2">
      <c r="A18" s="258"/>
      <c r="B18" s="258"/>
      <c r="C18" s="258"/>
      <c r="D18" s="258"/>
    </row>
    <row r="19" spans="1:6" x14ac:dyDescent="0.2">
      <c r="A19" s="227" t="s">
        <v>1358</v>
      </c>
      <c r="B19" s="227"/>
      <c r="C19" s="227"/>
      <c r="D19" s="227"/>
      <c r="E19" s="227"/>
      <c r="F19" s="227"/>
    </row>
    <row r="20" spans="1:6" ht="14.5" customHeight="1" x14ac:dyDescent="0.2">
      <c r="A20" s="227" t="s">
        <v>1271</v>
      </c>
      <c r="B20" s="227"/>
      <c r="C20" s="227"/>
      <c r="D20" s="227"/>
      <c r="E20" s="227"/>
      <c r="F20" s="227"/>
    </row>
    <row r="21" spans="1:6" x14ac:dyDescent="0.2">
      <c r="A21" s="257" t="s">
        <v>1325</v>
      </c>
      <c r="B21" s="257"/>
      <c r="C21" s="257"/>
      <c r="D21" s="257"/>
      <c r="E21" s="257"/>
    </row>
  </sheetData>
  <mergeCells count="3">
    <mergeCell ref="A1:E1"/>
    <mergeCell ref="A18:D18"/>
    <mergeCell ref="A21:E21"/>
  </mergeCells>
  <pageMargins left="0.7" right="0.7" top="0.75" bottom="0.75" header="0.3" footer="0.3"/>
  <pageSetup orientation="portrait"/>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C00000"/>
  </sheetPr>
  <dimension ref="A1:K19"/>
  <sheetViews>
    <sheetView showGridLines="0" workbookViewId="0">
      <selection activeCell="B21" sqref="B21"/>
    </sheetView>
  </sheetViews>
  <sheetFormatPr baseColWidth="10" defaultColWidth="8.83203125" defaultRowHeight="15" x14ac:dyDescent="0.2"/>
  <cols>
    <col min="1" max="1" width="14" style="2" bestFit="1" customWidth="1"/>
    <col min="2" max="2" width="12.1640625" style="2" customWidth="1"/>
    <col min="3" max="4" width="18.6640625" style="2" bestFit="1" customWidth="1"/>
    <col min="5" max="5" width="4.83203125" style="2" customWidth="1"/>
    <col min="6" max="6" width="17.5" style="2" bestFit="1" customWidth="1"/>
    <col min="7" max="7" width="20" style="2" bestFit="1" customWidth="1"/>
    <col min="8" max="8" width="7.1640625" style="2" customWidth="1"/>
    <col min="9" max="9" width="7" style="2" bestFit="1" customWidth="1"/>
    <col min="10" max="16384" width="8.83203125" style="2"/>
  </cols>
  <sheetData>
    <row r="1" spans="1:11" ht="16" x14ac:dyDescent="0.2">
      <c r="A1" s="1" t="s">
        <v>1142</v>
      </c>
      <c r="B1" s="1"/>
      <c r="C1" s="1"/>
      <c r="D1" s="1"/>
      <c r="E1" s="1"/>
      <c r="F1" s="1"/>
      <c r="G1" s="1"/>
      <c r="H1" s="1"/>
      <c r="I1" s="1"/>
      <c r="J1" s="1"/>
      <c r="K1" s="1"/>
    </row>
    <row r="2" spans="1:11" ht="16" x14ac:dyDescent="0.2">
      <c r="A2" s="1"/>
      <c r="B2" s="1"/>
      <c r="C2" s="1"/>
      <c r="D2" s="1"/>
      <c r="E2" s="1"/>
      <c r="F2" s="1"/>
      <c r="G2" s="1"/>
      <c r="H2" s="1"/>
      <c r="I2" s="1"/>
      <c r="J2" s="1"/>
      <c r="K2" s="1"/>
    </row>
    <row r="3" spans="1:11" ht="16" x14ac:dyDescent="0.2">
      <c r="A3" s="254" t="s">
        <v>64</v>
      </c>
      <c r="B3" s="282" t="s">
        <v>1248</v>
      </c>
      <c r="C3" s="256" t="s">
        <v>1249</v>
      </c>
      <c r="D3" s="256"/>
      <c r="E3" s="22"/>
      <c r="F3" s="256" t="s">
        <v>1250</v>
      </c>
      <c r="G3" s="256"/>
      <c r="H3" s="22"/>
      <c r="I3" s="256" t="s">
        <v>1251</v>
      </c>
      <c r="J3" s="256"/>
      <c r="K3" s="1"/>
    </row>
    <row r="4" spans="1:11" x14ac:dyDescent="0.2">
      <c r="A4" s="255"/>
      <c r="B4" s="283"/>
      <c r="C4" s="3" t="s">
        <v>679</v>
      </c>
      <c r="D4" s="3" t="s">
        <v>680</v>
      </c>
      <c r="E4" s="3"/>
      <c r="F4" s="3" t="s">
        <v>679</v>
      </c>
      <c r="G4" s="3" t="s">
        <v>680</v>
      </c>
      <c r="H4" s="3"/>
      <c r="I4" s="3" t="s">
        <v>679</v>
      </c>
      <c r="J4" s="3" t="s">
        <v>680</v>
      </c>
    </row>
    <row r="5" spans="1:11" x14ac:dyDescent="0.2">
      <c r="A5" s="82" t="s">
        <v>1328</v>
      </c>
      <c r="B5" s="2">
        <v>1</v>
      </c>
      <c r="C5" s="2">
        <v>0</v>
      </c>
      <c r="D5" s="2">
        <v>0</v>
      </c>
      <c r="F5" s="2">
        <v>0</v>
      </c>
      <c r="G5" s="2">
        <v>0</v>
      </c>
      <c r="I5" s="2">
        <v>0</v>
      </c>
      <c r="J5" s="2">
        <v>0</v>
      </c>
    </row>
    <row r="6" spans="1:11" x14ac:dyDescent="0.2">
      <c r="A6" s="82" t="s">
        <v>73</v>
      </c>
      <c r="B6" s="2">
        <v>16</v>
      </c>
      <c r="C6" s="2">
        <v>0</v>
      </c>
      <c r="D6" s="2">
        <v>0</v>
      </c>
      <c r="F6" s="2">
        <v>55</v>
      </c>
      <c r="G6" s="2">
        <v>58</v>
      </c>
      <c r="I6" s="2">
        <v>390</v>
      </c>
      <c r="J6" s="2">
        <v>452</v>
      </c>
    </row>
    <row r="7" spans="1:11" x14ac:dyDescent="0.2">
      <c r="A7" s="82" t="s">
        <v>74</v>
      </c>
      <c r="B7" s="2">
        <v>1</v>
      </c>
      <c r="C7" s="2">
        <v>0</v>
      </c>
      <c r="D7" s="2">
        <v>0</v>
      </c>
      <c r="F7" s="2">
        <v>6</v>
      </c>
      <c r="G7" s="2">
        <v>6</v>
      </c>
      <c r="I7" s="2">
        <v>20</v>
      </c>
      <c r="J7" s="2">
        <v>26</v>
      </c>
    </row>
    <row r="8" spans="1:11" x14ac:dyDescent="0.2">
      <c r="A8" s="82" t="s">
        <v>936</v>
      </c>
      <c r="B8" s="2">
        <v>5</v>
      </c>
      <c r="C8" s="2">
        <v>0</v>
      </c>
      <c r="D8" s="2">
        <v>1</v>
      </c>
      <c r="F8" s="2">
        <v>27</v>
      </c>
      <c r="G8" s="2">
        <v>28</v>
      </c>
      <c r="I8" s="2">
        <v>229</v>
      </c>
      <c r="J8" s="2">
        <v>239</v>
      </c>
    </row>
    <row r="9" spans="1:11" x14ac:dyDescent="0.2">
      <c r="A9" s="82" t="s">
        <v>76</v>
      </c>
      <c r="B9" s="2">
        <v>4</v>
      </c>
      <c r="C9" s="2">
        <v>0</v>
      </c>
      <c r="D9" s="2">
        <v>0</v>
      </c>
      <c r="F9" s="2">
        <v>30</v>
      </c>
      <c r="G9" s="2">
        <v>43</v>
      </c>
      <c r="I9" s="2">
        <v>106</v>
      </c>
      <c r="J9" s="2">
        <v>129</v>
      </c>
    </row>
    <row r="10" spans="1:11" x14ac:dyDescent="0.2">
      <c r="A10" s="82" t="s">
        <v>192</v>
      </c>
      <c r="B10" s="2">
        <v>1</v>
      </c>
      <c r="C10" s="2">
        <v>0</v>
      </c>
      <c r="D10" s="2">
        <v>0</v>
      </c>
      <c r="F10" s="2">
        <v>6</v>
      </c>
      <c r="G10" s="2">
        <v>6</v>
      </c>
      <c r="I10" s="2">
        <v>19</v>
      </c>
      <c r="J10" s="2">
        <v>20</v>
      </c>
    </row>
    <row r="11" spans="1:11" x14ac:dyDescent="0.2">
      <c r="A11" s="82" t="s">
        <v>78</v>
      </c>
      <c r="B11" s="2">
        <v>3</v>
      </c>
      <c r="C11" s="2">
        <v>0</v>
      </c>
      <c r="D11" s="2">
        <v>0</v>
      </c>
      <c r="F11" s="2">
        <v>10</v>
      </c>
      <c r="G11" s="2">
        <v>8</v>
      </c>
      <c r="I11" s="2">
        <v>82</v>
      </c>
      <c r="J11" s="2">
        <v>90</v>
      </c>
    </row>
    <row r="12" spans="1:11" x14ac:dyDescent="0.2">
      <c r="A12" s="66" t="s">
        <v>79</v>
      </c>
      <c r="B12" s="2">
        <v>1</v>
      </c>
      <c r="C12" s="2">
        <v>0</v>
      </c>
      <c r="D12" s="2">
        <v>0</v>
      </c>
      <c r="F12" s="2">
        <v>4</v>
      </c>
      <c r="G12" s="2">
        <v>5</v>
      </c>
      <c r="I12" s="2">
        <v>4</v>
      </c>
      <c r="J12" s="2">
        <v>9</v>
      </c>
    </row>
    <row r="13" spans="1:11" x14ac:dyDescent="0.2">
      <c r="A13" s="66" t="s">
        <v>82</v>
      </c>
      <c r="B13" s="2">
        <v>3</v>
      </c>
      <c r="C13" s="2">
        <v>0</v>
      </c>
      <c r="D13" s="2">
        <v>0</v>
      </c>
      <c r="F13" s="2">
        <v>11</v>
      </c>
      <c r="G13" s="2">
        <v>12</v>
      </c>
      <c r="I13" s="2">
        <v>49</v>
      </c>
      <c r="J13" s="2">
        <v>55</v>
      </c>
    </row>
    <row r="14" spans="1:11" x14ac:dyDescent="0.2">
      <c r="A14" s="87" t="s">
        <v>84</v>
      </c>
      <c r="B14" s="176">
        <f>SUM(B5:B13)</f>
        <v>35</v>
      </c>
      <c r="C14" s="176">
        <f t="shared" ref="C14:J14" si="0">SUM(C5:C13)</f>
        <v>0</v>
      </c>
      <c r="D14" s="176">
        <f t="shared" si="0"/>
        <v>1</v>
      </c>
      <c r="E14" s="176"/>
      <c r="F14" s="176">
        <f t="shared" si="0"/>
        <v>149</v>
      </c>
      <c r="G14" s="176">
        <f t="shared" si="0"/>
        <v>166</v>
      </c>
      <c r="H14" s="176"/>
      <c r="I14" s="176">
        <f t="shared" si="0"/>
        <v>899</v>
      </c>
      <c r="J14" s="176">
        <f t="shared" si="0"/>
        <v>1020</v>
      </c>
    </row>
    <row r="16" spans="1:11" x14ac:dyDescent="0.2">
      <c r="A16" s="8" t="s">
        <v>1252</v>
      </c>
      <c r="B16" s="8"/>
      <c r="C16" s="8"/>
      <c r="D16" s="8"/>
      <c r="E16" s="8"/>
      <c r="F16" s="8"/>
      <c r="G16" s="8"/>
      <c r="H16" s="8"/>
      <c r="I16" s="8"/>
      <c r="J16" s="8"/>
      <c r="K16" s="8"/>
    </row>
    <row r="17" spans="1:11" x14ac:dyDescent="0.2">
      <c r="A17" s="8" t="s">
        <v>1327</v>
      </c>
      <c r="B17" s="8"/>
      <c r="C17" s="8"/>
      <c r="D17" s="8"/>
      <c r="E17" s="8"/>
      <c r="F17" s="8"/>
      <c r="G17" s="8"/>
      <c r="H17" s="8"/>
      <c r="I17" s="8"/>
      <c r="J17" s="8"/>
      <c r="K17" s="8"/>
    </row>
    <row r="18" spans="1:11" x14ac:dyDescent="0.2">
      <c r="A18" s="257" t="s">
        <v>1325</v>
      </c>
      <c r="B18" s="257"/>
      <c r="C18" s="257"/>
      <c r="D18" s="257"/>
      <c r="E18" s="257"/>
      <c r="F18" s="257"/>
      <c r="G18" s="257"/>
      <c r="H18" s="257"/>
      <c r="I18" s="257"/>
      <c r="J18" s="257"/>
      <c r="K18" s="257"/>
    </row>
    <row r="19" spans="1:11" ht="14.5" customHeight="1" x14ac:dyDescent="0.2"/>
  </sheetData>
  <mergeCells count="6">
    <mergeCell ref="A18:K18"/>
    <mergeCell ref="A3:A4"/>
    <mergeCell ref="B3:B4"/>
    <mergeCell ref="C3:D3"/>
    <mergeCell ref="F3:G3"/>
    <mergeCell ref="I3:J3"/>
  </mergeCells>
  <pageMargins left="0.7" right="0.7" top="0.75" bottom="0.75" header="0.3" footer="0.3"/>
  <pageSetup orientation="portrait"/>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rgb="FFC00000"/>
  </sheetPr>
  <dimension ref="A1:C14"/>
  <sheetViews>
    <sheetView showGridLines="0" workbookViewId="0">
      <selection activeCell="A21" sqref="A21"/>
    </sheetView>
  </sheetViews>
  <sheetFormatPr baseColWidth="10" defaultColWidth="8.83203125" defaultRowHeight="15" x14ac:dyDescent="0.2"/>
  <cols>
    <col min="1" max="1" width="103.6640625" style="2" bestFit="1" customWidth="1"/>
    <col min="2" max="2" width="10.5" style="2" bestFit="1" customWidth="1"/>
    <col min="3" max="3" width="16.5" style="2" bestFit="1" customWidth="1"/>
    <col min="4" max="4" width="7" style="2" bestFit="1" customWidth="1"/>
    <col min="5" max="16384" width="8.83203125" style="2"/>
  </cols>
  <sheetData>
    <row r="1" spans="1:3" ht="16" x14ac:dyDescent="0.2">
      <c r="A1" s="259" t="s">
        <v>1150</v>
      </c>
      <c r="B1" s="259"/>
      <c r="C1" s="259"/>
    </row>
    <row r="2" spans="1:3" ht="16" x14ac:dyDescent="0.2">
      <c r="A2" s="1"/>
      <c r="B2" s="1"/>
      <c r="C2" s="1"/>
    </row>
    <row r="3" spans="1:3" x14ac:dyDescent="0.2">
      <c r="A3" s="13" t="s">
        <v>1272</v>
      </c>
      <c r="B3" s="13" t="s">
        <v>29</v>
      </c>
      <c r="C3" s="13" t="s">
        <v>92</v>
      </c>
    </row>
    <row r="4" spans="1:3" x14ac:dyDescent="0.2">
      <c r="A4" s="2" t="s">
        <v>1273</v>
      </c>
      <c r="B4" s="2">
        <v>334</v>
      </c>
      <c r="C4" s="2">
        <v>334</v>
      </c>
    </row>
    <row r="5" spans="1:3" x14ac:dyDescent="0.2">
      <c r="A5" s="2" t="s">
        <v>1274</v>
      </c>
      <c r="B5" s="2">
        <v>50</v>
      </c>
      <c r="C5" s="2">
        <v>50</v>
      </c>
    </row>
    <row r="6" spans="1:3" x14ac:dyDescent="0.2">
      <c r="A6" s="2" t="s">
        <v>1275</v>
      </c>
      <c r="B6" s="2">
        <v>143</v>
      </c>
      <c r="C6" s="2">
        <v>143</v>
      </c>
    </row>
    <row r="7" spans="1:3" x14ac:dyDescent="0.2">
      <c r="A7" s="2" t="s">
        <v>1276</v>
      </c>
      <c r="B7" s="2">
        <v>782</v>
      </c>
      <c r="C7" s="2">
        <v>782</v>
      </c>
    </row>
    <row r="8" spans="1:3" x14ac:dyDescent="0.2">
      <c r="A8" s="2" t="s">
        <v>1277</v>
      </c>
      <c r="B8" s="17">
        <v>1070</v>
      </c>
      <c r="C8" s="17">
        <v>1070</v>
      </c>
    </row>
    <row r="9" spans="1:3" x14ac:dyDescent="0.2">
      <c r="A9" s="2" t="s">
        <v>1278</v>
      </c>
      <c r="B9" s="2">
        <v>1</v>
      </c>
      <c r="C9" s="2">
        <v>1</v>
      </c>
    </row>
    <row r="10" spans="1:3" x14ac:dyDescent="0.2">
      <c r="A10" s="2" t="s">
        <v>43</v>
      </c>
      <c r="B10" s="2">
        <v>111</v>
      </c>
      <c r="C10" s="17">
        <v>1289</v>
      </c>
    </row>
    <row r="11" spans="1:3" x14ac:dyDescent="0.2">
      <c r="A11" s="2" t="s">
        <v>1279</v>
      </c>
      <c r="B11" s="17">
        <v>5180</v>
      </c>
      <c r="C11" s="17">
        <v>4822</v>
      </c>
    </row>
    <row r="12" spans="1:3" x14ac:dyDescent="0.2">
      <c r="A12" s="228" t="s">
        <v>33</v>
      </c>
      <c r="B12" s="176">
        <f>SUM(B4:B11)</f>
        <v>7671</v>
      </c>
      <c r="C12" s="176">
        <f>SUM(C4:C11)</f>
        <v>8491</v>
      </c>
    </row>
    <row r="14" spans="1:3" x14ac:dyDescent="0.2">
      <c r="A14" s="257" t="s">
        <v>1325</v>
      </c>
      <c r="B14" s="257"/>
      <c r="C14" s="257"/>
    </row>
  </sheetData>
  <mergeCells count="2">
    <mergeCell ref="A1:C1"/>
    <mergeCell ref="A14:C14"/>
  </mergeCells>
  <pageMargins left="0.7" right="0.7" top="0.75" bottom="0.75" header="0.3" footer="0.3"/>
  <pageSetup orientation="portrait"/>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C00000"/>
  </sheetPr>
  <dimension ref="A1:E22"/>
  <sheetViews>
    <sheetView showGridLines="0" workbookViewId="0">
      <selection activeCell="A21" sqref="A21"/>
    </sheetView>
  </sheetViews>
  <sheetFormatPr baseColWidth="10" defaultColWidth="8.83203125" defaultRowHeight="15" x14ac:dyDescent="0.2"/>
  <cols>
    <col min="1" max="1" width="14" style="2" bestFit="1" customWidth="1"/>
    <col min="2" max="2" width="23.5" style="2" bestFit="1" customWidth="1"/>
    <col min="3" max="3" width="42.5" style="2" bestFit="1" customWidth="1"/>
    <col min="4" max="4" width="34.1640625" style="2" bestFit="1" customWidth="1"/>
    <col min="5" max="5" width="16.5" style="2" bestFit="1" customWidth="1"/>
    <col min="6" max="6" width="7" style="2" bestFit="1" customWidth="1"/>
    <col min="7" max="16384" width="8.83203125" style="2"/>
  </cols>
  <sheetData>
    <row r="1" spans="1:5" ht="16" x14ac:dyDescent="0.2">
      <c r="A1" s="259" t="s">
        <v>1152</v>
      </c>
      <c r="B1" s="259"/>
      <c r="C1" s="259"/>
      <c r="D1" s="259"/>
      <c r="E1" s="259"/>
    </row>
    <row r="2" spans="1:5" ht="16" x14ac:dyDescent="0.2">
      <c r="A2" s="1"/>
      <c r="B2" s="1"/>
      <c r="C2" s="1"/>
      <c r="D2" s="1"/>
      <c r="E2" s="1"/>
    </row>
    <row r="3" spans="1:5" x14ac:dyDescent="0.2">
      <c r="A3" s="13" t="s">
        <v>64</v>
      </c>
      <c r="B3" s="13" t="s">
        <v>1280</v>
      </c>
      <c r="C3" s="13" t="s">
        <v>1281</v>
      </c>
      <c r="D3" s="13" t="s">
        <v>1282</v>
      </c>
      <c r="E3" s="13" t="s">
        <v>92</v>
      </c>
    </row>
    <row r="4" spans="1:5" x14ac:dyDescent="0.2">
      <c r="A4" s="82" t="s">
        <v>190</v>
      </c>
      <c r="B4" s="2">
        <v>178</v>
      </c>
      <c r="C4" s="2">
        <v>27</v>
      </c>
      <c r="D4" s="2">
        <v>15</v>
      </c>
      <c r="E4" s="2">
        <v>220</v>
      </c>
    </row>
    <row r="5" spans="1:5" x14ac:dyDescent="0.2">
      <c r="A5" s="82" t="s">
        <v>72</v>
      </c>
      <c r="B5" s="2">
        <v>354</v>
      </c>
      <c r="C5" s="2">
        <v>9</v>
      </c>
      <c r="D5" s="2">
        <v>262</v>
      </c>
      <c r="E5" s="2">
        <v>625</v>
      </c>
    </row>
    <row r="6" spans="1:5" x14ac:dyDescent="0.2">
      <c r="A6" s="82" t="s">
        <v>330</v>
      </c>
      <c r="B6" s="17">
        <v>1573</v>
      </c>
      <c r="C6" s="2">
        <v>527</v>
      </c>
      <c r="D6" s="17">
        <v>3676</v>
      </c>
      <c r="E6" s="17">
        <v>6001</v>
      </c>
    </row>
    <row r="7" spans="1:5" x14ac:dyDescent="0.2">
      <c r="A7" s="82" t="s">
        <v>74</v>
      </c>
      <c r="B7" s="2">
        <v>415</v>
      </c>
      <c r="C7" s="2">
        <v>112</v>
      </c>
      <c r="D7" s="2">
        <v>66</v>
      </c>
      <c r="E7" s="2">
        <v>593</v>
      </c>
    </row>
    <row r="8" spans="1:5" x14ac:dyDescent="0.2">
      <c r="A8" s="82" t="s">
        <v>75</v>
      </c>
      <c r="B8" s="17">
        <v>4303</v>
      </c>
      <c r="C8" s="2">
        <v>503</v>
      </c>
      <c r="D8" s="17">
        <v>3016</v>
      </c>
      <c r="E8" s="17">
        <v>6388</v>
      </c>
    </row>
    <row r="9" spans="1:5" x14ac:dyDescent="0.2">
      <c r="A9" s="66" t="s">
        <v>76</v>
      </c>
      <c r="B9" s="17">
        <v>1306</v>
      </c>
      <c r="C9" s="2">
        <v>178</v>
      </c>
      <c r="D9" s="2">
        <v>93</v>
      </c>
      <c r="E9" s="17">
        <v>2036</v>
      </c>
    </row>
    <row r="10" spans="1:5" x14ac:dyDescent="0.2">
      <c r="A10" s="82" t="s">
        <v>192</v>
      </c>
      <c r="B10" s="2">
        <v>591</v>
      </c>
      <c r="C10" s="2">
        <v>25</v>
      </c>
      <c r="D10" s="2">
        <v>20</v>
      </c>
      <c r="E10" s="2">
        <v>868</v>
      </c>
    </row>
    <row r="11" spans="1:5" x14ac:dyDescent="0.2">
      <c r="A11" s="66" t="s">
        <v>78</v>
      </c>
      <c r="B11" s="2">
        <v>950</v>
      </c>
      <c r="C11" s="2">
        <v>81</v>
      </c>
      <c r="D11" s="2">
        <v>189</v>
      </c>
      <c r="E11" s="17">
        <v>1490</v>
      </c>
    </row>
    <row r="12" spans="1:5" x14ac:dyDescent="0.2">
      <c r="A12" s="66" t="s">
        <v>79</v>
      </c>
      <c r="B12" s="17">
        <v>3786</v>
      </c>
      <c r="C12" s="2">
        <v>129</v>
      </c>
      <c r="D12" s="2">
        <v>890</v>
      </c>
      <c r="E12" s="17">
        <v>4805</v>
      </c>
    </row>
    <row r="13" spans="1:5" x14ac:dyDescent="0.2">
      <c r="A13" s="85" t="s">
        <v>80</v>
      </c>
      <c r="B13" s="2">
        <v>578</v>
      </c>
      <c r="C13" s="2">
        <v>44</v>
      </c>
      <c r="D13" s="2">
        <v>42</v>
      </c>
      <c r="E13" s="2">
        <v>8396</v>
      </c>
    </row>
    <row r="14" spans="1:5" x14ac:dyDescent="0.2">
      <c r="A14" s="66" t="s">
        <v>81</v>
      </c>
      <c r="B14" s="2">
        <v>96</v>
      </c>
      <c r="C14" s="2">
        <v>12</v>
      </c>
      <c r="D14" s="2">
        <v>19</v>
      </c>
      <c r="E14" s="2">
        <v>9</v>
      </c>
    </row>
    <row r="15" spans="1:5" x14ac:dyDescent="0.2">
      <c r="A15" s="66" t="s">
        <v>82</v>
      </c>
      <c r="B15" s="2">
        <v>523</v>
      </c>
      <c r="C15" s="2">
        <v>30</v>
      </c>
      <c r="D15" s="2">
        <v>9</v>
      </c>
      <c r="E15" s="2">
        <v>92</v>
      </c>
    </row>
    <row r="16" spans="1:5" x14ac:dyDescent="0.2">
      <c r="A16" s="66" t="s">
        <v>83</v>
      </c>
      <c r="B16" s="2">
        <v>640</v>
      </c>
      <c r="C16" s="2">
        <v>16</v>
      </c>
      <c r="D16" s="2">
        <v>0</v>
      </c>
      <c r="E16" s="2">
        <v>656</v>
      </c>
    </row>
    <row r="17" spans="1:5" x14ac:dyDescent="0.2">
      <c r="A17" s="87" t="s">
        <v>84</v>
      </c>
      <c r="B17" s="229">
        <f>SUM(B4:B16)</f>
        <v>15293</v>
      </c>
      <c r="C17" s="229">
        <f t="shared" ref="C17:E17" si="0">SUM(C4:C16)</f>
        <v>1693</v>
      </c>
      <c r="D17" s="229">
        <f t="shared" si="0"/>
        <v>8297</v>
      </c>
      <c r="E17" s="229">
        <f t="shared" si="0"/>
        <v>32179</v>
      </c>
    </row>
    <row r="18" spans="1:5" x14ac:dyDescent="0.2">
      <c r="A18" s="230"/>
      <c r="B18" s="231"/>
      <c r="C18" s="231"/>
      <c r="D18" s="231"/>
      <c r="E18" s="231"/>
    </row>
    <row r="19" spans="1:5" ht="14.5" customHeight="1" x14ac:dyDescent="0.2">
      <c r="A19" s="8" t="s">
        <v>1283</v>
      </c>
      <c r="B19" s="8"/>
      <c r="C19" s="8"/>
      <c r="D19" s="8"/>
    </row>
    <row r="20" spans="1:5" x14ac:dyDescent="0.2">
      <c r="A20" s="8" t="s">
        <v>1325</v>
      </c>
      <c r="B20" s="8"/>
      <c r="C20" s="8"/>
      <c r="D20" s="8"/>
    </row>
    <row r="21" spans="1:5" x14ac:dyDescent="0.2">
      <c r="A21" s="8"/>
      <c r="B21" s="8"/>
      <c r="C21" s="8"/>
      <c r="D21" s="8"/>
    </row>
    <row r="22" spans="1:5" x14ac:dyDescent="0.2">
      <c r="A22" s="8"/>
      <c r="B22" s="8"/>
      <c r="C22" s="8"/>
      <c r="D22" s="8"/>
    </row>
  </sheetData>
  <mergeCells count="1">
    <mergeCell ref="A1:E1"/>
  </mergeCells>
  <pageMargins left="0.7" right="0.7" top="0.75" bottom="0.75" header="0.3" footer="0.3"/>
  <pageSetup orientation="portrait"/>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C00000"/>
  </sheetPr>
  <dimension ref="A1:U21"/>
  <sheetViews>
    <sheetView showGridLines="0" zoomScale="90" zoomScaleNormal="90" workbookViewId="0"/>
  </sheetViews>
  <sheetFormatPr baseColWidth="10" defaultColWidth="8.83203125" defaultRowHeight="15" x14ac:dyDescent="0.2"/>
  <cols>
    <col min="1" max="1" width="14" style="2" bestFit="1" customWidth="1"/>
    <col min="2" max="2" width="11.6640625" style="2" bestFit="1" customWidth="1"/>
    <col min="3" max="3" width="15.33203125" style="2" bestFit="1" customWidth="1"/>
    <col min="4" max="4" width="2.83203125" style="2" customWidth="1"/>
    <col min="5" max="5" width="20" style="2" bestFit="1" customWidth="1"/>
    <col min="6" max="6" width="28.1640625" style="2" bestFit="1" customWidth="1"/>
    <col min="7" max="7" width="3" style="2" customWidth="1"/>
    <col min="8" max="8" width="15.1640625" style="2" customWidth="1"/>
    <col min="9" max="9" width="16.1640625" style="2" customWidth="1"/>
    <col min="10" max="10" width="2.6640625" style="2" customWidth="1"/>
    <col min="11" max="11" width="12.6640625" style="2" customWidth="1"/>
    <col min="12" max="12" width="14.6640625" style="2" customWidth="1"/>
    <col min="13" max="13" width="4.5" style="2" customWidth="1"/>
    <col min="14" max="14" width="10.1640625" style="2" bestFit="1" customWidth="1"/>
    <col min="15" max="15" width="16.83203125" style="2" customWidth="1"/>
    <col min="16" max="16" width="8.83203125" style="2"/>
    <col min="17" max="17" width="10.1640625" style="2" bestFit="1" customWidth="1"/>
    <col min="18" max="18" width="9.1640625" style="2" customWidth="1"/>
    <col min="19" max="19" width="8.83203125" style="2"/>
    <col min="20" max="20" width="13.83203125" style="2" customWidth="1"/>
    <col min="21" max="21" width="14.83203125" style="2" customWidth="1"/>
    <col min="22" max="16384" width="8.83203125" style="2"/>
  </cols>
  <sheetData>
    <row r="1" spans="1:21" ht="16" x14ac:dyDescent="0.2">
      <c r="A1" s="1" t="s">
        <v>1359</v>
      </c>
      <c r="B1" s="1"/>
      <c r="C1" s="1"/>
      <c r="D1" s="1"/>
      <c r="E1" s="1"/>
      <c r="F1" s="1"/>
      <c r="G1" s="1"/>
      <c r="H1" s="1"/>
      <c r="I1" s="1"/>
      <c r="J1" s="1"/>
      <c r="K1" s="1"/>
      <c r="L1" s="1"/>
      <c r="M1" s="1"/>
      <c r="N1" s="1"/>
      <c r="O1" s="1"/>
      <c r="P1" s="1"/>
      <c r="Q1" s="1"/>
      <c r="R1" s="1"/>
      <c r="S1" s="1"/>
      <c r="T1" s="1"/>
      <c r="U1" s="1"/>
    </row>
    <row r="2" spans="1:21" ht="16" x14ac:dyDescent="0.2">
      <c r="A2" s="1"/>
      <c r="B2" s="1"/>
      <c r="C2" s="1"/>
      <c r="D2" s="1"/>
      <c r="E2" s="1"/>
      <c r="F2" s="1"/>
      <c r="G2" s="1"/>
      <c r="H2" s="1"/>
      <c r="I2" s="1"/>
      <c r="J2" s="1"/>
      <c r="K2" s="1"/>
      <c r="L2" s="1"/>
      <c r="M2" s="1"/>
      <c r="N2" s="1"/>
      <c r="O2" s="1"/>
      <c r="P2" s="1"/>
      <c r="Q2" s="1"/>
      <c r="R2" s="1"/>
      <c r="S2" s="1"/>
      <c r="T2" s="1"/>
      <c r="U2" s="1"/>
    </row>
    <row r="3" spans="1:21" x14ac:dyDescent="0.2">
      <c r="A3" s="254" t="s">
        <v>64</v>
      </c>
      <c r="B3" s="262" t="s">
        <v>1284</v>
      </c>
      <c r="C3" s="262"/>
      <c r="D3" s="116"/>
      <c r="E3" s="262" t="s">
        <v>1360</v>
      </c>
      <c r="F3" s="262"/>
      <c r="G3" s="116"/>
      <c r="H3" s="262" t="s">
        <v>1285</v>
      </c>
      <c r="I3" s="262"/>
      <c r="J3" s="116"/>
      <c r="K3" s="262" t="s">
        <v>1361</v>
      </c>
      <c r="L3" s="262"/>
      <c r="M3" s="116"/>
      <c r="N3" s="262" t="s">
        <v>1286</v>
      </c>
      <c r="O3" s="262"/>
      <c r="P3" s="116"/>
      <c r="Q3" s="262" t="s">
        <v>1362</v>
      </c>
      <c r="R3" s="262"/>
      <c r="S3" s="116"/>
      <c r="T3" s="262" t="s">
        <v>1363</v>
      </c>
      <c r="U3" s="262"/>
    </row>
    <row r="4" spans="1:21" x14ac:dyDescent="0.2">
      <c r="A4" s="255"/>
      <c r="B4" s="3" t="s">
        <v>1287</v>
      </c>
      <c r="C4" s="3" t="s">
        <v>1288</v>
      </c>
      <c r="D4" s="3"/>
      <c r="E4" s="3" t="s">
        <v>1287</v>
      </c>
      <c r="F4" s="3" t="s">
        <v>1288</v>
      </c>
      <c r="G4" s="3"/>
      <c r="H4" s="3" t="s">
        <v>1287</v>
      </c>
      <c r="I4" s="3" t="s">
        <v>1288</v>
      </c>
      <c r="J4" s="3"/>
      <c r="K4" s="3" t="s">
        <v>1287</v>
      </c>
      <c r="L4" s="3" t="s">
        <v>1288</v>
      </c>
      <c r="M4" s="3"/>
      <c r="N4" s="3" t="s">
        <v>1287</v>
      </c>
      <c r="O4" s="3" t="s">
        <v>1288</v>
      </c>
      <c r="P4" s="3"/>
      <c r="Q4" s="3" t="s">
        <v>1287</v>
      </c>
      <c r="R4" s="3" t="s">
        <v>1288</v>
      </c>
      <c r="S4" s="3"/>
      <c r="T4" s="3" t="s">
        <v>1287</v>
      </c>
      <c r="U4" s="3" t="s">
        <v>1288</v>
      </c>
    </row>
    <row r="5" spans="1:21" x14ac:dyDescent="0.2">
      <c r="A5" s="222" t="s">
        <v>190</v>
      </c>
      <c r="B5" s="2">
        <v>0</v>
      </c>
      <c r="C5" s="2">
        <v>0</v>
      </c>
      <c r="E5" s="2">
        <v>0</v>
      </c>
      <c r="F5" s="2">
        <v>0</v>
      </c>
      <c r="H5" s="2">
        <v>4</v>
      </c>
      <c r="I5" s="2">
        <v>4</v>
      </c>
      <c r="K5" s="2">
        <v>2</v>
      </c>
      <c r="L5" s="2">
        <v>2</v>
      </c>
      <c r="N5" s="2">
        <v>5</v>
      </c>
      <c r="O5" s="2">
        <v>5</v>
      </c>
      <c r="Q5" s="2">
        <v>10</v>
      </c>
      <c r="R5" s="2">
        <v>8</v>
      </c>
      <c r="T5" s="2">
        <v>3</v>
      </c>
      <c r="U5" s="2">
        <v>3</v>
      </c>
    </row>
    <row r="6" spans="1:21" x14ac:dyDescent="0.2">
      <c r="A6" s="222" t="s">
        <v>72</v>
      </c>
      <c r="B6" s="2">
        <v>1</v>
      </c>
      <c r="C6" s="2">
        <v>1</v>
      </c>
      <c r="E6" s="2">
        <v>0</v>
      </c>
      <c r="F6" s="2">
        <v>0</v>
      </c>
      <c r="H6" s="2">
        <v>6</v>
      </c>
      <c r="I6" s="2">
        <v>6</v>
      </c>
      <c r="K6" s="2">
        <v>0</v>
      </c>
      <c r="L6" s="2">
        <v>0</v>
      </c>
      <c r="N6" s="2">
        <v>2</v>
      </c>
      <c r="O6" s="2">
        <v>2</v>
      </c>
      <c r="Q6" s="2">
        <v>1</v>
      </c>
      <c r="R6" s="2">
        <v>1</v>
      </c>
      <c r="T6" s="2">
        <v>0</v>
      </c>
      <c r="U6" s="2">
        <v>0</v>
      </c>
    </row>
    <row r="7" spans="1:21" x14ac:dyDescent="0.2">
      <c r="A7" s="222" t="s">
        <v>191</v>
      </c>
      <c r="B7" s="2">
        <v>2</v>
      </c>
      <c r="C7" s="2">
        <v>2</v>
      </c>
      <c r="E7" s="2">
        <v>0</v>
      </c>
      <c r="F7" s="2">
        <v>0</v>
      </c>
      <c r="H7" s="2">
        <v>30</v>
      </c>
      <c r="I7" s="2">
        <v>14</v>
      </c>
      <c r="K7" s="2">
        <v>9</v>
      </c>
      <c r="L7" s="2">
        <v>9</v>
      </c>
      <c r="N7" s="2">
        <v>14</v>
      </c>
      <c r="O7" s="2">
        <v>14</v>
      </c>
      <c r="Q7" s="2">
        <v>29</v>
      </c>
      <c r="R7" s="2">
        <v>24</v>
      </c>
      <c r="T7" s="2">
        <v>36</v>
      </c>
      <c r="U7" s="2">
        <v>29</v>
      </c>
    </row>
    <row r="8" spans="1:21" x14ac:dyDescent="0.2">
      <c r="A8" s="222" t="s">
        <v>74</v>
      </c>
      <c r="B8" s="2">
        <v>0</v>
      </c>
      <c r="C8" s="2">
        <v>0</v>
      </c>
      <c r="E8" s="2">
        <v>1</v>
      </c>
      <c r="F8" s="2">
        <v>1</v>
      </c>
      <c r="H8" s="2">
        <v>7</v>
      </c>
      <c r="I8" s="2">
        <v>5</v>
      </c>
      <c r="K8" s="2">
        <v>0</v>
      </c>
      <c r="L8" s="2">
        <v>0</v>
      </c>
      <c r="N8" s="2">
        <v>6</v>
      </c>
      <c r="O8" s="2">
        <v>6</v>
      </c>
      <c r="Q8" s="2">
        <v>0</v>
      </c>
      <c r="R8" s="2">
        <v>0</v>
      </c>
      <c r="T8" s="2">
        <v>0</v>
      </c>
      <c r="U8" s="2">
        <v>0</v>
      </c>
    </row>
    <row r="9" spans="1:21" x14ac:dyDescent="0.2">
      <c r="A9" s="222" t="s">
        <v>75</v>
      </c>
      <c r="B9" s="2">
        <v>3</v>
      </c>
      <c r="C9" s="2">
        <v>3</v>
      </c>
      <c r="E9" s="2">
        <v>0</v>
      </c>
      <c r="F9" s="2">
        <v>0</v>
      </c>
      <c r="H9" s="2">
        <v>19</v>
      </c>
      <c r="I9" s="2">
        <v>11</v>
      </c>
      <c r="K9" s="2">
        <v>1</v>
      </c>
      <c r="L9" s="2">
        <v>1</v>
      </c>
      <c r="N9" s="2">
        <v>18</v>
      </c>
      <c r="O9" s="2">
        <v>18</v>
      </c>
      <c r="Q9" s="2">
        <v>0</v>
      </c>
      <c r="R9" s="2">
        <v>0</v>
      </c>
      <c r="T9" s="2">
        <v>1</v>
      </c>
      <c r="U9" s="2">
        <v>1</v>
      </c>
    </row>
    <row r="10" spans="1:21" x14ac:dyDescent="0.2">
      <c r="A10" s="85" t="s">
        <v>76</v>
      </c>
      <c r="B10" s="2">
        <v>0</v>
      </c>
      <c r="C10" s="2">
        <v>0</v>
      </c>
      <c r="E10" s="2">
        <v>0</v>
      </c>
      <c r="F10" s="2">
        <v>0</v>
      </c>
      <c r="H10" s="2">
        <v>17</v>
      </c>
      <c r="I10" s="2">
        <v>11</v>
      </c>
      <c r="K10" s="2">
        <v>2</v>
      </c>
      <c r="L10" s="2">
        <v>2</v>
      </c>
      <c r="N10" s="2">
        <v>8</v>
      </c>
      <c r="O10" s="2">
        <v>8</v>
      </c>
      <c r="Q10" s="2">
        <v>0</v>
      </c>
      <c r="R10" s="2">
        <v>0</v>
      </c>
      <c r="T10" s="2">
        <v>4</v>
      </c>
      <c r="U10" s="2">
        <v>3</v>
      </c>
    </row>
    <row r="11" spans="1:21" x14ac:dyDescent="0.2">
      <c r="A11" s="85" t="s">
        <v>77</v>
      </c>
      <c r="B11" s="2">
        <v>0</v>
      </c>
      <c r="C11" s="2">
        <v>0</v>
      </c>
      <c r="E11" s="2">
        <v>0</v>
      </c>
      <c r="F11" s="2">
        <v>0</v>
      </c>
      <c r="H11" s="2">
        <v>6</v>
      </c>
      <c r="I11" s="2">
        <v>3</v>
      </c>
      <c r="K11" s="2">
        <v>1</v>
      </c>
      <c r="L11" s="2">
        <v>1</v>
      </c>
      <c r="N11" s="2">
        <v>1</v>
      </c>
      <c r="O11" s="2">
        <v>1</v>
      </c>
      <c r="Q11" s="2">
        <v>0</v>
      </c>
      <c r="R11" s="2">
        <v>0</v>
      </c>
      <c r="T11" s="2">
        <v>0</v>
      </c>
      <c r="U11" s="2">
        <v>0</v>
      </c>
    </row>
    <row r="12" spans="1:21" x14ac:dyDescent="0.2">
      <c r="A12" s="85" t="s">
        <v>78</v>
      </c>
      <c r="B12" s="2">
        <v>1</v>
      </c>
      <c r="C12" s="2">
        <v>1</v>
      </c>
      <c r="E12" s="2">
        <v>1</v>
      </c>
      <c r="F12" s="2">
        <v>1</v>
      </c>
      <c r="H12" s="2">
        <v>8</v>
      </c>
      <c r="I12" s="2">
        <v>3</v>
      </c>
      <c r="K12" s="2">
        <v>1</v>
      </c>
      <c r="L12" s="2">
        <v>1</v>
      </c>
      <c r="N12" s="2">
        <v>2</v>
      </c>
      <c r="O12" s="2">
        <v>2</v>
      </c>
      <c r="Q12" s="2">
        <v>10</v>
      </c>
      <c r="R12" s="2">
        <v>8</v>
      </c>
      <c r="T12" s="2">
        <v>0</v>
      </c>
      <c r="U12" s="2">
        <v>0</v>
      </c>
    </row>
    <row r="13" spans="1:21" x14ac:dyDescent="0.2">
      <c r="A13" s="85" t="s">
        <v>79</v>
      </c>
      <c r="B13" s="2">
        <v>0</v>
      </c>
      <c r="C13" s="2">
        <v>0</v>
      </c>
      <c r="E13" s="2">
        <v>0</v>
      </c>
      <c r="F13" s="2">
        <v>0</v>
      </c>
      <c r="H13" s="2">
        <v>2</v>
      </c>
      <c r="I13" s="2">
        <v>1</v>
      </c>
      <c r="K13" s="2">
        <v>1</v>
      </c>
      <c r="L13" s="2">
        <v>1</v>
      </c>
      <c r="N13" s="2">
        <v>2</v>
      </c>
      <c r="O13" s="2">
        <v>2</v>
      </c>
      <c r="Q13" s="2">
        <v>1</v>
      </c>
      <c r="R13" s="2">
        <v>1</v>
      </c>
      <c r="T13" s="2">
        <v>2</v>
      </c>
      <c r="U13" s="2">
        <v>2</v>
      </c>
    </row>
    <row r="14" spans="1:21" x14ac:dyDescent="0.2">
      <c r="A14" s="85" t="s">
        <v>80</v>
      </c>
      <c r="B14" s="2">
        <v>1</v>
      </c>
      <c r="C14" s="2">
        <v>1</v>
      </c>
      <c r="E14" s="2">
        <v>0</v>
      </c>
      <c r="F14" s="2">
        <v>0</v>
      </c>
      <c r="H14" s="2">
        <v>6</v>
      </c>
      <c r="I14" s="2">
        <v>3</v>
      </c>
      <c r="K14" s="2">
        <v>0</v>
      </c>
      <c r="L14" s="2">
        <v>0</v>
      </c>
      <c r="N14" s="2">
        <v>3</v>
      </c>
      <c r="O14" s="2">
        <v>3</v>
      </c>
      <c r="Q14" s="2">
        <v>0</v>
      </c>
      <c r="R14" s="2">
        <v>0</v>
      </c>
      <c r="T14" s="2">
        <v>0</v>
      </c>
      <c r="U14" s="2">
        <v>0</v>
      </c>
    </row>
    <row r="15" spans="1:21" x14ac:dyDescent="0.2">
      <c r="A15" s="85" t="s">
        <v>81</v>
      </c>
      <c r="B15" s="2">
        <v>0</v>
      </c>
      <c r="C15" s="2">
        <v>0</v>
      </c>
      <c r="E15" s="2">
        <v>0</v>
      </c>
      <c r="F15" s="2">
        <v>0</v>
      </c>
      <c r="H15" s="2">
        <v>2</v>
      </c>
      <c r="I15" s="2">
        <v>1</v>
      </c>
      <c r="K15" s="2">
        <v>0</v>
      </c>
      <c r="L15" s="2">
        <v>0</v>
      </c>
      <c r="N15" s="2">
        <v>1</v>
      </c>
      <c r="O15" s="2">
        <v>1</v>
      </c>
      <c r="Q15" s="2">
        <v>0</v>
      </c>
      <c r="R15" s="2">
        <v>0</v>
      </c>
      <c r="T15" s="2">
        <v>0</v>
      </c>
      <c r="U15" s="2">
        <v>0</v>
      </c>
    </row>
    <row r="16" spans="1:21" x14ac:dyDescent="0.2">
      <c r="A16" s="85" t="s">
        <v>82</v>
      </c>
      <c r="B16" s="2">
        <v>0</v>
      </c>
      <c r="C16" s="2">
        <v>0</v>
      </c>
      <c r="E16" s="2">
        <v>0</v>
      </c>
      <c r="F16" s="2">
        <v>0</v>
      </c>
      <c r="H16" s="2">
        <v>0</v>
      </c>
      <c r="I16" s="2">
        <v>0</v>
      </c>
      <c r="K16" s="2">
        <v>0</v>
      </c>
      <c r="L16" s="2">
        <v>0</v>
      </c>
      <c r="N16" s="2">
        <v>0</v>
      </c>
      <c r="O16" s="2">
        <v>0</v>
      </c>
      <c r="Q16" s="2">
        <v>0</v>
      </c>
      <c r="R16" s="2">
        <v>0</v>
      </c>
      <c r="T16" s="2">
        <v>0</v>
      </c>
      <c r="U16" s="2">
        <v>0</v>
      </c>
    </row>
    <row r="17" spans="1:21" x14ac:dyDescent="0.2">
      <c r="A17" s="85" t="s">
        <v>83</v>
      </c>
      <c r="B17" s="2">
        <v>1</v>
      </c>
      <c r="C17" s="2">
        <v>1</v>
      </c>
      <c r="E17" s="2">
        <v>0</v>
      </c>
      <c r="F17" s="2">
        <v>0</v>
      </c>
      <c r="H17" s="2">
        <v>7</v>
      </c>
      <c r="I17" s="2">
        <v>4</v>
      </c>
      <c r="K17" s="2">
        <v>1</v>
      </c>
      <c r="L17" s="2">
        <v>1</v>
      </c>
      <c r="N17" s="2">
        <v>0</v>
      </c>
      <c r="O17" s="2">
        <v>0</v>
      </c>
      <c r="Q17" s="2">
        <v>8</v>
      </c>
      <c r="R17" s="2">
        <v>4</v>
      </c>
      <c r="T17" s="2">
        <v>0</v>
      </c>
      <c r="U17" s="2">
        <v>0</v>
      </c>
    </row>
    <row r="18" spans="1:21" x14ac:dyDescent="0.2">
      <c r="A18" s="232" t="s">
        <v>84</v>
      </c>
      <c r="B18" s="133">
        <f>SUM(B5:B17)</f>
        <v>9</v>
      </c>
      <c r="C18" s="133">
        <f t="shared" ref="C18:U18" si="0">SUM(C5:C17)</f>
        <v>9</v>
      </c>
      <c r="D18" s="133"/>
      <c r="E18" s="133">
        <f t="shared" si="0"/>
        <v>2</v>
      </c>
      <c r="F18" s="133">
        <f t="shared" si="0"/>
        <v>2</v>
      </c>
      <c r="G18" s="133"/>
      <c r="H18" s="133">
        <f t="shared" si="0"/>
        <v>114</v>
      </c>
      <c r="I18" s="133">
        <f t="shared" si="0"/>
        <v>66</v>
      </c>
      <c r="J18" s="133"/>
      <c r="K18" s="133">
        <f t="shared" si="0"/>
        <v>18</v>
      </c>
      <c r="L18" s="133">
        <f t="shared" si="0"/>
        <v>18</v>
      </c>
      <c r="M18" s="133"/>
      <c r="N18" s="133">
        <f t="shared" si="0"/>
        <v>62</v>
      </c>
      <c r="O18" s="133">
        <f t="shared" si="0"/>
        <v>62</v>
      </c>
      <c r="P18" s="133"/>
      <c r="Q18" s="133">
        <f t="shared" si="0"/>
        <v>59</v>
      </c>
      <c r="R18" s="133">
        <f t="shared" si="0"/>
        <v>46</v>
      </c>
      <c r="S18" s="133"/>
      <c r="T18" s="133">
        <f t="shared" si="0"/>
        <v>46</v>
      </c>
      <c r="U18" s="133">
        <f t="shared" si="0"/>
        <v>38</v>
      </c>
    </row>
    <row r="20" spans="1:21" ht="14.5" customHeight="1" x14ac:dyDescent="0.2">
      <c r="A20" s="8" t="s">
        <v>1289</v>
      </c>
      <c r="B20" s="8"/>
      <c r="C20" s="8"/>
      <c r="D20" s="8"/>
      <c r="E20" s="8"/>
      <c r="F20" s="8"/>
      <c r="G20" s="8"/>
      <c r="H20" s="8"/>
      <c r="I20" s="8"/>
      <c r="J20" s="8"/>
      <c r="K20" s="8"/>
      <c r="L20" s="8"/>
      <c r="M20" s="8"/>
      <c r="N20" s="8"/>
      <c r="O20" s="8"/>
      <c r="P20" s="8"/>
      <c r="Q20" s="8"/>
      <c r="R20" s="8"/>
      <c r="S20" s="8"/>
      <c r="T20" s="8"/>
      <c r="U20" s="8"/>
    </row>
    <row r="21" spans="1:21" x14ac:dyDescent="0.2">
      <c r="A21" s="257" t="s">
        <v>1325</v>
      </c>
      <c r="B21" s="257"/>
      <c r="C21" s="257"/>
      <c r="D21" s="257"/>
      <c r="E21" s="257"/>
      <c r="F21" s="257"/>
      <c r="G21" s="257"/>
      <c r="H21" s="257"/>
      <c r="I21" s="257"/>
      <c r="J21" s="257"/>
      <c r="K21" s="257"/>
      <c r="L21" s="257"/>
      <c r="M21" s="257"/>
      <c r="N21" s="257"/>
      <c r="O21" s="257"/>
      <c r="P21" s="257"/>
      <c r="Q21" s="257"/>
      <c r="R21" s="257"/>
      <c r="S21" s="257"/>
      <c r="T21" s="257"/>
      <c r="U21" s="257"/>
    </row>
  </sheetData>
  <mergeCells count="9">
    <mergeCell ref="Q3:R3"/>
    <mergeCell ref="T3:U3"/>
    <mergeCell ref="A21:U21"/>
    <mergeCell ref="A3:A4"/>
    <mergeCell ref="B3:C3"/>
    <mergeCell ref="E3:F3"/>
    <mergeCell ref="H3:I3"/>
    <mergeCell ref="K3:L3"/>
    <mergeCell ref="N3:O3"/>
  </mergeCells>
  <pageMargins left="0.7" right="0.7" top="0.75" bottom="0.75" header="0.3" footer="0.3"/>
  <pageSetup orientation="portrait"/>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C00000"/>
  </sheetPr>
  <dimension ref="A1:C15"/>
  <sheetViews>
    <sheetView showGridLines="0" workbookViewId="0">
      <selection activeCell="A21" sqref="A21"/>
    </sheetView>
  </sheetViews>
  <sheetFormatPr baseColWidth="10" defaultColWidth="8.83203125" defaultRowHeight="15" x14ac:dyDescent="0.2"/>
  <cols>
    <col min="1" max="1" width="30.5" style="2" bestFit="1" customWidth="1"/>
    <col min="2" max="2" width="16.5" style="2" bestFit="1" customWidth="1"/>
    <col min="3" max="3" width="100.1640625" style="2" bestFit="1" customWidth="1"/>
    <col min="4" max="16384" width="8.83203125" style="2"/>
  </cols>
  <sheetData>
    <row r="1" spans="1:3" ht="16" x14ac:dyDescent="0.2">
      <c r="A1" s="1" t="s">
        <v>1155</v>
      </c>
      <c r="B1" s="1"/>
      <c r="C1" s="1"/>
    </row>
    <row r="2" spans="1:3" ht="16" x14ac:dyDescent="0.2">
      <c r="A2" s="1"/>
      <c r="B2" s="1"/>
      <c r="C2" s="1"/>
    </row>
    <row r="3" spans="1:3" x14ac:dyDescent="0.2">
      <c r="A3" s="13" t="s">
        <v>1290</v>
      </c>
      <c r="B3" s="13" t="s">
        <v>92</v>
      </c>
    </row>
    <row r="4" spans="1:3" x14ac:dyDescent="0.2">
      <c r="A4" s="2" t="s">
        <v>1291</v>
      </c>
      <c r="B4" s="2">
        <v>40</v>
      </c>
    </row>
    <row r="5" spans="1:3" x14ac:dyDescent="0.2">
      <c r="A5" s="2" t="s">
        <v>1292</v>
      </c>
      <c r="B5" s="2">
        <v>104</v>
      </c>
    </row>
    <row r="6" spans="1:3" x14ac:dyDescent="0.2">
      <c r="A6" s="2" t="s">
        <v>1293</v>
      </c>
      <c r="B6" s="2">
        <v>50</v>
      </c>
    </row>
    <row r="7" spans="1:3" x14ac:dyDescent="0.2">
      <c r="A7" s="2" t="s">
        <v>1364</v>
      </c>
      <c r="B7" s="2">
        <v>9187</v>
      </c>
    </row>
    <row r="8" spans="1:3" x14ac:dyDescent="0.2">
      <c r="A8" s="2" t="s">
        <v>1294</v>
      </c>
      <c r="B8" s="2">
        <v>12</v>
      </c>
    </row>
    <row r="9" spans="1:3" x14ac:dyDescent="0.2">
      <c r="A9" s="2" t="s">
        <v>1295</v>
      </c>
      <c r="B9" s="2">
        <v>7</v>
      </c>
    </row>
    <row r="10" spans="1:3" x14ac:dyDescent="0.2">
      <c r="A10" s="2" t="s">
        <v>1296</v>
      </c>
      <c r="B10" s="2">
        <v>34</v>
      </c>
    </row>
    <row r="11" spans="1:3" x14ac:dyDescent="0.2">
      <c r="A11" s="2" t="s">
        <v>1297</v>
      </c>
      <c r="B11" s="2">
        <v>523</v>
      </c>
      <c r="C11" s="2" t="s">
        <v>1298</v>
      </c>
    </row>
    <row r="12" spans="1:3" x14ac:dyDescent="0.2">
      <c r="A12" s="225" t="s">
        <v>288</v>
      </c>
      <c r="B12" s="226">
        <f>SUM(B4:B11)</f>
        <v>9957</v>
      </c>
    </row>
    <row r="13" spans="1:3" x14ac:dyDescent="0.2">
      <c r="A13" s="233"/>
      <c r="B13" s="234"/>
    </row>
    <row r="14" spans="1:3" ht="13.5" customHeight="1" x14ac:dyDescent="0.2">
      <c r="A14" s="8" t="s">
        <v>1299</v>
      </c>
      <c r="B14" s="8"/>
      <c r="C14" s="8"/>
    </row>
    <row r="15" spans="1:3" x14ac:dyDescent="0.2">
      <c r="A15" s="8" t="s">
        <v>1325</v>
      </c>
      <c r="B15" s="8"/>
      <c r="C15" s="8"/>
    </row>
  </sheetData>
  <pageMargins left="0.7" right="0.7" top="0.75" bottom="0.75" header="0.3" footer="0.3"/>
  <pageSetup orientation="portrait"/>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C00000"/>
  </sheetPr>
  <dimension ref="A1:C23"/>
  <sheetViews>
    <sheetView showGridLines="0" workbookViewId="0">
      <selection activeCell="A21" sqref="A21"/>
    </sheetView>
  </sheetViews>
  <sheetFormatPr baseColWidth="10" defaultColWidth="8.83203125" defaultRowHeight="15" x14ac:dyDescent="0.2"/>
  <cols>
    <col min="1" max="1" width="119.1640625" style="2" bestFit="1" customWidth="1"/>
    <col min="2" max="2" width="10.5" style="2" bestFit="1" customWidth="1"/>
    <col min="3" max="3" width="16.5" style="2" bestFit="1" customWidth="1"/>
    <col min="4" max="4" width="7" style="2" bestFit="1" customWidth="1"/>
    <col min="5" max="16384" width="8.83203125" style="2"/>
  </cols>
  <sheetData>
    <row r="1" spans="1:3" ht="16" x14ac:dyDescent="0.2">
      <c r="A1" s="259" t="s">
        <v>1157</v>
      </c>
      <c r="B1" s="259"/>
      <c r="C1" s="259"/>
    </row>
    <row r="2" spans="1:3" ht="16" x14ac:dyDescent="0.2">
      <c r="A2" s="1"/>
      <c r="B2" s="1"/>
      <c r="C2" s="1"/>
    </row>
    <row r="3" spans="1:3" x14ac:dyDescent="0.2">
      <c r="A3" s="13" t="s">
        <v>1300</v>
      </c>
      <c r="B3" s="13" t="s">
        <v>1301</v>
      </c>
      <c r="C3" s="13" t="s">
        <v>92</v>
      </c>
    </row>
    <row r="4" spans="1:3" x14ac:dyDescent="0.2">
      <c r="A4" s="235" t="s">
        <v>1302</v>
      </c>
      <c r="B4" s="18">
        <f>SUM(B5)</f>
        <v>24213</v>
      </c>
      <c r="C4" s="18">
        <f>SUM(C5)</f>
        <v>465</v>
      </c>
    </row>
    <row r="5" spans="1:3" x14ac:dyDescent="0.2">
      <c r="A5" s="236" t="s">
        <v>1303</v>
      </c>
      <c r="B5" s="17">
        <v>24213</v>
      </c>
      <c r="C5" s="2">
        <v>465</v>
      </c>
    </row>
    <row r="6" spans="1:3" x14ac:dyDescent="0.2">
      <c r="A6" s="235" t="s">
        <v>1365</v>
      </c>
      <c r="B6" s="18">
        <f>SUM(B7:B10)</f>
        <v>12553</v>
      </c>
      <c r="C6" s="18">
        <f>SUM(C7:C10)</f>
        <v>795</v>
      </c>
    </row>
    <row r="7" spans="1:3" x14ac:dyDescent="0.2">
      <c r="A7" s="236" t="s">
        <v>1305</v>
      </c>
      <c r="B7" s="17">
        <v>7984</v>
      </c>
      <c r="C7" s="2">
        <v>407</v>
      </c>
    </row>
    <row r="8" spans="1:3" x14ac:dyDescent="0.2">
      <c r="A8" s="236" t="s">
        <v>1306</v>
      </c>
      <c r="B8" s="17">
        <v>1793</v>
      </c>
      <c r="C8" s="2">
        <v>123</v>
      </c>
    </row>
    <row r="9" spans="1:3" x14ac:dyDescent="0.2">
      <c r="A9" s="236" t="s">
        <v>1307</v>
      </c>
      <c r="B9" s="17">
        <v>2069</v>
      </c>
      <c r="C9" s="2">
        <v>223</v>
      </c>
    </row>
    <row r="10" spans="1:3" x14ac:dyDescent="0.2">
      <c r="A10" s="236" t="s">
        <v>1308</v>
      </c>
      <c r="B10" s="17">
        <v>707</v>
      </c>
      <c r="C10" s="2">
        <v>42</v>
      </c>
    </row>
    <row r="11" spans="1:3" x14ac:dyDescent="0.2">
      <c r="A11" s="235" t="s">
        <v>1304</v>
      </c>
      <c r="B11" s="18">
        <f>SUM(B12:B15)</f>
        <v>43050</v>
      </c>
      <c r="C11" s="18">
        <f>SUM(C12:C15)</f>
        <v>1836</v>
      </c>
    </row>
    <row r="12" spans="1:3" x14ac:dyDescent="0.2">
      <c r="A12" s="236" t="s">
        <v>1305</v>
      </c>
      <c r="B12" s="17">
        <v>34088</v>
      </c>
      <c r="C12" s="17">
        <v>1125</v>
      </c>
    </row>
    <row r="13" spans="1:3" x14ac:dyDescent="0.2">
      <c r="A13" s="236" t="s">
        <v>1306</v>
      </c>
      <c r="B13" s="17">
        <v>4789</v>
      </c>
      <c r="C13" s="2">
        <v>187</v>
      </c>
    </row>
    <row r="14" spans="1:3" x14ac:dyDescent="0.2">
      <c r="A14" s="236" t="s">
        <v>1307</v>
      </c>
      <c r="B14" s="17">
        <v>3354</v>
      </c>
      <c r="C14" s="2">
        <v>175</v>
      </c>
    </row>
    <row r="15" spans="1:3" x14ac:dyDescent="0.2">
      <c r="A15" s="236" t="s">
        <v>1308</v>
      </c>
      <c r="B15" s="17">
        <v>819</v>
      </c>
      <c r="C15" s="2">
        <v>349</v>
      </c>
    </row>
    <row r="16" spans="1:3" x14ac:dyDescent="0.2">
      <c r="A16" s="235" t="s">
        <v>1309</v>
      </c>
      <c r="B16" s="18">
        <f>SUM(B17:B20)</f>
        <v>115064</v>
      </c>
      <c r="C16" s="18">
        <f>SUM(C17:C20)</f>
        <v>13833</v>
      </c>
    </row>
    <row r="17" spans="1:3" x14ac:dyDescent="0.2">
      <c r="A17" s="236" t="s">
        <v>1310</v>
      </c>
      <c r="B17" s="17">
        <v>46026</v>
      </c>
      <c r="C17" s="17">
        <v>5533</v>
      </c>
    </row>
    <row r="18" spans="1:3" x14ac:dyDescent="0.2">
      <c r="A18" s="236" t="s">
        <v>1311</v>
      </c>
      <c r="B18" s="17">
        <v>34519</v>
      </c>
      <c r="C18" s="17">
        <v>4150</v>
      </c>
    </row>
    <row r="19" spans="1:3" x14ac:dyDescent="0.2">
      <c r="A19" s="236" t="s">
        <v>1312</v>
      </c>
      <c r="B19" s="17">
        <v>23013</v>
      </c>
      <c r="C19" s="17">
        <v>2767</v>
      </c>
    </row>
    <row r="20" spans="1:3" x14ac:dyDescent="0.2">
      <c r="A20" s="236" t="s">
        <v>1313</v>
      </c>
      <c r="B20" s="17">
        <v>11506</v>
      </c>
      <c r="C20" s="17">
        <v>1383</v>
      </c>
    </row>
    <row r="21" spans="1:3" x14ac:dyDescent="0.2">
      <c r="A21" s="225" t="s">
        <v>33</v>
      </c>
      <c r="B21" s="237">
        <f>SUM(B4+B6+B11+B16)</f>
        <v>194880</v>
      </c>
      <c r="C21" s="237">
        <f>SUM(C4+C6+C11+C16)</f>
        <v>16929</v>
      </c>
    </row>
    <row r="22" spans="1:3" x14ac:dyDescent="0.2">
      <c r="B22" s="17"/>
    </row>
    <row r="23" spans="1:3" x14ac:dyDescent="0.2">
      <c r="A23" s="257" t="s">
        <v>1325</v>
      </c>
      <c r="B23" s="257"/>
      <c r="C23" s="257"/>
    </row>
  </sheetData>
  <mergeCells count="2">
    <mergeCell ref="A1:C1"/>
    <mergeCell ref="A23:C23"/>
  </mergeCells>
  <pageMargins left="0.7" right="0.7" top="0.75" bottom="0.75" header="0.3" footer="0.3"/>
  <pageSetup orientation="portrait"/>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C00000"/>
  </sheetPr>
  <dimension ref="A1:B19"/>
  <sheetViews>
    <sheetView showGridLines="0" workbookViewId="0">
      <selection activeCell="A21" sqref="A21"/>
    </sheetView>
  </sheetViews>
  <sheetFormatPr baseColWidth="10" defaultColWidth="8.83203125" defaultRowHeight="15" x14ac:dyDescent="0.2"/>
  <cols>
    <col min="1" max="1" width="96.6640625" style="2" bestFit="1" customWidth="1"/>
    <col min="2" max="2" width="16.5" style="2" bestFit="1" customWidth="1"/>
    <col min="3" max="16384" width="8.83203125" style="2"/>
  </cols>
  <sheetData>
    <row r="1" spans="1:2" ht="16" x14ac:dyDescent="0.2">
      <c r="A1" s="259" t="s">
        <v>1366</v>
      </c>
      <c r="B1" s="259"/>
    </row>
    <row r="2" spans="1:2" ht="16" x14ac:dyDescent="0.2">
      <c r="A2" s="1"/>
      <c r="B2" s="1"/>
    </row>
    <row r="3" spans="1:2" x14ac:dyDescent="0.2">
      <c r="A3" s="13" t="s">
        <v>1314</v>
      </c>
      <c r="B3" s="13" t="s">
        <v>92</v>
      </c>
    </row>
    <row r="4" spans="1:2" x14ac:dyDescent="0.2">
      <c r="A4" s="2" t="s">
        <v>1315</v>
      </c>
      <c r="B4" s="17">
        <v>11385</v>
      </c>
    </row>
    <row r="5" spans="1:2" x14ac:dyDescent="0.2">
      <c r="A5" s="2" t="s">
        <v>1316</v>
      </c>
      <c r="B5" s="17">
        <v>2235</v>
      </c>
    </row>
    <row r="6" spans="1:2" x14ac:dyDescent="0.2">
      <c r="A6" s="2" t="s">
        <v>1317</v>
      </c>
      <c r="B6" s="17">
        <v>2027</v>
      </c>
    </row>
    <row r="7" spans="1:2" x14ac:dyDescent="0.2">
      <c r="A7" s="2" t="s">
        <v>1367</v>
      </c>
      <c r="B7" s="17">
        <v>6346</v>
      </c>
    </row>
    <row r="8" spans="1:2" x14ac:dyDescent="0.2">
      <c r="A8" s="2" t="s">
        <v>1318</v>
      </c>
      <c r="B8" s="17">
        <v>102079</v>
      </c>
    </row>
    <row r="9" spans="1:2" x14ac:dyDescent="0.2">
      <c r="A9" s="2" t="s">
        <v>1319</v>
      </c>
      <c r="B9" s="17">
        <v>43639</v>
      </c>
    </row>
    <row r="10" spans="1:2" x14ac:dyDescent="0.2">
      <c r="A10" s="2" t="s">
        <v>1320</v>
      </c>
      <c r="B10" s="17">
        <v>1013</v>
      </c>
    </row>
    <row r="11" spans="1:2" x14ac:dyDescent="0.2">
      <c r="A11" s="2" t="s">
        <v>1321</v>
      </c>
      <c r="B11" s="2">
        <v>692</v>
      </c>
    </row>
    <row r="12" spans="1:2" x14ac:dyDescent="0.2">
      <c r="A12" s="2" t="s">
        <v>1322</v>
      </c>
      <c r="B12" s="2">
        <v>310</v>
      </c>
    </row>
    <row r="13" spans="1:2" x14ac:dyDescent="0.2">
      <c r="A13" s="2" t="s">
        <v>1323</v>
      </c>
      <c r="B13" s="2">
        <v>732</v>
      </c>
    </row>
    <row r="14" spans="1:2" x14ac:dyDescent="0.2">
      <c r="A14" s="232" t="s">
        <v>33</v>
      </c>
      <c r="B14" s="149">
        <f>SUM(B4:B13)</f>
        <v>170458</v>
      </c>
    </row>
    <row r="15" spans="1:2" x14ac:dyDescent="0.2">
      <c r="B15" s="17"/>
    </row>
    <row r="16" spans="1:2" s="8" customFormat="1" ht="12" x14ac:dyDescent="0.15">
      <c r="A16" s="8" t="s">
        <v>1324</v>
      </c>
      <c r="B16" s="108"/>
    </row>
    <row r="17" spans="1:2" s="8" customFormat="1" ht="12" x14ac:dyDescent="0.15">
      <c r="A17" s="8" t="s">
        <v>1368</v>
      </c>
      <c r="B17" s="108"/>
    </row>
    <row r="18" spans="1:2" s="8" customFormat="1" ht="14.5" customHeight="1" x14ac:dyDescent="0.15">
      <c r="A18" s="8" t="s">
        <v>1369</v>
      </c>
      <c r="B18" s="204"/>
    </row>
    <row r="19" spans="1:2" s="8" customFormat="1" ht="12" x14ac:dyDescent="0.15">
      <c r="A19" s="257" t="s">
        <v>1325</v>
      </c>
      <c r="B19" s="257"/>
    </row>
  </sheetData>
  <mergeCells count="2">
    <mergeCell ref="A1:B1"/>
    <mergeCell ref="A19:B19"/>
  </mergeCells>
  <pageMargins left="0.7" right="0.7" top="0.75" bottom="0.75" header="0.3" footer="0.3"/>
  <pageSetup orientation="portrait"/>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C00000"/>
  </sheetPr>
  <dimension ref="A1:E18"/>
  <sheetViews>
    <sheetView showGridLines="0" workbookViewId="0">
      <selection activeCell="C35" sqref="C35"/>
    </sheetView>
  </sheetViews>
  <sheetFormatPr baseColWidth="10" defaultColWidth="8.83203125" defaultRowHeight="15" x14ac:dyDescent="0.2"/>
  <cols>
    <col min="1" max="1" width="14" style="2" bestFit="1" customWidth="1"/>
    <col min="2" max="2" width="20" style="2" bestFit="1" customWidth="1"/>
    <col min="3" max="3" width="25.83203125" style="2" bestFit="1" customWidth="1"/>
    <col min="4" max="4" width="22.33203125" style="2" bestFit="1" customWidth="1"/>
    <col min="5" max="5" width="16.5" style="2" bestFit="1" customWidth="1"/>
    <col min="6" max="6" width="7" style="2" bestFit="1" customWidth="1"/>
    <col min="7" max="16384" width="8.83203125" style="2"/>
  </cols>
  <sheetData>
    <row r="1" spans="1:5" ht="16" x14ac:dyDescent="0.2">
      <c r="A1" s="1" t="s">
        <v>1140</v>
      </c>
      <c r="B1" s="1"/>
      <c r="C1" s="1"/>
      <c r="D1" s="1"/>
      <c r="E1" s="1"/>
    </row>
    <row r="2" spans="1:5" ht="16" x14ac:dyDescent="0.2">
      <c r="A2" s="1"/>
      <c r="B2" s="1"/>
      <c r="C2" s="1"/>
      <c r="D2" s="1"/>
      <c r="E2" s="1"/>
    </row>
    <row r="3" spans="1:5" x14ac:dyDescent="0.2">
      <c r="A3" s="13" t="s">
        <v>64</v>
      </c>
      <c r="B3" s="13" t="s">
        <v>1244</v>
      </c>
      <c r="C3" s="13" t="s">
        <v>1245</v>
      </c>
      <c r="D3" s="13" t="s">
        <v>1246</v>
      </c>
      <c r="E3" s="13" t="s">
        <v>92</v>
      </c>
    </row>
    <row r="4" spans="1:5" x14ac:dyDescent="0.2">
      <c r="A4" s="82" t="s">
        <v>71</v>
      </c>
      <c r="B4" s="2">
        <v>1</v>
      </c>
      <c r="C4" s="2">
        <v>0</v>
      </c>
      <c r="D4" s="17">
        <v>6512</v>
      </c>
      <c r="E4" s="2">
        <v>37</v>
      </c>
    </row>
    <row r="5" spans="1:5" x14ac:dyDescent="0.2">
      <c r="A5" s="82" t="s">
        <v>72</v>
      </c>
      <c r="B5" s="2">
        <v>1</v>
      </c>
      <c r="C5" s="2">
        <v>0</v>
      </c>
      <c r="D5" s="17">
        <v>10208</v>
      </c>
      <c r="E5" s="2">
        <v>58</v>
      </c>
    </row>
    <row r="6" spans="1:5" x14ac:dyDescent="0.2">
      <c r="A6" s="222" t="s">
        <v>73</v>
      </c>
      <c r="B6" s="2">
        <v>1</v>
      </c>
      <c r="C6" s="2">
        <v>4</v>
      </c>
      <c r="D6" s="17">
        <v>76560</v>
      </c>
      <c r="E6" s="2">
        <v>435</v>
      </c>
    </row>
    <row r="7" spans="1:5" x14ac:dyDescent="0.2">
      <c r="A7" s="82" t="s">
        <v>74</v>
      </c>
      <c r="B7" s="2">
        <v>1</v>
      </c>
      <c r="C7" s="2">
        <v>1</v>
      </c>
      <c r="D7" s="17">
        <v>11968</v>
      </c>
      <c r="E7" s="2">
        <v>68</v>
      </c>
    </row>
    <row r="8" spans="1:5" x14ac:dyDescent="0.2">
      <c r="A8" s="66" t="s">
        <v>75</v>
      </c>
      <c r="B8" s="2">
        <v>1</v>
      </c>
      <c r="C8" s="2">
        <v>2</v>
      </c>
      <c r="D8" s="17">
        <v>46640</v>
      </c>
      <c r="E8" s="2">
        <v>265</v>
      </c>
    </row>
    <row r="9" spans="1:5" x14ac:dyDescent="0.2">
      <c r="A9" s="66" t="s">
        <v>76</v>
      </c>
      <c r="B9" s="2">
        <v>1</v>
      </c>
      <c r="C9" s="2">
        <v>1</v>
      </c>
      <c r="D9" s="17">
        <v>49632</v>
      </c>
      <c r="E9" s="2">
        <v>282</v>
      </c>
    </row>
    <row r="10" spans="1:5" x14ac:dyDescent="0.2">
      <c r="A10" s="66" t="s">
        <v>78</v>
      </c>
      <c r="B10" s="2">
        <v>1</v>
      </c>
      <c r="C10" s="2">
        <v>1</v>
      </c>
      <c r="D10" s="17">
        <v>23408</v>
      </c>
      <c r="E10" s="2">
        <v>133</v>
      </c>
    </row>
    <row r="11" spans="1:5" x14ac:dyDescent="0.2">
      <c r="A11" s="66" t="s">
        <v>79</v>
      </c>
      <c r="B11" s="2">
        <v>1</v>
      </c>
      <c r="C11" s="2">
        <v>0</v>
      </c>
      <c r="D11" s="17">
        <v>13904</v>
      </c>
      <c r="E11" s="2">
        <v>79</v>
      </c>
    </row>
    <row r="12" spans="1:5" x14ac:dyDescent="0.2">
      <c r="A12" s="66" t="s">
        <v>80</v>
      </c>
      <c r="B12" s="2">
        <v>1</v>
      </c>
      <c r="C12" s="2">
        <v>0</v>
      </c>
      <c r="D12" s="17">
        <v>28864</v>
      </c>
      <c r="E12" s="2">
        <v>164</v>
      </c>
    </row>
    <row r="13" spans="1:5" x14ac:dyDescent="0.2">
      <c r="A13" s="66" t="s">
        <v>81</v>
      </c>
      <c r="B13" s="2">
        <v>1</v>
      </c>
      <c r="C13" s="2">
        <v>0</v>
      </c>
      <c r="D13" s="17">
        <v>7568</v>
      </c>
      <c r="E13" s="2">
        <v>43</v>
      </c>
    </row>
    <row r="14" spans="1:5" x14ac:dyDescent="0.2">
      <c r="A14" s="66" t="s">
        <v>83</v>
      </c>
      <c r="B14" s="2">
        <v>1</v>
      </c>
      <c r="C14" s="2">
        <v>0</v>
      </c>
      <c r="D14" s="17">
        <v>10912</v>
      </c>
      <c r="E14" s="2">
        <v>62</v>
      </c>
    </row>
    <row r="15" spans="1:5" x14ac:dyDescent="0.2">
      <c r="A15" s="87" t="s">
        <v>84</v>
      </c>
      <c r="B15" s="219">
        <f>SUM(B4:B14)</f>
        <v>11</v>
      </c>
      <c r="C15" s="219">
        <f t="shared" ref="C15:E15" si="0">SUM(C4:C14)</f>
        <v>9</v>
      </c>
      <c r="D15" s="219">
        <f t="shared" si="0"/>
        <v>286176</v>
      </c>
      <c r="E15" s="219">
        <f t="shared" si="0"/>
        <v>1626</v>
      </c>
    </row>
    <row r="16" spans="1:5" x14ac:dyDescent="0.2">
      <c r="D16" s="17"/>
    </row>
    <row r="17" spans="1:1" s="8" customFormat="1" ht="14.5" customHeight="1" x14ac:dyDescent="0.15">
      <c r="A17" s="8" t="s">
        <v>1247</v>
      </c>
    </row>
    <row r="18" spans="1:1" s="8" customFormat="1" ht="12" x14ac:dyDescent="0.15">
      <c r="A18" s="8" t="s">
        <v>1325</v>
      </c>
    </row>
  </sheetData>
  <pageMargins left="0.7" right="0.7" top="0.75" bottom="0.75" header="0.3" footer="0.3"/>
  <pageSetup orientation="portrait"/>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00B050"/>
  </sheetPr>
  <dimension ref="A1:C45"/>
  <sheetViews>
    <sheetView showGridLines="0" topLeftCell="A30" zoomScale="90" zoomScaleNormal="90" workbookViewId="0">
      <selection activeCell="A42" sqref="A42"/>
    </sheetView>
  </sheetViews>
  <sheetFormatPr baseColWidth="10" defaultColWidth="8.83203125" defaultRowHeight="15" x14ac:dyDescent="0.2"/>
  <cols>
    <col min="1" max="1" width="106.1640625" style="2" bestFit="1" customWidth="1"/>
    <col min="2" max="2" width="27" style="2" bestFit="1" customWidth="1"/>
    <col min="3" max="3" width="31.6640625" style="2" bestFit="1" customWidth="1"/>
    <col min="4" max="16384" width="8.83203125" style="2"/>
  </cols>
  <sheetData>
    <row r="1" spans="1:3" ht="16" x14ac:dyDescent="0.2">
      <c r="A1" s="259" t="s">
        <v>1161</v>
      </c>
      <c r="B1" s="259"/>
      <c r="C1" s="259"/>
    </row>
    <row r="2" spans="1:3" ht="16" x14ac:dyDescent="0.2">
      <c r="A2" s="1"/>
      <c r="B2" s="1"/>
      <c r="C2" s="1"/>
    </row>
    <row r="3" spans="1:3" x14ac:dyDescent="0.2">
      <c r="A3" s="13" t="s">
        <v>1192</v>
      </c>
      <c r="B3" s="13" t="s">
        <v>1225</v>
      </c>
      <c r="C3" s="13" t="s">
        <v>1370</v>
      </c>
    </row>
    <row r="4" spans="1:3" x14ac:dyDescent="0.2">
      <c r="A4" s="2" t="s">
        <v>1371</v>
      </c>
      <c r="B4" s="2">
        <v>77</v>
      </c>
      <c r="C4" s="17">
        <v>21143</v>
      </c>
    </row>
    <row r="5" spans="1:3" x14ac:dyDescent="0.2">
      <c r="A5" s="2" t="s">
        <v>1372</v>
      </c>
      <c r="B5" s="2">
        <v>8</v>
      </c>
      <c r="C5" s="17">
        <v>3142</v>
      </c>
    </row>
    <row r="6" spans="1:3" x14ac:dyDescent="0.2">
      <c r="A6" s="2" t="s">
        <v>1373</v>
      </c>
      <c r="B6" s="2">
        <v>1</v>
      </c>
      <c r="C6" s="17">
        <v>5850</v>
      </c>
    </row>
    <row r="7" spans="1:3" x14ac:dyDescent="0.2">
      <c r="A7" s="2" t="s">
        <v>1410</v>
      </c>
      <c r="B7" s="2">
        <v>1</v>
      </c>
      <c r="C7" s="17">
        <v>3500</v>
      </c>
    </row>
    <row r="8" spans="1:3" x14ac:dyDescent="0.2">
      <c r="A8" s="2" t="s">
        <v>1374</v>
      </c>
      <c r="B8" s="2">
        <v>65</v>
      </c>
      <c r="C8" s="17">
        <v>22385</v>
      </c>
    </row>
    <row r="9" spans="1:3" x14ac:dyDescent="0.2">
      <c r="A9" s="2" t="s">
        <v>1375</v>
      </c>
      <c r="B9" s="2">
        <v>2</v>
      </c>
      <c r="C9" s="2">
        <v>2000</v>
      </c>
    </row>
    <row r="10" spans="1:3" x14ac:dyDescent="0.2">
      <c r="A10" s="2" t="s">
        <v>1411</v>
      </c>
      <c r="B10" s="2">
        <v>56</v>
      </c>
      <c r="C10" s="17">
        <v>17200</v>
      </c>
    </row>
    <row r="11" spans="1:3" x14ac:dyDescent="0.2">
      <c r="A11" s="2" t="s">
        <v>1412</v>
      </c>
      <c r="B11" s="2">
        <v>13</v>
      </c>
      <c r="C11" s="17">
        <v>40000</v>
      </c>
    </row>
    <row r="12" spans="1:3" x14ac:dyDescent="0.2">
      <c r="A12" s="2" t="s">
        <v>1413</v>
      </c>
      <c r="B12" s="2">
        <v>1</v>
      </c>
      <c r="C12" s="2">
        <v>7800</v>
      </c>
    </row>
    <row r="13" spans="1:3" x14ac:dyDescent="0.2">
      <c r="A13" s="2" t="s">
        <v>1377</v>
      </c>
      <c r="B13" s="2">
        <v>16</v>
      </c>
      <c r="C13" s="17">
        <v>450</v>
      </c>
    </row>
    <row r="14" spans="1:3" x14ac:dyDescent="0.2">
      <c r="A14" s="2" t="s">
        <v>1378</v>
      </c>
      <c r="B14" s="2">
        <v>141</v>
      </c>
      <c r="C14" s="2">
        <v>52648</v>
      </c>
    </row>
    <row r="15" spans="1:3" x14ac:dyDescent="0.2">
      <c r="A15" s="2" t="s">
        <v>1414</v>
      </c>
      <c r="B15" s="2">
        <v>1</v>
      </c>
      <c r="C15" s="17">
        <v>3550</v>
      </c>
    </row>
    <row r="16" spans="1:3" x14ac:dyDescent="0.2">
      <c r="A16" s="2" t="s">
        <v>1379</v>
      </c>
      <c r="B16" s="2">
        <v>61</v>
      </c>
      <c r="C16" s="17">
        <v>10189</v>
      </c>
    </row>
    <row r="17" spans="1:3" x14ac:dyDescent="0.2">
      <c r="A17" s="2" t="s">
        <v>1380</v>
      </c>
      <c r="B17" s="2">
        <v>46</v>
      </c>
      <c r="C17" s="2">
        <v>7199</v>
      </c>
    </row>
    <row r="18" spans="1:3" x14ac:dyDescent="0.2">
      <c r="A18" s="2" t="s">
        <v>1415</v>
      </c>
      <c r="B18" s="2">
        <v>1</v>
      </c>
      <c r="C18" s="2">
        <v>5084</v>
      </c>
    </row>
    <row r="19" spans="1:3" x14ac:dyDescent="0.2">
      <c r="A19" s="2" t="s">
        <v>1416</v>
      </c>
      <c r="B19" s="2">
        <v>52</v>
      </c>
      <c r="C19" s="17">
        <v>3072</v>
      </c>
    </row>
    <row r="20" spans="1:3" x14ac:dyDescent="0.2">
      <c r="A20" s="2" t="s">
        <v>1417</v>
      </c>
      <c r="B20" s="2">
        <v>70</v>
      </c>
      <c r="C20" s="17">
        <v>3497</v>
      </c>
    </row>
    <row r="21" spans="1:3" x14ac:dyDescent="0.2">
      <c r="A21" s="2" t="s">
        <v>1418</v>
      </c>
      <c r="B21" s="2">
        <v>13</v>
      </c>
      <c r="C21" s="2">
        <v>394</v>
      </c>
    </row>
    <row r="22" spans="1:3" x14ac:dyDescent="0.2">
      <c r="A22" s="2" t="s">
        <v>1386</v>
      </c>
      <c r="B22" s="2">
        <v>69</v>
      </c>
      <c r="C22" s="17">
        <v>18049</v>
      </c>
    </row>
    <row r="23" spans="1:3" x14ac:dyDescent="0.2">
      <c r="A23" s="2" t="s">
        <v>1419</v>
      </c>
      <c r="B23" s="2">
        <v>18</v>
      </c>
      <c r="C23" s="17">
        <v>2140</v>
      </c>
    </row>
    <row r="24" spans="1:3" x14ac:dyDescent="0.2">
      <c r="A24" s="2" t="s">
        <v>1383</v>
      </c>
      <c r="B24" s="2">
        <v>34</v>
      </c>
      <c r="C24" s="2">
        <v>34</v>
      </c>
    </row>
    <row r="25" spans="1:3" x14ac:dyDescent="0.2">
      <c r="A25" s="2" t="s">
        <v>1420</v>
      </c>
      <c r="B25" s="2">
        <v>35</v>
      </c>
      <c r="C25" s="17">
        <v>164</v>
      </c>
    </row>
    <row r="26" spans="1:3" x14ac:dyDescent="0.2">
      <c r="A26" s="2" t="s">
        <v>1384</v>
      </c>
      <c r="B26" s="2">
        <v>3</v>
      </c>
      <c r="C26" s="17">
        <v>2115</v>
      </c>
    </row>
    <row r="27" spans="1:3" x14ac:dyDescent="0.2">
      <c r="A27" s="2" t="s">
        <v>1421</v>
      </c>
      <c r="B27" s="2">
        <v>157</v>
      </c>
      <c r="C27" s="17">
        <v>4959</v>
      </c>
    </row>
    <row r="28" spans="1:3" x14ac:dyDescent="0.2">
      <c r="A28" s="2" t="s">
        <v>1422</v>
      </c>
      <c r="B28" s="2">
        <v>1</v>
      </c>
      <c r="C28" s="17">
        <v>7</v>
      </c>
    </row>
    <row r="29" spans="1:3" x14ac:dyDescent="0.2">
      <c r="A29" s="2" t="s">
        <v>1385</v>
      </c>
      <c r="B29" s="2">
        <v>463</v>
      </c>
      <c r="C29" s="17">
        <v>5428</v>
      </c>
    </row>
    <row r="30" spans="1:3" x14ac:dyDescent="0.2">
      <c r="A30" s="2" t="s">
        <v>1423</v>
      </c>
      <c r="B30" s="2">
        <v>8</v>
      </c>
      <c r="C30" s="17">
        <v>120</v>
      </c>
    </row>
    <row r="31" spans="1:3" x14ac:dyDescent="0.2">
      <c r="A31" s="2" t="s">
        <v>1424</v>
      </c>
      <c r="B31" s="2">
        <v>10</v>
      </c>
      <c r="C31" s="17">
        <v>150</v>
      </c>
    </row>
    <row r="32" spans="1:3" x14ac:dyDescent="0.2">
      <c r="A32" s="2" t="s">
        <v>1425</v>
      </c>
      <c r="B32" s="2">
        <v>7</v>
      </c>
      <c r="C32" s="2">
        <v>1166</v>
      </c>
    </row>
    <row r="33" spans="1:3" x14ac:dyDescent="0.2">
      <c r="A33" s="2" t="s">
        <v>1426</v>
      </c>
      <c r="B33" s="2">
        <v>31</v>
      </c>
      <c r="C33" s="2">
        <v>6061</v>
      </c>
    </row>
    <row r="34" spans="1:3" x14ac:dyDescent="0.2">
      <c r="A34" s="2" t="s">
        <v>1376</v>
      </c>
      <c r="B34" s="2">
        <v>92</v>
      </c>
      <c r="C34" s="17">
        <v>7601</v>
      </c>
    </row>
    <row r="35" spans="1:3" x14ac:dyDescent="0.2">
      <c r="A35" s="2" t="s">
        <v>1427</v>
      </c>
      <c r="B35" s="2">
        <v>11</v>
      </c>
      <c r="C35" s="17">
        <v>2555</v>
      </c>
    </row>
    <row r="36" spans="1:3" x14ac:dyDescent="0.2">
      <c r="A36" s="2" t="s">
        <v>1428</v>
      </c>
      <c r="B36" s="2">
        <v>2</v>
      </c>
      <c r="C36" s="17">
        <v>335</v>
      </c>
    </row>
    <row r="37" spans="1:3" x14ac:dyDescent="0.2">
      <c r="A37" s="2" t="s">
        <v>1429</v>
      </c>
      <c r="B37" s="2">
        <v>10</v>
      </c>
      <c r="C37" s="2">
        <v>1082</v>
      </c>
    </row>
    <row r="38" spans="1:3" x14ac:dyDescent="0.2">
      <c r="A38" s="2" t="s">
        <v>1381</v>
      </c>
      <c r="B38" s="2">
        <v>23</v>
      </c>
      <c r="C38" s="2">
        <v>14825</v>
      </c>
    </row>
    <row r="39" spans="1:3" x14ac:dyDescent="0.2">
      <c r="A39" s="2" t="s">
        <v>1382</v>
      </c>
      <c r="B39" s="2">
        <v>21</v>
      </c>
      <c r="C39" s="2">
        <v>8234</v>
      </c>
    </row>
    <row r="40" spans="1:3" x14ac:dyDescent="0.2">
      <c r="A40" s="2" t="s">
        <v>1430</v>
      </c>
      <c r="B40" s="2">
        <v>1</v>
      </c>
      <c r="C40" s="2">
        <v>3007</v>
      </c>
    </row>
    <row r="41" spans="1:3" x14ac:dyDescent="0.2">
      <c r="A41" s="2" t="s">
        <v>1431</v>
      </c>
      <c r="B41" s="2">
        <v>45</v>
      </c>
      <c r="C41" s="17">
        <v>22500</v>
      </c>
    </row>
    <row r="42" spans="1:3" x14ac:dyDescent="0.2">
      <c r="A42" s="2" t="s">
        <v>1432</v>
      </c>
      <c r="B42" s="2">
        <v>41</v>
      </c>
      <c r="C42" s="17">
        <v>10023</v>
      </c>
    </row>
    <row r="43" spans="1:3" ht="16" x14ac:dyDescent="0.2">
      <c r="A43" s="238" t="s">
        <v>33</v>
      </c>
      <c r="B43" s="239">
        <f>SUM(B4:B42)</f>
        <v>1707</v>
      </c>
      <c r="C43" s="239">
        <f>SUM(C4:C42)</f>
        <v>319658</v>
      </c>
    </row>
    <row r="45" spans="1:3" x14ac:dyDescent="0.2">
      <c r="A45" s="8" t="s">
        <v>1433</v>
      </c>
    </row>
  </sheetData>
  <mergeCells count="1">
    <mergeCell ref="A1:C1"/>
  </mergeCells>
  <pageMargins left="0.7" right="0.7" top="0.75" bottom="0.75" header="0.3" footer="0.3"/>
  <pageSetup orientation="portrait"/>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00B050"/>
  </sheetPr>
  <dimension ref="A1:C10"/>
  <sheetViews>
    <sheetView showGridLines="0" workbookViewId="0"/>
  </sheetViews>
  <sheetFormatPr baseColWidth="10" defaultColWidth="8.83203125" defaultRowHeight="15" x14ac:dyDescent="0.2"/>
  <cols>
    <col min="1" max="1" width="47.1640625" style="2" bestFit="1" customWidth="1"/>
    <col min="2" max="2" width="14" style="2" bestFit="1" customWidth="1"/>
    <col min="3" max="3" width="12.83203125" style="2" bestFit="1" customWidth="1"/>
    <col min="4" max="16384" width="8.83203125" style="2"/>
  </cols>
  <sheetData>
    <row r="1" spans="1:3" ht="16" x14ac:dyDescent="0.2">
      <c r="A1" s="1" t="s">
        <v>1166</v>
      </c>
      <c r="B1" s="1"/>
      <c r="C1" s="1"/>
    </row>
    <row r="2" spans="1:3" ht="16" x14ac:dyDescent="0.2">
      <c r="A2" s="1"/>
      <c r="B2" s="1"/>
      <c r="C2" s="1"/>
    </row>
    <row r="3" spans="1:3" x14ac:dyDescent="0.2">
      <c r="A3" s="13" t="s">
        <v>1393</v>
      </c>
      <c r="B3" s="13" t="s">
        <v>1192</v>
      </c>
      <c r="C3" s="13" t="s">
        <v>1193</v>
      </c>
    </row>
    <row r="4" spans="1:3" x14ac:dyDescent="0.2">
      <c r="A4" s="2" t="s">
        <v>1436</v>
      </c>
      <c r="B4" s="2">
        <v>220</v>
      </c>
      <c r="C4" s="17">
        <v>8046</v>
      </c>
    </row>
    <row r="5" spans="1:3" x14ac:dyDescent="0.2">
      <c r="A5" s="2" t="s">
        <v>1437</v>
      </c>
      <c r="B5" s="2">
        <v>29</v>
      </c>
      <c r="C5" s="2">
        <v>14825</v>
      </c>
    </row>
    <row r="6" spans="1:3" x14ac:dyDescent="0.2">
      <c r="A6" s="2" t="s">
        <v>1394</v>
      </c>
      <c r="B6" s="2">
        <v>2660</v>
      </c>
      <c r="C6" s="17">
        <v>18063</v>
      </c>
    </row>
    <row r="7" spans="1:3" x14ac:dyDescent="0.2">
      <c r="A7" s="2" t="s">
        <v>1395</v>
      </c>
      <c r="B7" s="2">
        <v>16</v>
      </c>
      <c r="C7" s="17">
        <v>2491</v>
      </c>
    </row>
    <row r="8" spans="1:3" x14ac:dyDescent="0.2">
      <c r="A8" s="214" t="s">
        <v>33</v>
      </c>
      <c r="B8" s="129">
        <f>SUM(B4:B7)</f>
        <v>2925</v>
      </c>
      <c r="C8" s="129">
        <f>SUM(C4:C7)</f>
        <v>43425</v>
      </c>
    </row>
    <row r="9" spans="1:3" x14ac:dyDescent="0.2">
      <c r="C9" s="17"/>
    </row>
    <row r="10" spans="1:3" x14ac:dyDescent="0.2">
      <c r="A10" s="8" t="s">
        <v>1435</v>
      </c>
      <c r="B10" s="8"/>
      <c r="C10" s="8"/>
    </row>
  </sheetData>
  <pageMargins left="0.7" right="0.7" top="0.75" bottom="0.75" header="0.3" footer="0.3"/>
  <pageSetup orientation="portrait"/>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00B050"/>
  </sheetPr>
  <dimension ref="A1:D17"/>
  <sheetViews>
    <sheetView showGridLines="0" workbookViewId="0"/>
  </sheetViews>
  <sheetFormatPr baseColWidth="10" defaultColWidth="8.83203125" defaultRowHeight="15" x14ac:dyDescent="0.2"/>
  <cols>
    <col min="1" max="1" width="81.33203125" style="2" bestFit="1" customWidth="1"/>
    <col min="2" max="2" width="21.1640625" style="2" bestFit="1" customWidth="1"/>
    <col min="3" max="3" width="22.33203125" style="2" bestFit="1" customWidth="1"/>
    <col min="4" max="4" width="18.6640625" style="2" bestFit="1" customWidth="1"/>
    <col min="5" max="16384" width="8.83203125" style="2"/>
  </cols>
  <sheetData>
    <row r="1" spans="1:4" ht="16" x14ac:dyDescent="0.2">
      <c r="A1" s="44" t="s">
        <v>1438</v>
      </c>
      <c r="B1" s="1"/>
      <c r="C1" s="1"/>
      <c r="D1" s="1"/>
    </row>
    <row r="2" spans="1:4" x14ac:dyDescent="0.2">
      <c r="A2" s="257"/>
      <c r="B2" s="257"/>
      <c r="C2" s="257"/>
      <c r="D2" s="257"/>
    </row>
    <row r="3" spans="1:4" ht="16" x14ac:dyDescent="0.2">
      <c r="A3" s="254" t="s">
        <v>1396</v>
      </c>
      <c r="B3" s="256" t="s">
        <v>70</v>
      </c>
      <c r="C3" s="256"/>
      <c r="D3" s="256"/>
    </row>
    <row r="4" spans="1:4" x14ac:dyDescent="0.2">
      <c r="A4" s="255"/>
      <c r="B4" s="3" t="s">
        <v>1397</v>
      </c>
      <c r="C4" s="3" t="s">
        <v>1398</v>
      </c>
      <c r="D4" s="3" t="s">
        <v>33</v>
      </c>
    </row>
    <row r="5" spans="1:4" x14ac:dyDescent="0.2">
      <c r="A5" s="2" t="s">
        <v>1384</v>
      </c>
      <c r="B5" s="10">
        <v>0</v>
      </c>
      <c r="C5" s="10">
        <v>1893636.67</v>
      </c>
      <c r="D5" s="10">
        <f>SUM(B5:C5)</f>
        <v>1893636.67</v>
      </c>
    </row>
    <row r="6" spans="1:4" x14ac:dyDescent="0.2">
      <c r="A6" s="2" t="s">
        <v>1399</v>
      </c>
      <c r="B6" s="10">
        <v>0</v>
      </c>
      <c r="C6" s="10">
        <v>2000000</v>
      </c>
      <c r="D6" s="10">
        <f t="shared" ref="D6:D12" si="0">SUM(B6:C6)</f>
        <v>2000000</v>
      </c>
    </row>
    <row r="7" spans="1:4" x14ac:dyDescent="0.2">
      <c r="A7" s="2" t="s">
        <v>1400</v>
      </c>
      <c r="B7" s="10">
        <v>903349.94</v>
      </c>
      <c r="C7" s="10">
        <v>1000000</v>
      </c>
      <c r="D7" s="10">
        <f t="shared" si="0"/>
        <v>1903349.94</v>
      </c>
    </row>
    <row r="8" spans="1:4" x14ac:dyDescent="0.2">
      <c r="A8" s="2" t="s">
        <v>1401</v>
      </c>
      <c r="B8" s="10">
        <v>845318.53</v>
      </c>
      <c r="C8" s="10">
        <v>1000000</v>
      </c>
      <c r="D8" s="10">
        <f t="shared" si="0"/>
        <v>1845318.53</v>
      </c>
    </row>
    <row r="9" spans="1:4" x14ac:dyDescent="0.2">
      <c r="A9" s="2" t="s">
        <v>1422</v>
      </c>
      <c r="B9" s="10">
        <v>1200000</v>
      </c>
      <c r="C9" s="10">
        <v>0</v>
      </c>
      <c r="D9" s="10">
        <f t="shared" si="0"/>
        <v>1200000</v>
      </c>
    </row>
    <row r="10" spans="1:4" x14ac:dyDescent="0.2">
      <c r="A10" s="2" t="s">
        <v>1385</v>
      </c>
      <c r="B10" s="10">
        <v>249000.4</v>
      </c>
      <c r="C10" s="10">
        <v>0</v>
      </c>
      <c r="D10" s="10">
        <f>SUM(B10:C10)</f>
        <v>249000.4</v>
      </c>
    </row>
    <row r="11" spans="1:4" x14ac:dyDescent="0.2">
      <c r="A11" s="2" t="s">
        <v>1423</v>
      </c>
      <c r="B11" s="10">
        <v>160000</v>
      </c>
      <c r="C11" s="10">
        <v>0</v>
      </c>
      <c r="D11" s="10">
        <f t="shared" si="0"/>
        <v>160000</v>
      </c>
    </row>
    <row r="12" spans="1:4" x14ac:dyDescent="0.2">
      <c r="A12" s="2" t="s">
        <v>1424</v>
      </c>
      <c r="B12" s="10">
        <v>150000</v>
      </c>
      <c r="C12" s="10">
        <v>0</v>
      </c>
      <c r="D12" s="10">
        <f t="shared" si="0"/>
        <v>150000</v>
      </c>
    </row>
    <row r="13" spans="1:4" x14ac:dyDescent="0.2">
      <c r="A13" s="228" t="s">
        <v>33</v>
      </c>
      <c r="B13" s="240">
        <f>SUM(B5:B12)</f>
        <v>3507668.8699999996</v>
      </c>
      <c r="C13" s="240">
        <f>SUM(C5:C12)</f>
        <v>5893636.6699999999</v>
      </c>
      <c r="D13" s="240">
        <f>SUM(D5:D12)</f>
        <v>9401305.540000001</v>
      </c>
    </row>
    <row r="14" spans="1:4" x14ac:dyDescent="0.2">
      <c r="B14" s="17"/>
      <c r="D14" s="17"/>
    </row>
    <row r="15" spans="1:4" ht="31.5" customHeight="1" x14ac:dyDescent="0.2">
      <c r="A15" s="281" t="s">
        <v>1440</v>
      </c>
      <c r="B15" s="281"/>
      <c r="C15" s="8"/>
      <c r="D15" s="8"/>
    </row>
    <row r="16" spans="1:4" x14ac:dyDescent="0.2">
      <c r="A16" s="8" t="s">
        <v>1439</v>
      </c>
      <c r="B16" s="17"/>
      <c r="D16" s="17"/>
    </row>
    <row r="17" spans="1:4" x14ac:dyDescent="0.2">
      <c r="A17" s="258"/>
      <c r="B17" s="258"/>
      <c r="C17" s="258"/>
      <c r="D17" s="258"/>
    </row>
  </sheetData>
  <mergeCells count="5">
    <mergeCell ref="A2:D2"/>
    <mergeCell ref="A3:A4"/>
    <mergeCell ref="B3:D3"/>
    <mergeCell ref="A17:D17"/>
    <mergeCell ref="A15:B15"/>
  </mergeCells>
  <pageMargins left="0.7" right="0.7" top="0.75" bottom="0.75" header="0.3" footer="0.3"/>
  <pageSetup orientation="portrait"/>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00B050"/>
  </sheetPr>
  <dimension ref="A1:C13"/>
  <sheetViews>
    <sheetView showGridLines="0" workbookViewId="0"/>
  </sheetViews>
  <sheetFormatPr baseColWidth="10" defaultColWidth="8.83203125" defaultRowHeight="15" x14ac:dyDescent="0.2"/>
  <cols>
    <col min="1" max="1" width="48.33203125" style="2" bestFit="1" customWidth="1"/>
    <col min="2" max="2" width="24.6640625" style="2" bestFit="1" customWidth="1"/>
    <col min="3" max="3" width="11.6640625" style="2" bestFit="1" customWidth="1"/>
    <col min="4" max="16384" width="8.83203125" style="2"/>
  </cols>
  <sheetData>
    <row r="1" spans="1:3" ht="16" x14ac:dyDescent="0.2">
      <c r="A1" s="1" t="s">
        <v>1170</v>
      </c>
      <c r="B1" s="1"/>
      <c r="C1" s="1"/>
    </row>
    <row r="2" spans="1:3" ht="16" x14ac:dyDescent="0.2">
      <c r="A2" s="1"/>
      <c r="B2" s="1"/>
      <c r="C2" s="1"/>
    </row>
    <row r="3" spans="1:3" x14ac:dyDescent="0.2">
      <c r="A3" s="13" t="s">
        <v>99</v>
      </c>
      <c r="B3" s="13" t="s">
        <v>1402</v>
      </c>
      <c r="C3" s="13" t="s">
        <v>1403</v>
      </c>
    </row>
    <row r="4" spans="1:3" x14ac:dyDescent="0.2">
      <c r="A4" s="2" t="s">
        <v>1441</v>
      </c>
      <c r="B4" s="17">
        <v>2660</v>
      </c>
      <c r="C4" s="17">
        <v>18063</v>
      </c>
    </row>
    <row r="5" spans="1:3" x14ac:dyDescent="0.2">
      <c r="A5" s="2" t="s">
        <v>1404</v>
      </c>
      <c r="B5" s="2">
        <v>207</v>
      </c>
      <c r="C5" s="17">
        <v>4663</v>
      </c>
    </row>
    <row r="6" spans="1:3" x14ac:dyDescent="0.2">
      <c r="A6" s="2" t="s">
        <v>1405</v>
      </c>
      <c r="B6" s="17">
        <v>61517</v>
      </c>
      <c r="C6" s="17">
        <v>102408</v>
      </c>
    </row>
    <row r="7" spans="1:3" x14ac:dyDescent="0.2">
      <c r="A7" s="2" t="s">
        <v>1406</v>
      </c>
      <c r="B7" s="17">
        <v>2273</v>
      </c>
      <c r="C7" s="17">
        <v>2273</v>
      </c>
    </row>
    <row r="8" spans="1:3" x14ac:dyDescent="0.2">
      <c r="A8" s="2" t="s">
        <v>1407</v>
      </c>
      <c r="B8" s="17">
        <v>13987</v>
      </c>
      <c r="C8" s="17">
        <v>13987</v>
      </c>
    </row>
    <row r="9" spans="1:3" x14ac:dyDescent="0.2">
      <c r="A9" s="2" t="s">
        <v>43</v>
      </c>
      <c r="B9" s="2">
        <v>267</v>
      </c>
      <c r="C9" s="17">
        <v>5329</v>
      </c>
    </row>
    <row r="10" spans="1:3" x14ac:dyDescent="0.2">
      <c r="A10" s="2" t="s">
        <v>1408</v>
      </c>
      <c r="B10" s="2">
        <v>1514</v>
      </c>
      <c r="C10" s="17">
        <v>10951</v>
      </c>
    </row>
    <row r="11" spans="1:3" x14ac:dyDescent="0.2">
      <c r="A11" s="214" t="s">
        <v>33</v>
      </c>
      <c r="B11" s="129">
        <f>SUM(B4:B10)</f>
        <v>82425</v>
      </c>
      <c r="C11" s="129">
        <f>SUM(C4:C10)</f>
        <v>157674</v>
      </c>
    </row>
    <row r="12" spans="1:3" x14ac:dyDescent="0.2">
      <c r="B12" s="17"/>
      <c r="C12" s="17"/>
    </row>
    <row r="13" spans="1:3" x14ac:dyDescent="0.2">
      <c r="A13" s="8" t="s">
        <v>1442</v>
      </c>
      <c r="B13" s="8"/>
      <c r="C13" s="8"/>
    </row>
  </sheetData>
  <pageMargins left="0.7" right="0.7" top="0.75" bottom="0.75" header="0.3" footer="0.3"/>
  <pageSetup orientation="portrait"/>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00B050"/>
  </sheetPr>
  <dimension ref="A1:C10"/>
  <sheetViews>
    <sheetView showGridLines="0" workbookViewId="0">
      <selection activeCell="A13" sqref="A13"/>
    </sheetView>
  </sheetViews>
  <sheetFormatPr baseColWidth="10" defaultColWidth="8.83203125" defaultRowHeight="15" x14ac:dyDescent="0.2"/>
  <cols>
    <col min="1" max="1" width="76.5" style="2" bestFit="1" customWidth="1"/>
    <col min="2" max="2" width="10.5" style="2" bestFit="1" customWidth="1"/>
    <col min="3" max="3" width="12.83203125" style="2" bestFit="1" customWidth="1"/>
    <col min="4" max="16384" width="8.83203125" style="2"/>
  </cols>
  <sheetData>
    <row r="1" spans="1:3" ht="16" x14ac:dyDescent="0.2">
      <c r="A1" s="1" t="s">
        <v>1164</v>
      </c>
      <c r="B1" s="1"/>
      <c r="C1" s="1"/>
    </row>
    <row r="2" spans="1:3" ht="16" x14ac:dyDescent="0.2">
      <c r="A2" s="1"/>
      <c r="B2" s="1"/>
      <c r="C2" s="1"/>
    </row>
    <row r="3" spans="1:3" x14ac:dyDescent="0.2">
      <c r="A3" s="13" t="s">
        <v>1387</v>
      </c>
      <c r="B3" s="13" t="s">
        <v>1388</v>
      </c>
      <c r="C3" s="13" t="s">
        <v>1193</v>
      </c>
    </row>
    <row r="4" spans="1:3" x14ac:dyDescent="0.2">
      <c r="A4" s="2" t="s">
        <v>1389</v>
      </c>
      <c r="B4" s="17">
        <v>31</v>
      </c>
      <c r="C4" s="17">
        <v>373</v>
      </c>
    </row>
    <row r="5" spans="1:3" x14ac:dyDescent="0.2">
      <c r="A5" s="2" t="s">
        <v>1390</v>
      </c>
      <c r="B5" s="17">
        <v>44</v>
      </c>
      <c r="C5" s="17">
        <v>6246</v>
      </c>
    </row>
    <row r="6" spans="1:3" x14ac:dyDescent="0.2">
      <c r="A6" s="2" t="s">
        <v>1391</v>
      </c>
      <c r="B6" s="17">
        <v>21</v>
      </c>
      <c r="C6" s="17">
        <v>264</v>
      </c>
    </row>
    <row r="7" spans="1:3" x14ac:dyDescent="0.2">
      <c r="A7" s="2" t="s">
        <v>1392</v>
      </c>
      <c r="B7" s="17">
        <v>53</v>
      </c>
      <c r="C7" s="17">
        <v>665</v>
      </c>
    </row>
    <row r="8" spans="1:3" x14ac:dyDescent="0.2">
      <c r="A8" s="20"/>
      <c r="B8" s="20"/>
      <c r="C8" s="20"/>
    </row>
    <row r="10" spans="1:3" x14ac:dyDescent="0.2">
      <c r="A10" s="8" t="s">
        <v>1434</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105</vt:i4>
      </vt:variant>
    </vt:vector>
  </HeadingPairs>
  <TitlesOfParts>
    <vt:vector size="105" baseType="lpstr">
      <vt:lpstr>Índice</vt:lpstr>
      <vt:lpstr>M3-001</vt:lpstr>
      <vt:lpstr>M3-002</vt:lpstr>
      <vt:lpstr>M3-010</vt:lpstr>
      <vt:lpstr>M3-003</vt:lpstr>
      <vt:lpstr>M3-004</vt:lpstr>
      <vt:lpstr>M3-005</vt:lpstr>
      <vt:lpstr>M3-006</vt:lpstr>
      <vt:lpstr>M3-007</vt:lpstr>
      <vt:lpstr>M3-008</vt:lpstr>
      <vt:lpstr>M3-009</vt:lpstr>
      <vt:lpstr>M3-011</vt:lpstr>
      <vt:lpstr>M3-012</vt:lpstr>
      <vt:lpstr>M3-013</vt:lpstr>
      <vt:lpstr>M3-014</vt:lpstr>
      <vt:lpstr>M3-015</vt:lpstr>
      <vt:lpstr>M3-016</vt:lpstr>
      <vt:lpstr>M3-017</vt:lpstr>
      <vt:lpstr>M3-018</vt:lpstr>
      <vt:lpstr>M3-019</vt:lpstr>
      <vt:lpstr>M3-020</vt:lpstr>
      <vt:lpstr>M3-021 </vt:lpstr>
      <vt:lpstr>M3-022 </vt:lpstr>
      <vt:lpstr>M3-023</vt:lpstr>
      <vt:lpstr>M3-024</vt:lpstr>
      <vt:lpstr>M3-027</vt:lpstr>
      <vt:lpstr>M3-028</vt:lpstr>
      <vt:lpstr>M3-029</vt:lpstr>
      <vt:lpstr>M3-030</vt:lpstr>
      <vt:lpstr>M3-031</vt:lpstr>
      <vt:lpstr>M3-032</vt:lpstr>
      <vt:lpstr>M3-033</vt:lpstr>
      <vt:lpstr>M3-034</vt:lpstr>
      <vt:lpstr>M3-025</vt:lpstr>
      <vt:lpstr>M3-026</vt:lpstr>
      <vt:lpstr>M3-035</vt:lpstr>
      <vt:lpstr>M3-036</vt:lpstr>
      <vt:lpstr>M3-037</vt:lpstr>
      <vt:lpstr>M3-044</vt:lpstr>
      <vt:lpstr>M3-038</vt:lpstr>
      <vt:lpstr>M3-039</vt:lpstr>
      <vt:lpstr>M3-040</vt:lpstr>
      <vt:lpstr>M3-041</vt:lpstr>
      <vt:lpstr>M3-042</vt:lpstr>
      <vt:lpstr>M3-043</vt:lpstr>
      <vt:lpstr>M3-047</vt:lpstr>
      <vt:lpstr>M3-048</vt:lpstr>
      <vt:lpstr>M3-049</vt:lpstr>
      <vt:lpstr>M3-050</vt:lpstr>
      <vt:lpstr>M3-051</vt:lpstr>
      <vt:lpstr>M3-052</vt:lpstr>
      <vt:lpstr>M3-053</vt:lpstr>
      <vt:lpstr>M3-045</vt:lpstr>
      <vt:lpstr>M3-046</vt:lpstr>
      <vt:lpstr>M3-054</vt:lpstr>
      <vt:lpstr>M3-055</vt:lpstr>
      <vt:lpstr>M3-056</vt:lpstr>
      <vt:lpstr>M3-057</vt:lpstr>
      <vt:lpstr>M3-058</vt:lpstr>
      <vt:lpstr>M3-059</vt:lpstr>
      <vt:lpstr>M3-060</vt:lpstr>
      <vt:lpstr>M3-075</vt:lpstr>
      <vt:lpstr>M3-061</vt:lpstr>
      <vt:lpstr>M3-106</vt:lpstr>
      <vt:lpstr>M3-062</vt:lpstr>
      <vt:lpstr>M3-063</vt:lpstr>
      <vt:lpstr>M3-064</vt:lpstr>
      <vt:lpstr>M3-065</vt:lpstr>
      <vt:lpstr>M3-066</vt:lpstr>
      <vt:lpstr>M3-067</vt:lpstr>
      <vt:lpstr>M3-068</vt:lpstr>
      <vt:lpstr>M3-070</vt:lpstr>
      <vt:lpstr>M3-071</vt:lpstr>
      <vt:lpstr>M3-072</vt:lpstr>
      <vt:lpstr>M3-074</vt:lpstr>
      <vt:lpstr>M3-076</vt:lpstr>
      <vt:lpstr>M3-078</vt:lpstr>
      <vt:lpstr>M3-107</vt:lpstr>
      <vt:lpstr>M3-079</vt:lpstr>
      <vt:lpstr>M3-080</vt:lpstr>
      <vt:lpstr>M3-081</vt:lpstr>
      <vt:lpstr>M3-082</vt:lpstr>
      <vt:lpstr>M3-083</vt:lpstr>
      <vt:lpstr>M3-084</vt:lpstr>
      <vt:lpstr>M3-085</vt:lpstr>
      <vt:lpstr>M3-087</vt:lpstr>
      <vt:lpstr>M3-108</vt:lpstr>
      <vt:lpstr>M3-088</vt:lpstr>
      <vt:lpstr>M3-089</vt:lpstr>
      <vt:lpstr>M3-092</vt:lpstr>
      <vt:lpstr>M3-093</vt:lpstr>
      <vt:lpstr>M3-094</vt:lpstr>
      <vt:lpstr>M3-091</vt:lpstr>
      <vt:lpstr>M3-095</vt:lpstr>
      <vt:lpstr>M3-096</vt:lpstr>
      <vt:lpstr>M3-097</vt:lpstr>
      <vt:lpstr>M3-098</vt:lpstr>
      <vt:lpstr>M3-099</vt:lpstr>
      <vt:lpstr>M3-100</vt:lpstr>
      <vt:lpstr>M3-090</vt:lpstr>
      <vt:lpstr>M3-101</vt:lpstr>
      <vt:lpstr>M3-103</vt:lpstr>
      <vt:lpstr>M3-104</vt:lpstr>
      <vt:lpstr>M3-105</vt:lpstr>
      <vt:lpstr>M3-102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Ganzo Romero</dc:creator>
  <cp:lastModifiedBy>Microsoft Office User</cp:lastModifiedBy>
  <dcterms:created xsi:type="dcterms:W3CDTF">2026-04-28T14:33:53Z</dcterms:created>
  <dcterms:modified xsi:type="dcterms:W3CDTF">2026-05-08T23:53:54Z</dcterms:modified>
</cp:coreProperties>
</file>
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ijosua/Downloads/"/>
    </mc:Choice>
  </mc:AlternateContent>
  <xr:revisionPtr revIDLastSave="0" documentId="13_ncr:1_{5A0957DE-5ED3-574E-AEA7-0AC0272C2E7D}" xr6:coauthVersionLast="47" xr6:coauthVersionMax="47" xr10:uidLastSave="{00000000-0000-0000-0000-000000000000}"/>
  <bookViews>
    <workbookView xWindow="23780" yWindow="600" windowWidth="32500" windowHeight="20340" activeTab="1" xr2:uid="{5CB284E5-5C1F-4D2E-9DF8-E6553F160995}"/>
  </bookViews>
  <sheets>
    <sheet name="Índice" sheetId="42" r:id="rId1"/>
    <sheet name="Índice II M1-001 a M1-043" sheetId="43" r:id="rId2"/>
    <sheet name="M1-001 - Acciones y beneficiar" sheetId="11" r:id="rId3"/>
    <sheet name="M1-002 - Acciones realizadas  1" sheetId="15" r:id="rId4"/>
    <sheet name="M1-003 - Acciones en materia  1" sheetId="16" r:id="rId5"/>
    <sheet name="M1-004 - Acciones en materia  1" sheetId="17" r:id="rId6"/>
    <sheet name="M1-005 - Acciones para verifi 1" sheetId="18" r:id="rId7"/>
    <sheet name="M1-006 - Actas emitidas por m 1" sheetId="19" r:id="rId8"/>
    <sheet name="M1-007 - Actas interestatales 1" sheetId="20" r:id="rId9"/>
    <sheet name="M1-008 - Acciones de rectific 1" sheetId="21" r:id="rId10"/>
    <sheet name="M1-009 - Actos del Registro P 1" sheetId="22" r:id="rId11"/>
    <sheet name="M1-010 - Notarías Públicas en 1" sheetId="23" r:id="rId12"/>
    <sheet name="M1-018 - Número de peticiones 1" sheetId="28" r:id="rId13"/>
    <sheet name="M1-019 - Número de peticiones 1" sheetId="29" r:id="rId14"/>
    <sheet name="M1-020 - Número de peticiones 1" sheetId="30" r:id="rId15"/>
    <sheet name="M1-021 - Número de peticiones 1" sheetId="31" r:id="rId16"/>
    <sheet name="M1-011 - Programa de niños y n" sheetId="13" r:id="rId17"/>
    <sheet name="M1-012 - Sesiones de capacitaci" sheetId="24" r:id="rId18"/>
    <sheet name="M1-014 - Recepción de declaraci" sheetId="26" r:id="rId19"/>
    <sheet name="M1-013 - Denuncias y sugerencia" sheetId="25" r:id="rId20"/>
    <sheet name="M1-015 - Procedimientos de resp" sheetId="27" r:id="rId21"/>
    <sheet name="M1-016 - Verificaciones financi" sheetId="14" r:id="rId22"/>
    <sheet name="M1-017 - Participación en los p" sheetId="12" r:id="rId23"/>
    <sheet name="M1-022 - Número de trámites yo." sheetId="44" r:id="rId24"/>
    <sheet name="M1-044 Análisis de Impacto Reg " sheetId="45" r:id="rId25"/>
    <sheet name="M1-023 - Histórico de superfici" sheetId="32" r:id="rId26"/>
    <sheet name="M1-024 - Número de asistentes a" sheetId="33" r:id="rId27"/>
    <sheet name="M1-025 - Número de comprobantes" sheetId="34" r:id="rId28"/>
    <sheet name="M1-026 - Acciones de capacitaci" sheetId="35" r:id="rId29"/>
    <sheet name="M1-027 - Acciones de capacitaci" sheetId="36" r:id="rId30"/>
    <sheet name="M1-030 - Desglose de Ingresos d" sheetId="9" r:id="rId31"/>
    <sheet name="M1-031 - Importe de las partici" sheetId="8" r:id="rId32"/>
    <sheet name="M1-032 - Desglose de Egresos de" sheetId="7" r:id="rId33"/>
    <sheet name="M1-033 - Desglose de Egresos de" sheetId="6" r:id="rId34"/>
    <sheet name="M1-034 - Desglose de Egresos po" sheetId="5" r:id="rId35"/>
    <sheet name="M1-035 - Desglose de Egresos po" sheetId="4" r:id="rId36"/>
    <sheet name="M1-036 - Informe de deuda p I" sheetId="3" r:id="rId37"/>
    <sheet name="M1-036 - Informe de deuda pú II" sheetId="37" r:id="rId38"/>
    <sheet name="M1-037 - Número de capacitacion" sheetId="38" r:id="rId39"/>
    <sheet name="M1-038 - Personas pensionadas 1" sheetId="39" r:id="rId40"/>
    <sheet name="M1-039 - Servicios y talleres 1" sheetId="40" r:id="rId41"/>
    <sheet name="M1-040 - Contrato de donación P" sheetId="2" r:id="rId42"/>
    <sheet name="M1-041 - Bienes del Patrimonio." sheetId="41" r:id="rId43"/>
    <sheet name="M1-042 - Adjudicaciones a prove" sheetId="1" r:id="rId44"/>
    <sheet name="M1-043 - Empresas participante " sheetId="10" r:id="rId4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0" i="10" l="1"/>
  <c r="E21" i="10"/>
  <c r="C9" i="1"/>
  <c r="D9" i="1"/>
  <c r="B9" i="1"/>
</calcChain>
</file>

<file path=xl/sharedStrings.xml><?xml version="1.0" encoding="utf-8"?>
<sst xmlns="http://schemas.openxmlformats.org/spreadsheetml/2006/main" count="1273" uniqueCount="786">
  <si>
    <t>TIPO DE ADJUDICACIÓN</t>
  </si>
  <si>
    <t>CONCURSOS</t>
  </si>
  <si>
    <t>PROVEEDORES PARTICIPANTES</t>
  </si>
  <si>
    <t>ADJUDICACIONES</t>
  </si>
  <si>
    <t>Licitación Pública</t>
  </si>
  <si>
    <t>Federal</t>
  </si>
  <si>
    <t>Estatal</t>
  </si>
  <si>
    <t>Estatl</t>
  </si>
  <si>
    <t>TOTAL</t>
  </si>
  <si>
    <t>Concursos por invitación a cuando menos 3 proveedores</t>
  </si>
  <si>
    <t xml:space="preserve">CONCEPTO </t>
  </si>
  <si>
    <t>CANTIDAD</t>
  </si>
  <si>
    <t>MONTO (PESOS)</t>
  </si>
  <si>
    <t>Fuente: Gobierno del Estado de Campeche. Secretaría de Administración, Finanzas y Planeación. 2026.</t>
  </si>
  <si>
    <t>CONCEPTO</t>
  </si>
  <si>
    <t>ACREEDOR</t>
  </si>
  <si>
    <t>MONTO ORIGINAL</t>
  </si>
  <si>
    <t>SALDO INSOLUTO</t>
  </si>
  <si>
    <t>FECHA DE VENCIMIENTO</t>
  </si>
  <si>
    <t>Consolidado a/</t>
  </si>
  <si>
    <t>Deuda Directa</t>
  </si>
  <si>
    <t>Poder Ejecutivo del Estado de Campeche - R28</t>
  </si>
  <si>
    <t>Deuda de los Ayuntamientos Sin Aval del Poder Ejecutivo del Estado b/</t>
  </si>
  <si>
    <t>Calkiní - IP/ILD c/</t>
  </si>
  <si>
    <t>Carmen - R28</t>
  </si>
  <si>
    <t>Banamex, S. A.</t>
  </si>
  <si>
    <t>Santander México, S. A.</t>
  </si>
  <si>
    <t>BBVA México, S. A.</t>
  </si>
  <si>
    <t>Banca Afirme, S.A.</t>
  </si>
  <si>
    <t>Banobras, S. N. C.</t>
  </si>
  <si>
    <t>25-may-34</t>
  </si>
  <si>
    <t>25-sep-34</t>
  </si>
  <si>
    <t>16-may-37</t>
  </si>
  <si>
    <t>29-ago-37</t>
  </si>
  <si>
    <t>27-mar-26</t>
  </si>
  <si>
    <t>01-abr-33</t>
  </si>
  <si>
    <t>a/ El monto consolidado corresponde a la integración de la Deuda Directa y Deuda de los Ayuntamientos Sin Aval del Poder Ejecutivo del Estado.</t>
  </si>
  <si>
    <t>b/ Información proporcionada por los entes públicos deudores.</t>
  </si>
  <si>
    <t xml:space="preserve">c/ El municipio de Calkiní está en los trámites para la inscripción de su deuda en el Registro de Empréstitos y Obligaciones del Estado.				</t>
  </si>
  <si>
    <t>Elaborado por la Secretaría de Administración, Finanzas y Planeación con información proporcionada por los entes públicos deudores, por lo que, los saldos insolutos de dichos entes, pueden presentar variaciones entre un trimestre y otro.</t>
  </si>
  <si>
    <t>RAMO</t>
  </si>
  <si>
    <t>CONCEPTO/SUBCONCEPTO</t>
  </si>
  <si>
    <t>IMPORTE (PESOS)</t>
  </si>
  <si>
    <t>Coordinación General de la Oficina de la Gobernadora del Estado</t>
  </si>
  <si>
    <t>Secretaría de Gobierno</t>
  </si>
  <si>
    <t>Secretaría de Administración y Finanzas</t>
  </si>
  <si>
    <t>Secretaría de Modernización Administrativa e Innovación Gubernamental</t>
  </si>
  <si>
    <t>Secretaría de Educación</t>
  </si>
  <si>
    <t>Secretaría de Salud</t>
  </si>
  <si>
    <t>Secretaría de Desarrollo Urbano, Movilidad y Obras Públicas</t>
  </si>
  <si>
    <t>Secretaría de Desarrollo Económico</t>
  </si>
  <si>
    <t>Secretaría de Desarrollo Agropecuario</t>
  </si>
  <si>
    <t>Secretaría de Bienestar</t>
  </si>
  <si>
    <t>Secretaría de Inclusión</t>
  </si>
  <si>
    <t>Secretaría de Medio Ambiente, Biodiversidad, Cambio Climático y Energía</t>
  </si>
  <si>
    <t>Secretaría de Turismo</t>
  </si>
  <si>
    <t>Secretaría de Protección y Seguridad Ciudadana</t>
  </si>
  <si>
    <t>Secretaría de Protección Civil</t>
  </si>
  <si>
    <t>Secretaría de la Contraloría</t>
  </si>
  <si>
    <t>Consejería Jurídica</t>
  </si>
  <si>
    <t>Fiscalía General del Estado de Campeche</t>
  </si>
  <si>
    <t>Deuda Pública</t>
  </si>
  <si>
    <t>Poder Legislativo</t>
  </si>
  <si>
    <t>Poder Judicial</t>
  </si>
  <si>
    <t>Órganos Autónomos</t>
  </si>
  <si>
    <t>Instituto Electoral del Estado de Campeche</t>
  </si>
  <si>
    <t>Comisión de Derechos Humanos del Estado de Campeche</t>
  </si>
  <si>
    <t>Comisión de Transparencia y Acceso a la Información Pública del Estado de Campeche</t>
  </si>
  <si>
    <t>Tribunal Electoral del Estado de Campeche</t>
  </si>
  <si>
    <t>Tribunal de Justicia Administrativa del Estado de Campeche</t>
  </si>
  <si>
    <t>Fiscalía Especializada en Combate a la Corrupción del Estado de Campeche</t>
  </si>
  <si>
    <t>Organismos Descentralizados</t>
  </si>
  <si>
    <t>Fideicomisos Públicos</t>
  </si>
  <si>
    <t>Participaciones y Transferencias a Municipios</t>
  </si>
  <si>
    <t>NÚMERO</t>
  </si>
  <si>
    <t>Instituto de Capacitación para el Trabajo del Estado de Campeche</t>
  </si>
  <si>
    <t>Colegio de Estudios Científicos y Tecnológicos del Estado de Campeche</t>
  </si>
  <si>
    <t>Colegio de Bachilleres del Estado de Campeche</t>
  </si>
  <si>
    <t>Colegio de Educación Profesional Técnica del Estado de Campeche</t>
  </si>
  <si>
    <t>Instituto Estatal de la Educación para los Adultos</t>
  </si>
  <si>
    <t>Instituto Tecnológico Superior de Calkiní</t>
  </si>
  <si>
    <t>Instituto Tecnológico Superior de Escárcega</t>
  </si>
  <si>
    <t>Instituto Tecnológico Superior de Champotón</t>
  </si>
  <si>
    <t>Instituto Tecnológico Superior de Hopelchén</t>
  </si>
  <si>
    <t>Universidad Tecnológica de Campeche</t>
  </si>
  <si>
    <t>Universidad Tecnológica de Candelaria</t>
  </si>
  <si>
    <t>Universidad Tecnológica de Calakmul</t>
  </si>
  <si>
    <t>Universidad Intercultural de Campeche</t>
  </si>
  <si>
    <t>Universidad Autónoma de Campeche</t>
  </si>
  <si>
    <t>Universidad Autónoma del Carmen</t>
  </si>
  <si>
    <t>Instituto Campechano</t>
  </si>
  <si>
    <t>Fundación Pablo García</t>
  </si>
  <si>
    <t>Consejo Estatal de Investigación Científica y Desarrollo Tecnológico</t>
  </si>
  <si>
    <t>Instituto de la Infraestructura Física Educativa del Estado de Campeche</t>
  </si>
  <si>
    <t>Promotora de Eventos Artísticos, Culturales y de Convenciones del Estado de Campeche</t>
  </si>
  <si>
    <t>Instituto Estatal para el Fomento de las Actividades Artesanales en Campeche</t>
  </si>
  <si>
    <t>Sistema para el Desarrollo Integral de la Familia del Estado de Campeche</t>
  </si>
  <si>
    <t>Instituto del Deporte del Estado de Campeche</t>
  </si>
  <si>
    <t>Instituto de la Mujer del Estado de Campeche</t>
  </si>
  <si>
    <t>Instituto de la Juventud del Estado de Campeche</t>
  </si>
  <si>
    <t>Hospital "Dr. Manuel Campos"</t>
  </si>
  <si>
    <t>Hospital Psiquiátrico de Campeche</t>
  </si>
  <si>
    <t>Instituto de Servicios Descentralizados de Salud Pública del Estado de Campeche</t>
  </si>
  <si>
    <t>Sistema de Atención a Niños, Niñas y Adolescentes Farmacodependientes del Estado de Campeche "Vida Nueva"</t>
  </si>
  <si>
    <t>Comisión de Agua Potable y Alcantarillado del Estado de Campeche</t>
  </si>
  <si>
    <t>Promotora para la Conservación y Desarrollo Sustentable del Estado de Campeche</t>
  </si>
  <si>
    <t>Comisión Estatal de Desarrollo de Suelo y Vivienda</t>
  </si>
  <si>
    <t>Instituto de Desarrollo y Formación Social del Estado de Campeche</t>
  </si>
  <si>
    <t>Sistema de Televisión y Radio de Campeche</t>
  </si>
  <si>
    <t>Instituto de Información Estadística, Geográfica y Catastral del Estado de Campeche</t>
  </si>
  <si>
    <t>Instituto de Seguridad y Servicios Sociales de los Trabajadores del Estado de Campeche</t>
  </si>
  <si>
    <t>Instituto de Acceso a la Justicia del Estado de Campeche</t>
  </si>
  <si>
    <t>Centro de Conciliación Laboral del Estado de Campeche</t>
  </si>
  <si>
    <t>Agencia de Energía del Estado de Campeche</t>
  </si>
  <si>
    <t>Secretaría Ejecutiva del Sistema Anticorrupción</t>
  </si>
  <si>
    <t>Instituto de Pesca y Acuacultura del Estado de Campeche</t>
  </si>
  <si>
    <t>Instituto de Cultura y Artes del Estado de Campeche</t>
  </si>
  <si>
    <t>Autoridad del Patrimonio Cultural del Estado de Campeche</t>
  </si>
  <si>
    <t>Agencia Reguladora del Transporte del Estado de Campeche</t>
  </si>
  <si>
    <t>Organismo Liquidador del Régimen Estatal de Protección Social en Salud en Campeche</t>
  </si>
  <si>
    <t>Gasto programable</t>
  </si>
  <si>
    <t>1 Gobierno Honesto y Transparente</t>
  </si>
  <si>
    <t>2 Paz y Seguridad Ciudadana</t>
  </si>
  <si>
    <t>3 Inclusión, Bienestar y Justicia Social</t>
  </si>
  <si>
    <t>4 Desarrollo Económico con Visión al Futuro</t>
  </si>
  <si>
    <t>5 Un Estado Naturalmente Sostenible</t>
  </si>
  <si>
    <t>Gasto no programable</t>
  </si>
  <si>
    <t>Desarrollo Municipal</t>
  </si>
  <si>
    <t>Costo Financiero de la Deuda</t>
  </si>
  <si>
    <t>Gasto no etiquetado</t>
  </si>
  <si>
    <t>Gasto de funcionamiento</t>
  </si>
  <si>
    <t>Servicios personales</t>
  </si>
  <si>
    <t>Materiales y suministros</t>
  </si>
  <si>
    <t>Servicios generales</t>
  </si>
  <si>
    <t>Transferencias, asignaciones, subsidios y otras ayudas</t>
  </si>
  <si>
    <t>Bienes muebles, inmuebles e intangibles</t>
  </si>
  <si>
    <t>Inversión pública</t>
  </si>
  <si>
    <t>Inversiones financieras y otras provisiones</t>
  </si>
  <si>
    <t>Participaciones  y aportaciones</t>
  </si>
  <si>
    <t>Deuda pública</t>
  </si>
  <si>
    <t>Gasto etiquetado</t>
  </si>
  <si>
    <t>Fondo de Aportaciones para la Nómina Educativa y Gasto Operativo (FONE)</t>
  </si>
  <si>
    <t>Fondo de Aportaciones para los Servicios de Salud (FASSA)</t>
  </si>
  <si>
    <t>Fondo de Aportaciones para la Infraestructura Social (FAIS)</t>
  </si>
  <si>
    <t>Fondo de Aportaciones para el Fortalecimiento de los Municipios y de las Demarcaciones Territoriales del Distrito Federal (FORTAMUN)</t>
  </si>
  <si>
    <t>Fondo de Aportaciones Múltiples (FAM)</t>
  </si>
  <si>
    <t>Fondo de Aportaciones para la Educación Tecnológica y de Adultos (FAETA)</t>
  </si>
  <si>
    <t>Fondo de Aportaciones para la Seguridad Pública de los Estados y del Distrito Federal (FASP)</t>
  </si>
  <si>
    <t>Fondo de Aportaciones para el Fortalecimiento de las Entidades Federativas (FAFEF)</t>
  </si>
  <si>
    <t>Fondo para Entidades Federativas y Municipios Productores de Hidrocarburos</t>
  </si>
  <si>
    <t>Diversos Convenios Federales</t>
  </si>
  <si>
    <t>Adjudicaciones a proveedores de bienes muebles y prestadores de servicios por tipo de adjudicación, julio 2025 a junio 2026.</t>
  </si>
  <si>
    <t>Contrato de donación PEMEX-Poder Ejecutivo del Estado de Campeche por concepto, julio 2025 a junio 2026.</t>
  </si>
  <si>
    <t xml:space="preserve">TOTAL </t>
  </si>
  <si>
    <t>MUNICIPIO</t>
  </si>
  <si>
    <t>Desglose de Ingresos del Poder Ejecutivo del Estado de Campeche por concepto, julio 2025 a junio 2026.</t>
  </si>
  <si>
    <t>Importe de las participaciones, aportaciones y convenios por municipio, julio 2025 a junio 2026.</t>
  </si>
  <si>
    <t>SUBCONCEPTO</t>
  </si>
  <si>
    <t>Impuestos</t>
  </si>
  <si>
    <t>Impuestos sobre los Ingresos</t>
  </si>
  <si>
    <t xml:space="preserve">Al Comercio de Libros, Periódicos y Revistas
</t>
  </si>
  <si>
    <t>Sobre Servicios de Hospedaje</t>
  </si>
  <si>
    <t xml:space="preserve">Sobre Loterías, Rifas, Sorteos, Concursos y Juegos con Cruce de Apuestas Legalmente Permitidos
</t>
  </si>
  <si>
    <t xml:space="preserve">Impuestos Sobre la Producción, el Consumo y las Transacciones
</t>
  </si>
  <si>
    <t xml:space="preserve">Sobre la Extracción de Materiales del Suelo y Subsuelo
</t>
  </si>
  <si>
    <t xml:space="preserve">Estatal a la Venta Final de Bebidas con Contenido Alcohólico
</t>
  </si>
  <si>
    <t xml:space="preserve">A las Erogaciones en Juegos y Concursos
</t>
  </si>
  <si>
    <t xml:space="preserve">Impuestos Sobre Nóminas y Asimilables
</t>
  </si>
  <si>
    <t xml:space="preserve">Sobre Nóminas
</t>
  </si>
  <si>
    <t xml:space="preserve">Accesorios de Impuestos
</t>
  </si>
  <si>
    <t xml:space="preserve">Otros Impuestos
</t>
  </si>
  <si>
    <t xml:space="preserve">Adicional para la Preservación del Patrimonio Cultural, Infraestructura y Deporte
</t>
  </si>
  <si>
    <t xml:space="preserve">Derechos
</t>
  </si>
  <si>
    <t xml:space="preserve">Derechos por el Uso, Goce, Aprovechamiento o Explotación de Bienes de Dominio Público
</t>
  </si>
  <si>
    <t xml:space="preserve">Por el Uso o Aprovechamiento de Bienes Propiedad del Estado o de Bienes Concesionados al Estado
</t>
  </si>
  <si>
    <t xml:space="preserve">Derechos por Prestación de Servicios
</t>
  </si>
  <si>
    <t xml:space="preserve">Por Servicios Prestados por las Autoridades del Registro Civil
</t>
  </si>
  <si>
    <t xml:space="preserve">Por Servicios Prestados por las Autoridades del Registro Público de la Propiedad y de Comercio
</t>
  </si>
  <si>
    <t xml:space="preserve">Por Certificaciones y Copias Certificadas
</t>
  </si>
  <si>
    <t xml:space="preserve">Por Notariado y Archivos de Instrumentos Públicos Notariales
</t>
  </si>
  <si>
    <t>Por Servicios Prestados por el Poder Judicial del Estado de Campeche, las Autoridades de las Secretarías de la Administración Pública Estatal y sus Órganos Administrativos Desconcentrados</t>
  </si>
  <si>
    <t xml:space="preserve">Por Registro de Vehículos Extranjeros y Consultas Vehiculares
</t>
  </si>
  <si>
    <t xml:space="preserve">Expedición y Revalidación de Licencias y Permisos en Materia de Bebidas Alcohólicas
</t>
  </si>
  <si>
    <t>Por los Servicios de Salud Prestados por Instituciones de Salud Pública en el Estado</t>
  </si>
  <si>
    <t>De los Servicios Prestados por la Secretaría de Educación en el Estado</t>
  </si>
  <si>
    <t xml:space="preserve">De los Servicios Prestados por el Periódico Oficial del Estado
</t>
  </si>
  <si>
    <t xml:space="preserve">Accesorios de Derechos
</t>
  </si>
  <si>
    <t xml:space="preserve">Productos
</t>
  </si>
  <si>
    <t>Productos</t>
  </si>
  <si>
    <t xml:space="preserve">Otros Productos
</t>
  </si>
  <si>
    <t>Enajenación de Bienes Muebles e Inmuebles del Poder Ejecutivo</t>
  </si>
  <si>
    <t xml:space="preserve">Aprovechamientos
</t>
  </si>
  <si>
    <t xml:space="preserve">Multas
</t>
  </si>
  <si>
    <t xml:space="preserve">Indemnizaciones
</t>
  </si>
  <si>
    <t xml:space="preserve">Reintegros.- Remanentes de los Recursos del FAM
</t>
  </si>
  <si>
    <t>Aprovechamientos Provenientes de Obras Públicas</t>
  </si>
  <si>
    <t>Otros Aprovechamientos</t>
  </si>
  <si>
    <t>Accesorios de Aprovechamientos</t>
  </si>
  <si>
    <t xml:space="preserve">Participaciones
</t>
  </si>
  <si>
    <t xml:space="preserve">Fondo General de Participaciones
</t>
  </si>
  <si>
    <t xml:space="preserve">Fondo de Fomento Municipal
</t>
  </si>
  <si>
    <t xml:space="preserve">Fondo de Fiscalización y Recaudación
</t>
  </si>
  <si>
    <t>Fondo de Extracción de Hidrocarburos</t>
  </si>
  <si>
    <t xml:space="preserve">Impuesto Especial  Sobre Producción y Servicios
</t>
  </si>
  <si>
    <t xml:space="preserve">Cuotas Especiales de IEPS a las Gasolinas y Diésel
</t>
  </si>
  <si>
    <t xml:space="preserve">Fondo del Impuesto Sobre la Renta
</t>
  </si>
  <si>
    <t xml:space="preserve">Fondo de Estabilización de los Ingresos de las Entidades Federativas
</t>
  </si>
  <si>
    <t xml:space="preserve">Aportaciones
</t>
  </si>
  <si>
    <t xml:space="preserve">Nómina Educativa y Gasto Operativo
</t>
  </si>
  <si>
    <t xml:space="preserve">Servicios de Salud
</t>
  </si>
  <si>
    <t xml:space="preserve">Infraestructura Social
</t>
  </si>
  <si>
    <t xml:space="preserve">Fortalecimiento de los Municipios y de las Demarcaciones Territoriales del Distrito Federal
</t>
  </si>
  <si>
    <t xml:space="preserve">Aportaciones Múltiples
</t>
  </si>
  <si>
    <t>Educación Tecnológica y de Adultos</t>
  </si>
  <si>
    <t xml:space="preserve">Seguridad Pública de los Estados y del Distrito Federal
</t>
  </si>
  <si>
    <t>Fortalecimiento de las Entidades Federativas</t>
  </si>
  <si>
    <t xml:space="preserve">Convenios
</t>
  </si>
  <si>
    <t xml:space="preserve">De Aportación Federal para la Entidad Federativa
</t>
  </si>
  <si>
    <t xml:space="preserve">Convenios de Descentralización
</t>
  </si>
  <si>
    <t xml:space="preserve">Otros Convenios y Subsidios
</t>
  </si>
  <si>
    <t xml:space="preserve">De Aportación Municipal para la Entidad Federativa
</t>
  </si>
  <si>
    <t xml:space="preserve">Incentivos Derivados de la Colaboración Fiscal
</t>
  </si>
  <si>
    <t xml:space="preserve">Incentivos Derivados de la Colaboración Fiscal del Estado
</t>
  </si>
  <si>
    <t xml:space="preserve">Fondos Distintos de Aportaciones
</t>
  </si>
  <si>
    <t xml:space="preserve">Fondo para Entidades Federativas y Municipios Productores de Hidrocarburos
</t>
  </si>
  <si>
    <t xml:space="preserve">TOTAL DE INGRESOS DE FUENTES LOCALES </t>
  </si>
  <si>
    <t xml:space="preserve">TOTAL DE INGRESOS FEDERALES </t>
  </si>
  <si>
    <t>TOTAL DE INGRESOS</t>
  </si>
  <si>
    <t>EMPRESAS</t>
  </si>
  <si>
    <t>CANTIDAD DE PROVEEDORES</t>
  </si>
  <si>
    <t>PORCENTAJE DE PROVEEDORES</t>
  </si>
  <si>
    <t>Locales</t>
  </si>
  <si>
    <t>Campeche</t>
  </si>
  <si>
    <t>Nacionales</t>
  </si>
  <si>
    <t>Baja California</t>
  </si>
  <si>
    <t>Ciudad de México</t>
  </si>
  <si>
    <t>Estado de México</t>
  </si>
  <si>
    <t>Jalisco</t>
  </si>
  <si>
    <t>Nuevo León</t>
  </si>
  <si>
    <t>Puebla</t>
  </si>
  <si>
    <t>Quintana Roo</t>
  </si>
  <si>
    <t>San Luis Potosí</t>
  </si>
  <si>
    <t>Sinaloa</t>
  </si>
  <si>
    <t>Tabasco</t>
  </si>
  <si>
    <t>Yucatán</t>
  </si>
  <si>
    <t>MODALIDAD</t>
  </si>
  <si>
    <t>CONCESIONES</t>
  </si>
  <si>
    <t>PERMISOS</t>
  </si>
  <si>
    <t>UNIDADES</t>
  </si>
  <si>
    <t>BRT</t>
  </si>
  <si>
    <t>DRT</t>
  </si>
  <si>
    <t>AUTOBUSES</t>
  </si>
  <si>
    <t>TAXI</t>
  </si>
  <si>
    <t>COLECTIVAS</t>
  </si>
  <si>
    <t>MOTOTAXIS</t>
  </si>
  <si>
    <t>VOLQUETES</t>
  </si>
  <si>
    <t>GRÚAS</t>
  </si>
  <si>
    <t>Fuente: Gobierno del Estado de Campeche. Secretaría de Gobierno. Agencia Reguladora del Transporte del Estado de Campeche. 2026.</t>
  </si>
  <si>
    <t xml:space="preserve">TARJETONES </t>
  </si>
  <si>
    <t>CONDUCTOR CERTIFICADO (NUEVO INGRESO)</t>
  </si>
  <si>
    <t>CONDUCTOR CERTIFICADO (RENOVACIÓN)</t>
  </si>
  <si>
    <t>CONDUCTOR CERTIFICADO (RESELLO)</t>
  </si>
  <si>
    <t>BENEFICIARIOS</t>
  </si>
  <si>
    <t>TARJETONES</t>
  </si>
  <si>
    <t>PRÓRROGA DE CONCESIONES</t>
  </si>
  <si>
    <t>Participación en los procesos de adjudicación, según tipo de adjudicación, 2025.</t>
  </si>
  <si>
    <t>TIPO</t>
  </si>
  <si>
    <t>MONTO ADJUDICADO  (PESOS)</t>
  </si>
  <si>
    <t>Obra Pública</t>
  </si>
  <si>
    <t>Adquisiciones</t>
  </si>
  <si>
    <t>Servicios</t>
  </si>
  <si>
    <t xml:space="preserve">LICITACIÓN PÚBLICA </t>
  </si>
  <si>
    <t>NÚMERO DE CONCURSOS</t>
  </si>
  <si>
    <t xml:space="preserve">INVITACIÓN A CUANDO MENOS 3 PROVEEDORES </t>
  </si>
  <si>
    <t>MONTO ADJUDICADO (PESOS)</t>
  </si>
  <si>
    <t>Programa de niños y niñas "Jaguarcitos de la Honestidad" por categoría, 2025.</t>
  </si>
  <si>
    <t>CATEGORÍA</t>
  </si>
  <si>
    <t>Preescolar</t>
  </si>
  <si>
    <t>Primaria</t>
  </si>
  <si>
    <t>Centros comunitarios</t>
  </si>
  <si>
    <t>PARTICIPANTES</t>
  </si>
  <si>
    <t>NIÑAS</t>
  </si>
  <si>
    <t>NIÑOS</t>
  </si>
  <si>
    <t>Verificaciones financieras realizadas por los Órganos Internos de Control (OIC) por actividad, 2025.</t>
  </si>
  <si>
    <t>ACTIVIDAD</t>
  </si>
  <si>
    <t>VERIFICACIONES</t>
  </si>
  <si>
    <t>Adquisición de bienes muebles (capítulo 5000)</t>
  </si>
  <si>
    <t>Análisis de contratos, acuerdos o convenios</t>
  </si>
  <si>
    <t>Arqueos de caja o fondos fijos</t>
  </si>
  <si>
    <t>Cuentas por cobrar-deudores diversos</t>
  </si>
  <si>
    <t>Cuentas por pagar y seguimiento de pasivos</t>
  </si>
  <si>
    <t>Gasto corriente (capítulo 2000 al 4000)</t>
  </si>
  <si>
    <t xml:space="preserve">Ingresos de gestión </t>
  </si>
  <si>
    <t xml:space="preserve">Programas estatales </t>
  </si>
  <si>
    <t>Programas federales</t>
  </si>
  <si>
    <t>Acciones realizadas de conciliación laboral, por tipo de acción según sede, 2025.</t>
  </si>
  <si>
    <t>ACCIONES</t>
  </si>
  <si>
    <t>SEDE CAMPECHE</t>
  </si>
  <si>
    <t>SEDE CARMEN</t>
  </si>
  <si>
    <t>Asesorías brindadas</t>
  </si>
  <si>
    <t>Solicitudes presentadas</t>
  </si>
  <si>
    <t>Solicitudes admitidas</t>
  </si>
  <si>
    <t>Incompetencias</t>
  </si>
  <si>
    <t>Asuntos archivados por falta de interés</t>
  </si>
  <si>
    <t>Convenios de conciliación</t>
  </si>
  <si>
    <t>Constancias de no conciliación</t>
  </si>
  <si>
    <t>Fuente: Gobierno del Estado de Campeche. Secretaría de Gobierno. Centro de Conciliación Laboral del Estado de Campeche. 2026.</t>
  </si>
  <si>
    <t>Acciones en materia de defensa laboral por tipo de acción, 2025.</t>
  </si>
  <si>
    <t xml:space="preserve">Acompañamientos </t>
  </si>
  <si>
    <t xml:space="preserve">Conciliaciones </t>
  </si>
  <si>
    <t>Demandas</t>
  </si>
  <si>
    <t>Laudos</t>
  </si>
  <si>
    <t>Fuente: Gobierno del Estado de Campeche. Secretaría de Gobierno. 2026.</t>
  </si>
  <si>
    <t>Acciones en materia de justicia laboral por organismo, 2025.</t>
  </si>
  <si>
    <t>ORGANISMO</t>
  </si>
  <si>
    <t>Junta Local de Conciliación y Arbitraje y Juntas Especiales</t>
  </si>
  <si>
    <t>Audiencias Celebradas</t>
  </si>
  <si>
    <t>Convenios</t>
  </si>
  <si>
    <t>Juicios Concluidos</t>
  </si>
  <si>
    <t xml:space="preserve">Notificaciones </t>
  </si>
  <si>
    <t>Tribunal Burocrático de Conciliación y Arbitraje</t>
  </si>
  <si>
    <t xml:space="preserve">Audiencias Celebradas  </t>
  </si>
  <si>
    <t xml:space="preserve">Convenios </t>
  </si>
  <si>
    <t xml:space="preserve">Fuente: Gobierno del Estado de Campeche. Secretaría de Gobierno. 2026.		</t>
  </si>
  <si>
    <t>Acciones para verificar las condiciones laborales por tipo de acción, 2025.</t>
  </si>
  <si>
    <t xml:space="preserve">Asesorías </t>
  </si>
  <si>
    <t xml:space="preserve">Inspecciones </t>
  </si>
  <si>
    <t xml:space="preserve">Trabajadores beneficiados </t>
  </si>
  <si>
    <t>Actas emitidas por municipio según estado civil, 2025.</t>
  </si>
  <si>
    <t>CAMPECHE</t>
  </si>
  <si>
    <t>CARMEN</t>
  </si>
  <si>
    <t>NACIMIENTO</t>
  </si>
  <si>
    <t>MATRIMONIO</t>
  </si>
  <si>
    <t>DIVORCIO</t>
  </si>
  <si>
    <t>DEFUNCIÓN</t>
  </si>
  <si>
    <t>ESTADO</t>
  </si>
  <si>
    <t>Actas interestatales emitidas por entidad federativa, 2022-2025.</t>
  </si>
  <si>
    <t>ENTIDAD FEDERATIVA</t>
  </si>
  <si>
    <t>NACIONAL</t>
  </si>
  <si>
    <t>Acciones de rectificación y digitalización de actas, 2022-2025.</t>
  </si>
  <si>
    <t>AÑO</t>
  </si>
  <si>
    <t>01</t>
  </si>
  <si>
    <t>02</t>
  </si>
  <si>
    <t>03</t>
  </si>
  <si>
    <t>04</t>
  </si>
  <si>
    <t>05</t>
  </si>
  <si>
    <t>06</t>
  </si>
  <si>
    <t>07</t>
  </si>
  <si>
    <t>08</t>
  </si>
  <si>
    <t>09</t>
  </si>
  <si>
    <t>10</t>
  </si>
  <si>
    <t>11</t>
  </si>
  <si>
    <t>12</t>
  </si>
  <si>
    <t>13</t>
  </si>
  <si>
    <t>14</t>
  </si>
  <si>
    <t>15</t>
  </si>
  <si>
    <t>16</t>
  </si>
  <si>
    <t>17</t>
  </si>
  <si>
    <t>18</t>
  </si>
  <si>
    <t>20</t>
  </si>
  <si>
    <t>21</t>
  </si>
  <si>
    <t>22</t>
  </si>
  <si>
    <t>23</t>
  </si>
  <si>
    <t>24</t>
  </si>
  <si>
    <t>25</t>
  </si>
  <si>
    <t>26</t>
  </si>
  <si>
    <t>19</t>
  </si>
  <si>
    <t>27</t>
  </si>
  <si>
    <t>28</t>
  </si>
  <si>
    <t>29</t>
  </si>
  <si>
    <t>30</t>
  </si>
  <si>
    <t>31</t>
  </si>
  <si>
    <t>32</t>
  </si>
  <si>
    <t>33</t>
  </si>
  <si>
    <t>34</t>
  </si>
  <si>
    <t>35</t>
  </si>
  <si>
    <t>36</t>
  </si>
  <si>
    <t>37</t>
  </si>
  <si>
    <t>38</t>
  </si>
  <si>
    <t>39</t>
  </si>
  <si>
    <t>40</t>
  </si>
  <si>
    <t>41</t>
  </si>
  <si>
    <t>42</t>
  </si>
  <si>
    <t>43</t>
  </si>
  <si>
    <t>44</t>
  </si>
  <si>
    <t>45</t>
  </si>
  <si>
    <t>Actos del Registro Público de la Propiedad y de Comercio por tipo de actos, 2025.</t>
  </si>
  <si>
    <t>ACTOS</t>
  </si>
  <si>
    <t>Avisos de Testamento</t>
  </si>
  <si>
    <t xml:space="preserve">Propiedades
</t>
  </si>
  <si>
    <t xml:space="preserve">Comercio por ventanilla
</t>
  </si>
  <si>
    <t>Comercio por Internet</t>
  </si>
  <si>
    <t xml:space="preserve">Sociedades Civiles
</t>
  </si>
  <si>
    <t>Libertad de gravamen</t>
  </si>
  <si>
    <t>Comercio</t>
  </si>
  <si>
    <t>Propiedades</t>
  </si>
  <si>
    <t>Testamentos</t>
  </si>
  <si>
    <t>OFICINAS REGISTRALES</t>
  </si>
  <si>
    <t>ESCÁRCEGA</t>
  </si>
  <si>
    <t>INSCRIPCIÓN</t>
  </si>
  <si>
    <t xml:space="preserve">CERTIFICACIÓN
</t>
  </si>
  <si>
    <t>BÚSQUEDAS</t>
  </si>
  <si>
    <t>Notarías Públicas en funciones por distrito judicial, 2022-2025.</t>
  </si>
  <si>
    <t>DISTRITO JUDICIAL</t>
  </si>
  <si>
    <t>Primer Distrito</t>
  </si>
  <si>
    <t>Segundo Distrito</t>
  </si>
  <si>
    <t>Tercer Distrito</t>
  </si>
  <si>
    <t>Cuarto Distrito</t>
  </si>
  <si>
    <t>Quinto Distrito</t>
  </si>
  <si>
    <t xml:space="preserve">NOTARÍAS </t>
  </si>
  <si>
    <t>Champotón</t>
  </si>
  <si>
    <t>Hopelchén</t>
  </si>
  <si>
    <t>Seybaplaya</t>
  </si>
  <si>
    <t>Carmen</t>
  </si>
  <si>
    <t>Calakmul</t>
  </si>
  <si>
    <t>Candelaria</t>
  </si>
  <si>
    <t>Escárcega</t>
  </si>
  <si>
    <t>Calkiní</t>
  </si>
  <si>
    <t>Dzitbalché</t>
  </si>
  <si>
    <t>Hecelchakán</t>
  </si>
  <si>
    <t>Tenabo</t>
  </si>
  <si>
    <t>Palizada</t>
  </si>
  <si>
    <t>Sesiones de capacitación a personas públicas por temas, 2025.</t>
  </si>
  <si>
    <t>TEMAS</t>
  </si>
  <si>
    <t>SESIONES</t>
  </si>
  <si>
    <t>MUJERES</t>
  </si>
  <si>
    <t>HOMBRES</t>
  </si>
  <si>
    <t>El Código de Ética de la Administración Pública del Estado de Campeche</t>
  </si>
  <si>
    <t>Denuncias ante el Comité de Ética</t>
  </si>
  <si>
    <t>El Código de Ética como instrumento contra la corrupción y de mejora en el servicio de atención al público</t>
  </si>
  <si>
    <t>Funcionamiento del Comité de Ética</t>
  </si>
  <si>
    <t>Denuncias y sugerencias por medios de recepción, 2025.</t>
  </si>
  <si>
    <t>MEDIOS DE RECEPCIÓN</t>
  </si>
  <si>
    <t>RECIBIDAS</t>
  </si>
  <si>
    <t>RESUELTAS</t>
  </si>
  <si>
    <t>EN PROCESO</t>
  </si>
  <si>
    <t>Oficina de la Titular de la Secretaría</t>
  </si>
  <si>
    <t>Dirección General de Investigación Administrativa</t>
  </si>
  <si>
    <t>Correo Electrónico</t>
  </si>
  <si>
    <t>Secretaría Anticorrupción y Buen Gobierno Federal</t>
  </si>
  <si>
    <t>Sistema de Denuncias del Estado de Campeche</t>
  </si>
  <si>
    <t>Buzones</t>
  </si>
  <si>
    <t>Teléfono</t>
  </si>
  <si>
    <t>Nota: Las denuncias en proceso incluye años anteriores.</t>
  </si>
  <si>
    <t>Recepción de declaraciones de situación patrimonial y de intereses, 2020-2025.</t>
  </si>
  <si>
    <t>INICIO</t>
  </si>
  <si>
    <t>CONCLUSIÓN</t>
  </si>
  <si>
    <t>MODIFICACIÓN</t>
  </si>
  <si>
    <t>Procedimientos de responsabilidad administrativa y sanciones según tipo de sanción, 2022-2025.</t>
  </si>
  <si>
    <t>CONCLUIDOS</t>
  </si>
  <si>
    <t xml:space="preserve"> TIPO DE SANCIÓN</t>
  </si>
  <si>
    <t>AMONESTACIÓN</t>
  </si>
  <si>
    <t>SUSPENSIÓN TEMPORAL DEL CARGO</t>
  </si>
  <si>
    <t>INHABILITACIÓN</t>
  </si>
  <si>
    <t>Número de peticiones canalizadas a los distintos niveles y poderes en el Estado por organismo público, 2025.</t>
  </si>
  <si>
    <t>PODER Y/U ORGANISMO</t>
  </si>
  <si>
    <t>PETICIONES</t>
  </si>
  <si>
    <t>Administración Pública Federal</t>
  </si>
  <si>
    <t>Gobiernos Municipales</t>
  </si>
  <si>
    <t>Poder Ejecutivo del Estado de Campeche</t>
  </si>
  <si>
    <t>Poder Judicial del Estado de Campeche</t>
  </si>
  <si>
    <t>Poder Legislativo del Estado de Campeche</t>
  </si>
  <si>
    <t>Sector Privado</t>
  </si>
  <si>
    <t>Número de peticiones recibidas por municipio, 2025.</t>
  </si>
  <si>
    <t>ATENDIDAS</t>
  </si>
  <si>
    <t>Fuente: Gobierno del Estado de Campeche. Coordinación General de la Oficina de la Gobernadora. 2026.</t>
  </si>
  <si>
    <t>Número de peticiones recibidas por tema, 2025.</t>
  </si>
  <si>
    <t>TEMA</t>
  </si>
  <si>
    <t>Apoyos a la Producción</t>
  </si>
  <si>
    <t>Asistencia Social</t>
  </si>
  <si>
    <t>Becas</t>
  </si>
  <si>
    <t>Empleo y Previsión Social</t>
  </si>
  <si>
    <t>Financiamiento</t>
  </si>
  <si>
    <t>Gobierno y Administración</t>
  </si>
  <si>
    <t>Infraestructura para el Desarrollo</t>
  </si>
  <si>
    <t>Procuración en Impartición de Justicia</t>
  </si>
  <si>
    <t>Vivienda</t>
  </si>
  <si>
    <t>Nota: Los procedimientos en proceso incluyen años anteriores.</t>
  </si>
  <si>
    <t>Número de peticiones, por organismo público según estatus, 2025.</t>
  </si>
  <si>
    <t>PODER EJECUTIVO DEL ESTADO DE CAMPECHE</t>
  </si>
  <si>
    <t>SOLICITUDES</t>
  </si>
  <si>
    <t>Dependencias</t>
  </si>
  <si>
    <t>Secretarías</t>
  </si>
  <si>
    <t>Descentralizados</t>
  </si>
  <si>
    <t>Desconcentrados</t>
  </si>
  <si>
    <t>Empresa de Participación Estatal Mayoritaria</t>
  </si>
  <si>
    <t>Fideicomiso Público</t>
  </si>
  <si>
    <t>Organismo Autónomo</t>
  </si>
  <si>
    <t>Histórico de superficie cubierta con fotografías aéreas del territorio por año, 2021-2025.</t>
  </si>
  <si>
    <t>SUPERFICIE (HA)</t>
  </si>
  <si>
    <t>Fuente: Gobierno del Estado de Campeche. Secretaría de Administración, Finanzas y Planeación. Instituto de Información Estadística, Geográfica y Catastral del Estado de Campeche. 2026.</t>
  </si>
  <si>
    <t>Número de asistentes a las capacitaciones para la Gestión Catastral por tema, 2025.</t>
  </si>
  <si>
    <t xml:space="preserve">ASISTENTES </t>
  </si>
  <si>
    <t>MUNICIPIOS ATENDIDOS</t>
  </si>
  <si>
    <t>Módulo de reportes, corte fiscal y estadística</t>
  </si>
  <si>
    <t xml:space="preserve">Procedimientos catastrales </t>
  </si>
  <si>
    <t>Edición de cartografía</t>
  </si>
  <si>
    <t>Módulo de administración y trámites</t>
  </si>
  <si>
    <t>Curso II básico para operadores catastrales</t>
  </si>
  <si>
    <t>Curso III intermedio para operadores catastrales</t>
  </si>
  <si>
    <t>Edición de capas temáticas</t>
  </si>
  <si>
    <t>Procedimiento para clasificación Información de manzanas, sectores, vialidades y
asentamientos</t>
  </si>
  <si>
    <t>Curso I básico para operadores de nuevo ingreso</t>
  </si>
  <si>
    <t xml:space="preserve">Curso I básico para operadores de juntas municipales y de nuevo ingreso </t>
  </si>
  <si>
    <t xml:space="preserve">Proyectos inmobiliarios omisos y módulo de condominios </t>
  </si>
  <si>
    <t xml:space="preserve">Alta de proyectos inmobiliarios </t>
  </si>
  <si>
    <t>Curso II y III intermedio para operadores catastrales</t>
  </si>
  <si>
    <t>Fuente: Gobierno del Estado de Campeche. Instituto de Información Estadística, Geográfica y Catastral del Estado de Campeche. 2026.</t>
  </si>
  <si>
    <t>Nota: Son capacitaciones a operadores catastrales de los 13 municipios para la operación de Sistema de Gestión Catastral (SGC).</t>
  </si>
  <si>
    <t>Número de comprobantes domiciliarios catastrales generados por municipio, 2022-2025.</t>
  </si>
  <si>
    <t>MUNICIPIOS</t>
  </si>
  <si>
    <t>Acciones de capacitación de fortalecimiento institucional por municipio según tipo de capacitación, 2025.</t>
  </si>
  <si>
    <t>Fuente: Gobierno del Estado de Campeche. Secretaría de Anticorrupción y Buen Gobierno. Instituto de Desarrollo y Formación Social. 2026.</t>
  </si>
  <si>
    <t>CURSOS Y/ O TALLERES</t>
  </si>
  <si>
    <t>ASISTENTES</t>
  </si>
  <si>
    <t>ASESORÍA TÉCNICA</t>
  </si>
  <si>
    <t>CURSOS Y/O TALLERES</t>
  </si>
  <si>
    <t xml:space="preserve">CAPACITACIÓN A MUNICIPIOS PARA LA IMPLEMENTACIÓN DE LA GUÍA CONSULTIVA DE DESEMPEÑO MUNICIPAL </t>
  </si>
  <si>
    <t>SUPERVISIÓN A LOS GOBIERNOS MUNICIPALES</t>
  </si>
  <si>
    <t xml:space="preserve">CAPACITACIÓN A PERSONAS SERVIDORAS PÚBLICAS MUNICIPALES PARA FORTALECER EL DESARROLLO INSTITUCIONAL </t>
  </si>
  <si>
    <t>Acciones de capacitación de desarrollo humano y comunitario por municipio, 2025.</t>
  </si>
  <si>
    <t>Informe de deuda pública del Estado de Campeche por concepto, 2025.(2)</t>
  </si>
  <si>
    <t>Créditos respaldados con Bonos Cupón Cero d/</t>
  </si>
  <si>
    <t>d/ Fondo de Reconstrucción (FONREC) y Programa de Financiamiento para la Infraestructura y Seguridad de los Estados (PROFISE), Bonos cupón cero adquiridos por el Gobierno Federal quien paga por cuenta y orden del Estado todo el capital de los créditos adquiridos, el Estado sólo pagará los intereses, por lo cual, no se considera en el Consolidado.</t>
  </si>
  <si>
    <t>Poder Ejecutivo del Estado de Campeche - FONREC - 10549</t>
  </si>
  <si>
    <t>07-jun-32</t>
  </si>
  <si>
    <t>Poder Ejecutivo del Estado de Campeche - PROFISE - 14505</t>
  </si>
  <si>
    <t>22-oct-32</t>
  </si>
  <si>
    <t>Poder Ejecutivo del Estado de Campeche - FONREC - 16868</t>
  </si>
  <si>
    <t>17-jun-33</t>
  </si>
  <si>
    <t>Poder Ejecutivo del Estado de Campeche - FONREC - 14504</t>
  </si>
  <si>
    <t>19-jul-33</t>
  </si>
  <si>
    <t>Poder Ejecutivo del Estado de Campeche - FONREC - 23328</t>
  </si>
  <si>
    <t>17-oct-34</t>
  </si>
  <si>
    <t>Número de capacitaciones impartidas a las personas servidoras públicas por temática, 2025.</t>
  </si>
  <si>
    <t>TEMÁTICA</t>
  </si>
  <si>
    <t>CAPACITACIONES</t>
  </si>
  <si>
    <t xml:space="preserve">PERSONAS SERVIDORAS PÚBLICAS </t>
  </si>
  <si>
    <t>Específicos</t>
  </si>
  <si>
    <t>Administrativos</t>
  </si>
  <si>
    <t>Equidad de Género y Derechos Humanos</t>
  </si>
  <si>
    <t xml:space="preserve">Desarrollo Humano
</t>
  </si>
  <si>
    <t xml:space="preserve">Presupuesto Basado en Resultados
</t>
  </si>
  <si>
    <t xml:space="preserve">Ética y Administración Pública
</t>
  </si>
  <si>
    <t xml:space="preserve">Idioma
</t>
  </si>
  <si>
    <t xml:space="preserve">Informáticos
</t>
  </si>
  <si>
    <t>Personas pensionadas por tipo de pensión, 2025.</t>
  </si>
  <si>
    <t>NÚMERO DE PERSONAS PENSIONADAS</t>
  </si>
  <si>
    <t>Inhabilitación</t>
  </si>
  <si>
    <t>Necesarias y voluntarias</t>
  </si>
  <si>
    <t xml:space="preserve">Dependencia económica
</t>
  </si>
  <si>
    <t>Fuente: Gobierno de Estado de Campeche. Secretaría de Administración, Finanzas y Planeación. Instituto de Seguridad y Servicios Sociales de los Trabajadores del Estado de Campeche. 2026.</t>
  </si>
  <si>
    <t>Servicios y talleres ofrecidos a personas jubiladas y pensionadas, 2025.</t>
  </si>
  <si>
    <t>Servicios del área de la salud y cuidado personal</t>
  </si>
  <si>
    <t>Talleres académicos</t>
  </si>
  <si>
    <t>Talleres artísticos</t>
  </si>
  <si>
    <t>Talleres manuales</t>
  </si>
  <si>
    <t>Talleres de desarrollo personal</t>
  </si>
  <si>
    <t>Nota: La clasificación correspondiente al tipo de personas pensionadas, es de acuerdo a lo establecido en los artículos 60, 62 y 64 de la ley de seguridad y servicios sociales de los trabajadores del estado de Campeche.</t>
  </si>
  <si>
    <t>Bienes del Patrimonio del Poder Ejecutivo del Estado de Campeche por tipo de bien, 2025.</t>
  </si>
  <si>
    <t>EJERCICIO</t>
  </si>
  <si>
    <t>FECHA DE CIERRE</t>
  </si>
  <si>
    <t>VALOR TOTAL EN LIBROS  (PESOS)</t>
  </si>
  <si>
    <t>31 DE DICIEMBRE DE 2025</t>
  </si>
  <si>
    <t>VALOR EN LIBROS (PESOS)</t>
  </si>
  <si>
    <t>BIENES MUEBLES</t>
  </si>
  <si>
    <t>NÚMERO DE BIENES</t>
  </si>
  <si>
    <t>BIENES INMUEBLES</t>
  </si>
  <si>
    <t>BIENES VALOR EN LIBROS (PESOS)</t>
  </si>
  <si>
    <t>Nota: En el periodo que se informa, el Gobierno del Estado no recibió autorizaciones de combustible magna, diésel, diésel marino y asfalto, actualmente se está ejerciendo el contrato autorizado con vigencia al 15 de abril del año en curso.</t>
  </si>
  <si>
    <t>Empresas participantes en procedimientos de contratación, julio 2025 a junio 2026.</t>
  </si>
  <si>
    <t>Acciones y beneficiarios de la Agencia Reguladora del Transporte del Estado de Campeche por tipo de modalidad, 2025.</t>
  </si>
  <si>
    <t>RECTIFICACIÓN</t>
  </si>
  <si>
    <t>DIGITALIZACIÓN</t>
  </si>
  <si>
    <t>SERVICIO O TALLER</t>
  </si>
  <si>
    <t>#</t>
  </si>
  <si>
    <t>Clave</t>
  </si>
  <si>
    <t>Título</t>
  </si>
  <si>
    <t>Dependencia</t>
  </si>
  <si>
    <t>Acciones y beneficiarios de la Agencia Reguladora del Transporte del Estado de Campeche por tipo de modalidad, 2025. 1</t>
  </si>
  <si>
    <t>ARTEC</t>
  </si>
  <si>
    <t>SABG</t>
  </si>
  <si>
    <t>M1-002</t>
  </si>
  <si>
    <t>CENCOLAB</t>
  </si>
  <si>
    <t>M1-003</t>
  </si>
  <si>
    <t>SEGOB</t>
  </si>
  <si>
    <t>M1-004</t>
  </si>
  <si>
    <t>M1-005</t>
  </si>
  <si>
    <t>M1-006</t>
  </si>
  <si>
    <t>Registro Civil</t>
  </si>
  <si>
    <t>M1-007</t>
  </si>
  <si>
    <t>M1-008</t>
  </si>
  <si>
    <t>M1-009</t>
  </si>
  <si>
    <t>RPPyC</t>
  </si>
  <si>
    <t>M1-010</t>
  </si>
  <si>
    <t>M1-012</t>
  </si>
  <si>
    <t>M1-013</t>
  </si>
  <si>
    <t>M1-014</t>
  </si>
  <si>
    <t>M1-015</t>
  </si>
  <si>
    <t>M1-018</t>
  </si>
  <si>
    <t xml:space="preserve">Coordinación General de la Oficina de la Gobernadora o del Gobernador del Estado </t>
  </si>
  <si>
    <t>M1-019</t>
  </si>
  <si>
    <t>M1-020</t>
  </si>
  <si>
    <t>M1-021</t>
  </si>
  <si>
    <t>M1-023</t>
  </si>
  <si>
    <t>INFOCAM</t>
  </si>
  <si>
    <t>M1-024</t>
  </si>
  <si>
    <t>M1-025</t>
  </si>
  <si>
    <t>M1-026</t>
  </si>
  <si>
    <t>INDEFOS</t>
  </si>
  <si>
    <t>M1-027</t>
  </si>
  <si>
    <t>M1-036</t>
  </si>
  <si>
    <t>SAFIN</t>
  </si>
  <si>
    <t>M1-037</t>
  </si>
  <si>
    <t>M1-038</t>
  </si>
  <si>
    <t>ISSSTECAM</t>
  </si>
  <si>
    <t>M1-039</t>
  </si>
  <si>
    <t>M1-041</t>
  </si>
  <si>
    <t>Empresas  participantes en procedimientos de contratación, Julio 2025 a junio 2026.</t>
  </si>
  <si>
    <t>M1-030</t>
  </si>
  <si>
    <t>M1-031</t>
  </si>
  <si>
    <t>Importe de las participaciones, aportaciones y convenios por municipio, Julio 2025 a junio 2026.</t>
  </si>
  <si>
    <t>M1-032</t>
  </si>
  <si>
    <t>Desglose de Egresos del Poder Ejecutivo del Estado de Campeche por Clasificación Económica Julio 2025 a junio 2026.</t>
  </si>
  <si>
    <t>M1-033</t>
  </si>
  <si>
    <t>Desglose de Egresos del Poder Ejecutivo del Estado de Campeche por Misiones, julio 2025 a junio 2026.</t>
  </si>
  <si>
    <t>M1-034</t>
  </si>
  <si>
    <t>Desglose de Egresos por Organismos Públicos Descentralizados, julio 2025 a junio 2026.</t>
  </si>
  <si>
    <t>M1-035</t>
  </si>
  <si>
    <t>Desglose de Egresos por Ramo del Poder Ejecutivo del Estado de Campeche, julio 2025 a junio 2026.</t>
  </si>
  <si>
    <t>Informe de deuda pública del Estado de Campeche por concepto, 2025.(1)</t>
  </si>
  <si>
    <t>M1-040</t>
  </si>
  <si>
    <t>Contrato de donación PEMEX-Poder Ejecutivo del Estado de Campeche por concepto, Julio 2025 a junio 2026.</t>
  </si>
  <si>
    <t>M1-042</t>
  </si>
  <si>
    <t>Adjudicaciones a proveedores de bienes muebles y prestadores de servicios por tipo de adjudicación, Julio 2025 a junio 2026.</t>
  </si>
  <si>
    <t>Desglose de Egresos del Poder Ejecutivo del Estado de Campeche por clasificación económica, julio 2025 a junio 2026.</t>
  </si>
  <si>
    <t>Desglose de Egresos del Poder Ejecutivo del Estado de Campeche por misiones, julio 2025 a junio 2026.</t>
  </si>
  <si>
    <t>Desglose de Egresos por organismos públicos descentralizados, julio 2025 a junio 2026.</t>
  </si>
  <si>
    <t>Desglose de Egresos por ramo del Poder Ejecutivo del Estado de Campeche, julio 2025 a junio 2026.</t>
  </si>
  <si>
    <t>Informe de deuda pública del Estado de Campeche por concepto, 2026.</t>
  </si>
  <si>
    <t>M1-001</t>
  </si>
  <si>
    <t>M1-011</t>
  </si>
  <si>
    <t>M1-016</t>
  </si>
  <si>
    <t>M1-017</t>
  </si>
  <si>
    <t>M1-022</t>
  </si>
  <si>
    <t>Número de trámites y/o servicios por Organismos Centralizados y Entidades Paraestatales, 2024.</t>
  </si>
  <si>
    <t>COMERCAM</t>
  </si>
  <si>
    <t>M1-028</t>
  </si>
  <si>
    <t>Cobertura del proyecto Conectividad para Todos por localidad, 2024.</t>
  </si>
  <si>
    <t xml:space="preserve">se eliminó </t>
  </si>
  <si>
    <t>M1-029</t>
  </si>
  <si>
    <t>M1-043</t>
  </si>
  <si>
    <t>se capturó como M1-030 en 2026</t>
  </si>
  <si>
    <t>Aguascalientes</t>
  </si>
  <si>
    <t>Baja California Sur</t>
  </si>
  <si>
    <t>Coahuila De Zaragoza</t>
  </si>
  <si>
    <t>Colima</t>
  </si>
  <si>
    <t>Chiapas</t>
  </si>
  <si>
    <t>Chihuahua</t>
  </si>
  <si>
    <t>Ciudad De México</t>
  </si>
  <si>
    <t>Durango</t>
  </si>
  <si>
    <t>Guanajuato</t>
  </si>
  <si>
    <t>Guerrero</t>
  </si>
  <si>
    <t>Hidalgo</t>
  </si>
  <si>
    <t>México</t>
  </si>
  <si>
    <t>Michoacán De Ocampo</t>
  </si>
  <si>
    <t>Morelos</t>
  </si>
  <si>
    <t>Nayarit</t>
  </si>
  <si>
    <t>Oaxaca</t>
  </si>
  <si>
    <t>Querétaro</t>
  </si>
  <si>
    <t>Sonora</t>
  </si>
  <si>
    <t>Tamaulipas</t>
  </si>
  <si>
    <t>Tlaxcala</t>
  </si>
  <si>
    <t>Veracruz De Ignacio De La Llave</t>
  </si>
  <si>
    <t>Zacatecas</t>
  </si>
  <si>
    <t>Nota: Bonos cupón cero adquiridos a través del Gobierno Federal, quien paga por cuenta y orden del Estado todo el capital de los créditos adquiridos, el Estado sólo pagará los intereses, por lo cual, no se considera en suma. El interés comprende el promedio de las tasas de cada una de las disposiciones que conforma cada uno de los créditos del Bono Cupón Cero.</t>
  </si>
  <si>
    <t>Magna</t>
  </si>
  <si>
    <t>Diesel</t>
  </si>
  <si>
    <t>Diesel marino</t>
  </si>
  <si>
    <t>Asfalto</t>
  </si>
  <si>
    <t>¿requiere de segundo corte?</t>
  </si>
  <si>
    <t>La sumatoria de la Deuda Directa no es coincidente, ¿requiere de segundo corte?</t>
  </si>
  <si>
    <t>Comentarios</t>
  </si>
  <si>
    <t xml:space="preserve">datos en cero, ¿requerirá de segundo corte? </t>
  </si>
  <si>
    <t xml:space="preserve">Informe de deuda pública del Estado de Campeche por concepto, 2026. </t>
  </si>
  <si>
    <t>Fuente: Gobierno del Estado de Campeche. Secretaría de Anticorrupción y Buen Gobierno. 2026.</t>
  </si>
  <si>
    <t>se anexa la gráfica como propuesta que suguiere INFOCAM.</t>
  </si>
  <si>
    <t>Sí requiere</t>
  </si>
  <si>
    <t>Fuente: Gobierno del Estado de Campeche. Secretaría de Desarrollo Económico. Comisión de Mejora Regulatoria del Estado de Campeche. 2026.</t>
  </si>
  <si>
    <t>a/ Antes Instituto Estatal de Transporte del Estado de Campeche.</t>
  </si>
  <si>
    <t>Sistema de Atención a Niños, Niñas y Adolescentes Farmacodependientes del Estado de Campeche “Vida Nueva”</t>
  </si>
  <si>
    <t>Servicios de Administración Fiscal del Estado de Campeche</t>
  </si>
  <si>
    <t>Secretaría de Turismo de la Administración Pública del Estado de Campeche</t>
  </si>
  <si>
    <t>Secretaría de Salud de la Administración Pública del Estado de Campeche</t>
  </si>
  <si>
    <t>Secretaría de Protección y Seguridad Ciudadana de la Administración Pública del Estado de Campeche</t>
  </si>
  <si>
    <t>Secretaría de Protección Civil de la Administración Pública del Estado de Campeche</t>
  </si>
  <si>
    <t>Secretaría de Medio Ambiente, Biodiversidad, Cambio Climático y Energía de la Administración Pública del Estado de Campeche</t>
  </si>
  <si>
    <t>Secretaría de la Contraloría de la Administración Pública del Estado de Campeche</t>
  </si>
  <si>
    <t>Secretaría de Inclusión de la Administración Pública del Estado de Campeche</t>
  </si>
  <si>
    <t>Secretaría de Gobierno de la Administración Pública del Estado de Campeche</t>
  </si>
  <si>
    <t>Secretaría de Educación de la Administración Pública del Estado de Campeche</t>
  </si>
  <si>
    <t>Secretaría de Desarrollo Económico de la Administración Pública del Estado de Campeche</t>
  </si>
  <si>
    <t>Secretaria de Desarrollo Agropecuario de la Administración Pública del Estado de Campeche</t>
  </si>
  <si>
    <t>Secretaría de Bienestar de la Administración Pública del Estado de Campeche</t>
  </si>
  <si>
    <t>Secretaría de Administración y Finanzas de la Administración Pública del Estado de Campeche</t>
  </si>
  <si>
    <t>Instituto Estatal para el Fomento de las Actividades Artesanales del Estado de Campeche</t>
  </si>
  <si>
    <t>Instituto Estatal de la Educación para los Adultos del Estado de Campeche</t>
  </si>
  <si>
    <t>Fideicomiso Fondo Campeche del Estado de Campeche</t>
  </si>
  <si>
    <t>Fideicomiso de Inversión del Impuesto del 2% sobre nómina</t>
  </si>
  <si>
    <t>Consejo Estatal de Seguridad Pública del Estado de Campeche</t>
  </si>
  <si>
    <t xml:space="preserve">Comisión para la Protección contra Riesgos Sanitarios del Estado de Campeche
</t>
  </si>
  <si>
    <t>Comisión Local de Búsqueda de Personas del Estado de Campeche</t>
  </si>
  <si>
    <t>Comisión Estatal de Desarrollo de Suelo y Vivienda del Estado de Campeche</t>
  </si>
  <si>
    <t>Comisión de Conciliación y Arbitraje Médico del Estado de Campeche</t>
  </si>
  <si>
    <t>Centro de Conciliación Laboral en el Estado de Campeche</t>
  </si>
  <si>
    <t>Archivo General del Estado de Campeche</t>
  </si>
  <si>
    <t xml:space="preserve">Agencia Reguladora del Transporte del Estado de Campeche a/
</t>
  </si>
  <si>
    <t>TRÁMITE</t>
  </si>
  <si>
    <t>SERVICIO</t>
  </si>
  <si>
    <t>Organismo Centralizado o Entidad Paraestatal</t>
  </si>
  <si>
    <t>Número de trámites y/o servicios por Organismos Centralizados y Entidades Paraestatales, 2025.</t>
  </si>
  <si>
    <t>Universidad Intercultural</t>
  </si>
  <si>
    <t>Sistema para el Desarrollo Integral de la Familia</t>
  </si>
  <si>
    <t>Secretaria de Turismo</t>
  </si>
  <si>
    <t xml:space="preserve">Secretaría de Protección Civil </t>
  </si>
  <si>
    <t xml:space="preserve">Secretaría de Modernización Administrativa e Innovación Gubernamental </t>
  </si>
  <si>
    <t xml:space="preserve">Secretaría de Gobierno </t>
  </si>
  <si>
    <t xml:space="preserve">Secretaría de Educación </t>
  </si>
  <si>
    <t xml:space="preserve">Secretaria de Desarrollo Territorial, Urbano, Obras Públicas y Movilidad </t>
  </si>
  <si>
    <t>Secretaria de Desarrollo Agropecuario</t>
  </si>
  <si>
    <t xml:space="preserve">Secretaría de Bienestar </t>
  </si>
  <si>
    <t xml:space="preserve">Secretaría de Administración y Finanzas </t>
  </si>
  <si>
    <t xml:space="preserve">Promotora para la Conservación y Desarrollo Sustentable </t>
  </si>
  <si>
    <t>Promotora de Eventos Artísticos, Culturales y de Convenciones</t>
  </si>
  <si>
    <t xml:space="preserve">Instituto Tecnológico Superior de Escárcega </t>
  </si>
  <si>
    <t>Instituto de la Mujer</t>
  </si>
  <si>
    <t xml:space="preserve">Instituto de la Juventud </t>
  </si>
  <si>
    <t xml:space="preserve">Instituto de Capacitación para el Trabajo </t>
  </si>
  <si>
    <t xml:space="preserve">Instituto de Acceso a la Justicia </t>
  </si>
  <si>
    <t xml:space="preserve">Consejería Jurídica del Estado de Campeche </t>
  </si>
  <si>
    <t xml:space="preserve">Comisión de Desarrollo de Suelo y Vivienda </t>
  </si>
  <si>
    <t>Colegio de Bachilleres</t>
  </si>
  <si>
    <t>Agencia Reguladora del Transporte</t>
  </si>
  <si>
    <t>Administración Portuaria Integral de Campeche, S.A. de C.V</t>
  </si>
  <si>
    <t xml:space="preserve">Administración de la Beneficencia Pública </t>
  </si>
  <si>
    <t xml:space="preserve">ORDINARIO </t>
  </si>
  <si>
    <t xml:space="preserve">EXENCIÓN </t>
  </si>
  <si>
    <t>ORDINARIO</t>
  </si>
  <si>
    <t>TOTAL ACUMULADO</t>
  </si>
  <si>
    <t>ORGANISMO CENTRALIZADO  O ENTIDAD PARAESTATAL</t>
  </si>
  <si>
    <t>Análisis de Impacto Regulatorio emitidos por la Comisión de Mejora Regulatoria del Estado de Campeche, por Organismo Centralizado o Entidad Paraestatal, 2023 - 2025.</t>
  </si>
  <si>
    <t>M1-044</t>
  </si>
  <si>
    <t>1.2.5 Derecho a la movilidad</t>
  </si>
  <si>
    <t>1.2.6 Conciliación y justicia laboral</t>
  </si>
  <si>
    <t>2.1.2. Modernización del Registro Público de la Propiedad y de Comercio</t>
  </si>
  <si>
    <t>2.1.1. Modernización y Digitalización Del Registro Civil</t>
  </si>
  <si>
    <t>2.1.4. Control Notarial</t>
  </si>
  <si>
    <t xml:space="preserve">2.3.1. Jaguarcitos de la Honestidad y juventud de cambio </t>
  </si>
  <si>
    <t>2.3.2. Comités de Contraloría Social</t>
  </si>
  <si>
    <t>2.4.5. Investigaciones derivadas de oficio, por denuncias y auditorías</t>
  </si>
  <si>
    <t xml:space="preserve">2.3.6 Declaraciones patrimoniales y de intereses </t>
  </si>
  <si>
    <t>2.4.6. Procedimientos de responsabilidad administrativa</t>
  </si>
  <si>
    <t>2.4.2. Verificaciones financieras y verificaciones de procesos y programas</t>
  </si>
  <si>
    <t>2.1.6. Sistema de Gestión Ciudadana</t>
  </si>
  <si>
    <t>3.1. MEJORA REGULATORIA</t>
  </si>
  <si>
    <t>3.2.2. Modernizacion estadistica, geografia y catastral</t>
  </si>
  <si>
    <t>3.3.2. Vinculación y Fortalecimiento Municipal</t>
  </si>
  <si>
    <t>4.4.1. Seguridad social para las y los servidores públicos de gobierno</t>
  </si>
  <si>
    <t>3.1.4. Análisis de Impacto Regulatorio</t>
  </si>
  <si>
    <t>4.4. ADMINISTRACIÓN DE RECURSOS HUMANOS, MATERIALES, PATRIMONIALES Y DE SERVICIOS</t>
  </si>
  <si>
    <t>4.5. BIENES QUE INTEGRAN EL PATRIMONIO ESTATAL</t>
  </si>
  <si>
    <t>4.3.1. Deuda pública del estado</t>
  </si>
  <si>
    <t>4.1. INGRESOS DEL GOBIERNO DEL ESTADO</t>
  </si>
  <si>
    <t>Índice
Tema</t>
  </si>
  <si>
    <t>Índice
Subtema</t>
  </si>
  <si>
    <t>4.2. GASTOS DEL GOBIERNO DE CAMPECHE</t>
  </si>
  <si>
    <t>4.5.1. Materiales y servicios</t>
  </si>
  <si>
    <t>4.1.7. Convenios de colaboración administrativa en materia fiscal federal y en materia de impuesto predial</t>
  </si>
  <si>
    <t>2.4. FISCALIZACIÓN DE RECURSOS PÚBLICOS Y DETECCIÓN DE ACTOS DE CORRUPCIÓN</t>
  </si>
  <si>
    <t>1.2. ESTADO DE DERECHO</t>
  </si>
  <si>
    <t>2.1. GOBIERNO EFICIENTE Y EFICAZ</t>
  </si>
  <si>
    <t>2.3. VALORES ÉTICOS, CULTURA DE LA HONESTIDAD Y TRANSPARENCIA PARA PREVENIR LA CORRUPCIÓN</t>
  </si>
  <si>
    <t xml:space="preserve">3.2. INFORMACIÓN ESTADÍSTICA GEOGRÁFICA Y CATASTRAL  </t>
  </si>
  <si>
    <t>3.3. MEJORA DE LA GESTIÓN PÚBLICA</t>
  </si>
  <si>
    <t xml:space="preserve"> 4.3. DEUDA, BANCA DE DESARROLLO Y CALIFICACIÓN CREDITICIA</t>
  </si>
  <si>
    <t>Se anexó 07/05/26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</si>
</sst>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7" x14ac:knownFonts="1">
    <font>
      <sz val="11"/>
      <color theme="1"/>
      <name val="Aptos Narrow"/>
      <family val="2"/>
      <scheme val="minor"/>
    </font>
    <font>
      <sz val="11"/>
      <color rgb="FF000000"/>
      <name val="Calibri"/>
      <family val="2"/>
    </font>
    <font>
      <b/>
      <sz val="12"/>
      <color rgb="FF000000"/>
      <name val="Calibri"/>
      <family val="2"/>
    </font>
    <font>
      <b/>
      <sz val="11"/>
      <color theme="1"/>
      <name val="Calibri"/>
      <family val="2"/>
    </font>
    <font>
      <b/>
      <sz val="12"/>
      <color theme="1"/>
      <name val="Calibri"/>
      <family val="2"/>
    </font>
    <font>
      <b/>
      <sz val="11"/>
      <color rgb="FF000000"/>
      <name val="Calibri"/>
      <family val="2"/>
    </font>
    <font>
      <sz val="9"/>
      <color rgb="FF000000"/>
      <name val="Calibri"/>
      <family val="2"/>
    </font>
    <font>
      <sz val="9"/>
      <color theme="1"/>
      <name val="Calibri"/>
      <family val="2"/>
    </font>
    <font>
      <sz val="11"/>
      <color theme="1"/>
      <name val="Calibri"/>
      <family val="2"/>
    </font>
    <font>
      <sz val="12"/>
      <color theme="1"/>
      <name val="Calibri"/>
      <family val="2"/>
    </font>
    <font>
      <sz val="9"/>
      <color theme="1"/>
      <name val="Aptos Narrow"/>
      <family val="2"/>
      <scheme val="minor"/>
    </font>
    <font>
      <b/>
      <sz val="11"/>
      <color theme="1"/>
      <name val="Aptos Narrow"/>
      <family val="2"/>
      <scheme val="minor"/>
    </font>
    <font>
      <sz val="11"/>
      <color rgb="FFFF0000"/>
      <name val="Calibri"/>
      <family val="2"/>
    </font>
    <font>
      <sz val="11"/>
      <name val="Calibri"/>
      <family val="2"/>
    </font>
    <font>
      <sz val="12"/>
      <color theme="1"/>
      <name val="Aptos Narrow"/>
      <family val="2"/>
      <scheme val="minor"/>
    </font>
    <font>
      <sz val="9"/>
      <name val="Calibri"/>
      <family val="2"/>
    </font>
    <font>
      <sz val="12"/>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s>
  <borders count="7">
    <border>
      <left/>
      <right/>
      <top/>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style="thin">
        <color indexed="64"/>
      </bottom>
      <diagonal/>
    </border>
  </borders>
  <cellStyleXfs count="5">
    <xf numFmtId="0" fontId="0" fillId="0" borderId="0"/>
    <xf numFmtId="0" fontId="1" fillId="0" borderId="0"/>
    <xf numFmtId="0" fontId="1" fillId="0" borderId="0"/>
    <xf numFmtId="43" fontId="14" fillId="0" borderId="0" applyFont="0" applyFill="0" applyBorder="0" applyAlignment="0" applyProtection="0"/>
    <xf numFmtId="0" fontId="14" fillId="0" borderId="0"/>
  </cellStyleXfs>
  <cellXfs count="117">
    <xf numFmtId="0" fontId="0" fillId="0" borderId="0" xfId="0"/>
    <xf numFmtId="0" fontId="3" fillId="0" borderId="0" xfId="0" applyFont="1"/>
    <xf numFmtId="0" fontId="4" fillId="0" borderId="0" xfId="0" applyFont="1"/>
    <xf numFmtId="0" fontId="5" fillId="0" borderId="0" xfId="1" applyFont="1"/>
    <xf numFmtId="0" fontId="5" fillId="0" borderId="1" xfId="1" applyFont="1" applyBorder="1" applyAlignment="1">
      <alignment horizontal="left" indent="1"/>
    </xf>
    <xf numFmtId="0" fontId="5" fillId="0" borderId="1" xfId="1" applyFont="1" applyBorder="1"/>
    <xf numFmtId="0" fontId="7" fillId="0" borderId="0" xfId="0" applyFont="1"/>
    <xf numFmtId="0" fontId="1" fillId="0" borderId="0" xfId="1" applyAlignment="1">
      <alignment horizontal="left" indent="1"/>
    </xf>
    <xf numFmtId="0" fontId="1" fillId="0" borderId="0" xfId="1"/>
    <xf numFmtId="0" fontId="8" fillId="0" borderId="1" xfId="0" applyFont="1" applyBorder="1"/>
    <xf numFmtId="0" fontId="8" fillId="0" borderId="0" xfId="0" applyFont="1"/>
    <xf numFmtId="0" fontId="3" fillId="0" borderId="1" xfId="0" applyFont="1" applyBorder="1"/>
    <xf numFmtId="4" fontId="5" fillId="0" borderId="0" xfId="1" applyNumberFormat="1" applyFont="1"/>
    <xf numFmtId="4" fontId="1" fillId="0" borderId="0" xfId="1" applyNumberFormat="1"/>
    <xf numFmtId="0" fontId="8" fillId="0" borderId="0" xfId="0" applyFont="1" applyAlignment="1">
      <alignment horizontal="left" indent="2"/>
    </xf>
    <xf numFmtId="0" fontId="8" fillId="0" borderId="0" xfId="0" applyFont="1" applyAlignment="1">
      <alignment horizontal="left" indent="1"/>
    </xf>
    <xf numFmtId="3" fontId="8" fillId="0" borderId="0" xfId="0" applyNumberFormat="1" applyFont="1"/>
    <xf numFmtId="3" fontId="3" fillId="0" borderId="1" xfId="0" applyNumberFormat="1" applyFont="1" applyBorder="1"/>
    <xf numFmtId="3" fontId="3" fillId="0" borderId="0" xfId="0" applyNumberFormat="1" applyFont="1"/>
    <xf numFmtId="0" fontId="3" fillId="0" borderId="0" xfId="0" applyFont="1" applyAlignment="1">
      <alignment horizontal="left" indent="1"/>
    </xf>
    <xf numFmtId="0" fontId="3" fillId="0" borderId="0" xfId="0" applyFont="1" applyAlignment="1">
      <alignment horizontal="left"/>
    </xf>
    <xf numFmtId="3" fontId="5" fillId="0" borderId="0" xfId="1" applyNumberFormat="1" applyFont="1"/>
    <xf numFmtId="3" fontId="8" fillId="0" borderId="1" xfId="0" applyNumberFormat="1" applyFont="1" applyBorder="1"/>
    <xf numFmtId="0" fontId="8" fillId="0" borderId="2" xfId="0" applyFont="1" applyBorder="1" applyAlignment="1">
      <alignment horizontal="center"/>
    </xf>
    <xf numFmtId="0" fontId="8" fillId="0" borderId="1" xfId="0" applyFont="1" applyBorder="1" applyAlignment="1">
      <alignment horizontal="center"/>
    </xf>
    <xf numFmtId="0" fontId="9" fillId="0" borderId="0" xfId="0" applyFont="1"/>
    <xf numFmtId="49" fontId="1" fillId="0" borderId="0" xfId="1" applyNumberFormat="1"/>
    <xf numFmtId="0" fontId="8" fillId="0" borderId="2" xfId="0" applyFont="1" applyBorder="1" applyAlignment="1">
      <alignment horizontal="center" vertical="center"/>
    </xf>
    <xf numFmtId="0" fontId="8" fillId="0" borderId="1" xfId="0" applyFont="1" applyBorder="1" applyAlignment="1">
      <alignment horizontal="center" vertical="center"/>
    </xf>
    <xf numFmtId="0" fontId="1" fillId="0" borderId="0" xfId="2"/>
    <xf numFmtId="0" fontId="8" fillId="0" borderId="0" xfId="2" applyFont="1"/>
    <xf numFmtId="4" fontId="8" fillId="0" borderId="0" xfId="0" applyNumberFormat="1" applyFont="1"/>
    <xf numFmtId="4" fontId="8" fillId="0" borderId="1" xfId="0" applyNumberFormat="1" applyFont="1" applyBorder="1"/>
    <xf numFmtId="0" fontId="10" fillId="0" borderId="0" xfId="0" applyFont="1"/>
    <xf numFmtId="4" fontId="3" fillId="0" borderId="0" xfId="0" applyNumberFormat="1" applyFont="1"/>
    <xf numFmtId="0" fontId="11" fillId="0" borderId="1" xfId="0" applyFont="1" applyBorder="1"/>
    <xf numFmtId="3" fontId="11" fillId="0" borderId="1" xfId="0" applyNumberFormat="1" applyFont="1" applyBorder="1"/>
    <xf numFmtId="0" fontId="8" fillId="0" borderId="2" xfId="0" applyFont="1" applyBorder="1" applyAlignment="1">
      <alignment horizontal="center" vertical="center" wrapText="1"/>
    </xf>
    <xf numFmtId="0" fontId="1" fillId="0" borderId="1" xfId="1" applyBorder="1" applyAlignment="1">
      <alignment horizontal="center" vertical="center" wrapText="1"/>
    </xf>
    <xf numFmtId="0" fontId="1" fillId="0" borderId="1" xfId="1" applyBorder="1" applyAlignment="1">
      <alignment horizontal="center" vertical="center"/>
    </xf>
    <xf numFmtId="0" fontId="2" fillId="0" borderId="0" xfId="1" applyFont="1"/>
    <xf numFmtId="0" fontId="11" fillId="0" borderId="0" xfId="0" applyFont="1"/>
    <xf numFmtId="0" fontId="8" fillId="0" borderId="1" xfId="0" applyFont="1" applyBorder="1" applyAlignment="1">
      <alignment horizontal="left" indent="2"/>
    </xf>
    <xf numFmtId="4" fontId="1" fillId="0" borderId="1" xfId="1" applyNumberFormat="1" applyBorder="1"/>
    <xf numFmtId="0" fontId="1" fillId="0" borderId="1" xfId="1" applyBorder="1"/>
    <xf numFmtId="0" fontId="12" fillId="0" borderId="0" xfId="0" applyFont="1"/>
    <xf numFmtId="0" fontId="8" fillId="0" borderId="3" xfId="0" applyFont="1" applyBorder="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xf>
    <xf numFmtId="4" fontId="8" fillId="0" borderId="0" xfId="0" applyNumberFormat="1" applyFont="1" applyAlignment="1">
      <alignment horizontal="center" vertical="center"/>
    </xf>
    <xf numFmtId="0" fontId="5" fillId="0" borderId="0" xfId="0" applyFont="1"/>
    <xf numFmtId="0" fontId="1" fillId="0" borderId="0" xfId="0" applyFont="1"/>
    <xf numFmtId="0" fontId="1" fillId="0" borderId="0" xfId="0" applyFont="1" applyAlignment="1">
      <alignment vertical="center"/>
    </xf>
    <xf numFmtId="0" fontId="0" fillId="0" borderId="0" xfId="0" applyAlignment="1">
      <alignment wrapText="1"/>
    </xf>
    <xf numFmtId="4" fontId="13" fillId="2" borderId="0" xfId="1" applyNumberFormat="1" applyFont="1" applyFill="1"/>
    <xf numFmtId="164" fontId="3" fillId="3" borderId="1" xfId="3" applyNumberFormat="1" applyFont="1" applyFill="1" applyBorder="1"/>
    <xf numFmtId="0" fontId="8" fillId="0" borderId="0" xfId="0" applyFont="1" applyAlignment="1">
      <alignment horizontal="left"/>
    </xf>
    <xf numFmtId="0" fontId="5" fillId="0" borderId="1" xfId="2" applyFont="1" applyBorder="1"/>
    <xf numFmtId="3" fontId="5" fillId="0" borderId="1" xfId="2" applyNumberFormat="1" applyFont="1" applyBorder="1"/>
    <xf numFmtId="164" fontId="3" fillId="3" borderId="1" xfId="3" applyNumberFormat="1" applyFont="1" applyFill="1" applyBorder="1" applyAlignment="1">
      <alignment horizontal="right"/>
    </xf>
    <xf numFmtId="4" fontId="13" fillId="0" borderId="0" xfId="1" applyNumberFormat="1" applyFont="1"/>
    <xf numFmtId="165" fontId="8" fillId="0" borderId="0" xfId="0" applyNumberFormat="1" applyFont="1"/>
    <xf numFmtId="0" fontId="1" fillId="0" borderId="0" xfId="1" applyAlignment="1">
      <alignment horizontal="right"/>
    </xf>
    <xf numFmtId="0" fontId="8" fillId="0" borderId="0" xfId="0" applyFont="1" applyAlignment="1">
      <alignment horizontal="right"/>
    </xf>
    <xf numFmtId="0" fontId="8" fillId="0" borderId="0" xfId="0" applyFont="1"/>
    <xf numFmtId="0" fontId="8" fillId="0" borderId="0" xfId="0" applyFont="1" applyAlignment="1">
      <alignment horizontal="center"/>
    </xf>
    <xf numFmtId="0" fontId="8" fillId="0" borderId="0" xfId="0" applyFont="1" applyAlignment="1">
      <alignment horizontal="left"/>
    </xf>
    <xf numFmtId="0" fontId="5" fillId="0" borderId="0" xfId="0" applyFont="1" applyAlignment="1">
      <alignment horizontal="center"/>
    </xf>
    <xf numFmtId="0" fontId="1" fillId="0" borderId="0" xfId="0" applyFont="1" applyAlignment="1">
      <alignment horizontal="left" vertical="center"/>
    </xf>
    <xf numFmtId="0" fontId="1" fillId="0" borderId="0" xfId="0" applyFont="1"/>
    <xf numFmtId="0" fontId="7" fillId="0" borderId="0" xfId="0" applyFont="1" applyAlignment="1">
      <alignment horizontal="left"/>
    </xf>
    <xf numFmtId="0" fontId="8" fillId="0" borderId="1" xfId="0" applyFont="1" applyBorder="1" applyAlignment="1">
      <alignment horizontal="center" vertical="center"/>
    </xf>
    <xf numFmtId="0" fontId="4" fillId="0" borderId="0" xfId="0" applyFont="1" applyAlignment="1">
      <alignment horizontal="left"/>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1" xfId="0" applyFont="1" applyBorder="1" applyAlignment="1">
      <alignment horizontal="center"/>
    </xf>
    <xf numFmtId="0" fontId="3" fillId="0" borderId="0" xfId="0" applyFont="1" applyAlignment="1">
      <alignment horizontal="left"/>
    </xf>
    <xf numFmtId="0" fontId="8" fillId="0" borderId="3" xfId="0" applyFont="1" applyBorder="1" applyAlignment="1">
      <alignment horizontal="left"/>
    </xf>
    <xf numFmtId="0" fontId="7" fillId="0" borderId="3" xfId="0" applyFont="1" applyBorder="1" applyAlignment="1">
      <alignment horizontal="left"/>
    </xf>
    <xf numFmtId="0" fontId="0" fillId="0" borderId="1" xfId="0" applyBorder="1" applyAlignment="1">
      <alignment horizontal="center"/>
    </xf>
    <xf numFmtId="0" fontId="7" fillId="0" borderId="3" xfId="0" applyFont="1" applyBorder="1" applyAlignment="1">
      <alignment horizontal="left" wrapText="1"/>
    </xf>
    <xf numFmtId="0" fontId="4" fillId="0" borderId="2" xfId="0" applyFont="1" applyBorder="1" applyAlignment="1">
      <alignment horizontal="left"/>
    </xf>
    <xf numFmtId="0" fontId="6" fillId="0" borderId="3" xfId="2" applyFont="1" applyBorder="1" applyAlignment="1">
      <alignment horizontal="left"/>
    </xf>
    <xf numFmtId="0" fontId="7" fillId="0" borderId="0" xfId="0" applyFont="1" applyAlignment="1">
      <alignment horizontal="left" wrapText="1"/>
    </xf>
    <xf numFmtId="0" fontId="8" fillId="0" borderId="3" xfId="0" applyFont="1" applyBorder="1" applyAlignment="1">
      <alignment horizontal="center" vertical="center" wrapText="1"/>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6" fillId="0" borderId="0" xfId="1" applyFont="1"/>
    <xf numFmtId="0" fontId="2" fillId="0" borderId="0" xfId="1" applyFont="1" applyAlignment="1">
      <alignment horizontal="left"/>
    </xf>
    <xf numFmtId="0" fontId="6" fillId="0" borderId="0" xfId="1" applyFont="1" applyAlignment="1">
      <alignment horizontal="left"/>
    </xf>
    <xf numFmtId="0" fontId="15" fillId="0" borderId="0" xfId="0" applyFont="1" applyAlignment="1">
      <alignment horizontal="left" wrapText="1"/>
    </xf>
    <xf numFmtId="0" fontId="6" fillId="0" borderId="3" xfId="1" applyFont="1" applyBorder="1" applyAlignment="1">
      <alignment horizontal="left"/>
    </xf>
    <xf numFmtId="0" fontId="8" fillId="0" borderId="1" xfId="0" applyFont="1" applyBorder="1" applyAlignment="1">
      <alignment horizontal="center" vertical="center" wrapText="1"/>
    </xf>
    <xf numFmtId="4" fontId="8" fillId="0" borderId="3" xfId="0" applyNumberFormat="1" applyFont="1" applyBorder="1" applyAlignment="1">
      <alignment horizontal="center" vertical="center"/>
    </xf>
    <xf numFmtId="4" fontId="8" fillId="0" borderId="0" xfId="0" applyNumberFormat="1" applyFont="1" applyAlignment="1">
      <alignment horizontal="center" vertical="center"/>
    </xf>
    <xf numFmtId="4" fontId="13" fillId="0" borderId="3" xfId="0" applyNumberFormat="1" applyFont="1" applyBorder="1" applyAlignment="1">
      <alignment horizontal="center" vertical="center"/>
    </xf>
    <xf numFmtId="4" fontId="13" fillId="0" borderId="0" xfId="0" applyNumberFormat="1" applyFont="1" applyAlignment="1">
      <alignment horizontal="center" vertical="center"/>
    </xf>
    <xf numFmtId="3" fontId="8" fillId="0" borderId="3" xfId="0" applyNumberFormat="1" applyFont="1" applyBorder="1" applyAlignment="1">
      <alignment horizontal="center" vertical="center" wrapText="1"/>
    </xf>
    <xf numFmtId="3" fontId="8" fillId="0" borderId="0" xfId="0" applyNumberFormat="1" applyFont="1" applyAlignment="1">
      <alignment horizontal="center" vertical="center" wrapText="1"/>
    </xf>
    <xf numFmtId="0" fontId="1" fillId="0" borderId="0" xfId="1"/>
    <xf numFmtId="0" fontId="1" fillId="0" borderId="2" xfId="1" applyBorder="1" applyAlignment="1">
      <alignment horizontal="center"/>
    </xf>
    <xf numFmtId="0" fontId="2" fillId="0" borderId="2" xfId="1" applyFont="1" applyBorder="1"/>
    <xf numFmtId="0" fontId="1" fillId="0" borderId="2" xfId="1" applyBorder="1"/>
    <xf numFmtId="0" fontId="1" fillId="0" borderId="4" xfId="1" applyBorder="1"/>
    <xf numFmtId="0" fontId="1" fillId="0" borderId="5" xfId="1" applyBorder="1"/>
    <xf numFmtId="0" fontId="1" fillId="0" borderId="6" xfId="1" applyBorder="1"/>
    <xf numFmtId="0" fontId="1" fillId="0" borderId="2" xfId="1" applyBorder="1" applyAlignment="1">
      <alignment horizontal="center" vertical="center"/>
    </xf>
    <xf numFmtId="0" fontId="1" fillId="0" borderId="2" xfId="1" applyBorder="1" applyAlignment="1">
      <alignment horizontal="right"/>
    </xf>
    <xf numFmtId="0" fontId="1" fillId="0" borderId="2" xfId="1" applyBorder="1" applyAlignment="1">
      <alignment horizontal="center"/>
    </xf>
    <xf numFmtId="0" fontId="1" fillId="0" borderId="0" xfId="1" applyAlignment="1">
      <alignment horizontal="center" vertical="center"/>
    </xf>
    <xf numFmtId="0" fontId="16" fillId="0" borderId="2" xfId="1" applyFont="1" applyBorder="1" applyAlignment="1">
      <alignment horizontal="center"/>
    </xf>
    <xf numFmtId="0" fontId="16" fillId="0" borderId="0" xfId="1" applyFont="1" applyAlignment="1">
      <alignment horizontal="center"/>
    </xf>
    <xf numFmtId="0" fontId="1" fillId="0" borderId="0" xfId="1" applyAlignment="1">
      <alignment horizontal="center"/>
    </xf>
    <xf numFmtId="0" fontId="0" fillId="0" borderId="0" xfId="0" applyAlignment="1">
      <alignment horizontal="center" wrapText="1"/>
    </xf>
    <xf numFmtId="0" fontId="0" fillId="4" borderId="0" xfId="0" applyFill="1"/>
    <xf numFmtId="0" fontId="8" fillId="4" borderId="0" xfId="0" applyFont="1" applyFill="1"/>
    <xf numFmtId="0" fontId="1" fillId="4" borderId="0" xfId="0" applyFont="1" applyFill="1"/>
  </cellXfs>
  <cellStyles count="5">
    <cellStyle name="Millares 4" xfId="3" xr:uid="{70AC6F35-D862-4949-BA90-CA5BA6EAC2CE}"/>
    <cellStyle name="Normal" xfId="0" builtinId="0"/>
    <cellStyle name="Normal 2" xfId="1" xr:uid="{3EAE79D4-70EE-48A1-84BB-D4E6DB6B9743}"/>
    <cellStyle name="Normal 2 3" xfId="4" xr:uid="{76330A13-085D-4DF7-981F-095DDBA70732}"/>
    <cellStyle name="Normal 3" xfId="2" xr:uid="{6F0F55C7-6DB8-499E-9578-671D1D12F7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ysClr val="windowText" lastClr="000000"/>
                </a:solidFill>
                <a:latin typeface="+mn-lt"/>
                <a:ea typeface="+mn-ea"/>
                <a:cs typeface="+mn-cs"/>
              </a:defRPr>
            </a:pPr>
            <a:r>
              <a:rPr lang="es-MX" sz="12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Distribución porcentual de las empresas participantes en</a:t>
            </a:r>
          </a:p>
          <a:p>
            <a:pPr algn="l">
              <a:defRPr>
                <a:solidFill>
                  <a:sysClr val="windowText" lastClr="000000"/>
                </a:solidFill>
              </a:defRPr>
            </a:pPr>
            <a:r>
              <a:rPr lang="es-MX" sz="12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procedimientos de contratación, julio 2025 a junio 2026.</a:t>
            </a:r>
            <a:endParaRPr lang="es-MX"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8929339592645936"/>
          <c:y val="3.703703703703703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ysClr val="windowText" lastClr="000000"/>
              </a:solidFill>
              <a:latin typeface="+mn-lt"/>
              <a:ea typeface="+mn-ea"/>
              <a:cs typeface="+mn-cs"/>
            </a:defRPr>
          </a:pPr>
          <a:endParaRPr lang="es-MX"/>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FC-45D5-A845-0B30657035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FC-45D5-A845-0B306570350C}"/>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1"/>
            <c:showBubbleSize val="0"/>
            <c:showLeaderLines val="0"/>
            <c:extLst>
              <c:ext xmlns:c15="http://schemas.microsoft.com/office/drawing/2012/chart" uri="{CE6537A1-D6FC-4f65-9D91-7224C49458BB}"/>
            </c:extLst>
          </c:dLbls>
          <c:cat>
            <c:strRef>
              <c:f>'M1-043 - Empresas participante '!$D$20:$D$21</c:f>
              <c:strCache>
                <c:ptCount val="2"/>
                <c:pt idx="0">
                  <c:v>Locales</c:v>
                </c:pt>
                <c:pt idx="1">
                  <c:v>Nacionales</c:v>
                </c:pt>
              </c:strCache>
            </c:strRef>
          </c:cat>
          <c:val>
            <c:numRef>
              <c:f>'M1-043 - Empresas participante '!$E$20:$E$21</c:f>
              <c:numCache>
                <c:formatCode>0.0</c:formatCode>
                <c:ptCount val="2"/>
                <c:pt idx="0">
                  <c:v>61.157024793388423</c:v>
                </c:pt>
                <c:pt idx="1">
                  <c:v>38.84297520661157</c:v>
                </c:pt>
              </c:numCache>
            </c:numRef>
          </c:val>
          <c:extLst>
            <c:ext xmlns:c16="http://schemas.microsoft.com/office/drawing/2014/chart" uri="{C3380CC4-5D6E-409C-BE32-E72D297353CC}">
              <c16:uniqueId val="{00000000-A4CF-4DF5-8D64-14DC2BD419C4}"/>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190500</xdr:colOff>
      <xdr:row>19</xdr:row>
      <xdr:rowOff>34290</xdr:rowOff>
    </xdr:from>
    <xdr:to>
      <xdr:col>2</xdr:col>
      <xdr:colOff>1729740</xdr:colOff>
      <xdr:row>34</xdr:row>
      <xdr:rowOff>34290</xdr:rowOff>
    </xdr:to>
    <xdr:graphicFrame macro="">
      <xdr:nvGraphicFramePr>
        <xdr:cNvPr id="3" name="Gráfico 2">
          <a:extLst>
            <a:ext uri="{FF2B5EF4-FFF2-40B4-BE49-F238E27FC236}">
              <a16:creationId xmlns:a16="http://schemas.microsoft.com/office/drawing/2014/main" id="{0AA51995-48CF-C1F3-703F-7E7C50736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F2600-5E6E-4DAD-ABD3-5DAA171422DE}">
  <dimension ref="A1:D42"/>
  <sheetViews>
    <sheetView workbookViewId="0">
      <selection activeCell="C33" sqref="C33"/>
    </sheetView>
  </sheetViews>
  <sheetFormatPr baseColWidth="10" defaultColWidth="11.5" defaultRowHeight="15" x14ac:dyDescent="0.2"/>
  <cols>
    <col min="1" max="2" width="11.5" style="10"/>
    <col min="3" max="3" width="103.83203125" style="10" bestFit="1" customWidth="1"/>
    <col min="4" max="16384" width="11.5" style="10"/>
  </cols>
  <sheetData>
    <row r="1" spans="1:4" s="1" customFormat="1" x14ac:dyDescent="0.2">
      <c r="A1" s="1" t="s">
        <v>575</v>
      </c>
      <c r="B1" s="1" t="s">
        <v>576</v>
      </c>
      <c r="C1" s="1" t="s">
        <v>577</v>
      </c>
      <c r="D1" s="1" t="s">
        <v>578</v>
      </c>
    </row>
    <row r="2" spans="1:4" x14ac:dyDescent="0.2">
      <c r="A2" s="10">
        <v>1</v>
      </c>
      <c r="C2" s="10" t="s">
        <v>579</v>
      </c>
      <c r="D2" s="10" t="s">
        <v>580</v>
      </c>
    </row>
    <row r="3" spans="1:4" x14ac:dyDescent="0.2">
      <c r="A3" s="10">
        <v>2</v>
      </c>
      <c r="C3" s="10" t="s">
        <v>265</v>
      </c>
      <c r="D3" s="10" t="s">
        <v>581</v>
      </c>
    </row>
    <row r="4" spans="1:4" x14ac:dyDescent="0.2">
      <c r="A4" s="10">
        <v>3</v>
      </c>
      <c r="C4" s="10" t="s">
        <v>275</v>
      </c>
      <c r="D4" s="10" t="s">
        <v>581</v>
      </c>
    </row>
    <row r="5" spans="1:4" x14ac:dyDescent="0.2">
      <c r="A5" s="10">
        <v>4</v>
      </c>
      <c r="C5" s="10" t="s">
        <v>283</v>
      </c>
      <c r="D5" s="10" t="s">
        <v>581</v>
      </c>
    </row>
    <row r="6" spans="1:4" x14ac:dyDescent="0.2">
      <c r="A6" s="10">
        <v>5</v>
      </c>
      <c r="B6" s="10" t="s">
        <v>582</v>
      </c>
      <c r="C6" s="10" t="s">
        <v>295</v>
      </c>
      <c r="D6" s="10" t="s">
        <v>583</v>
      </c>
    </row>
    <row r="7" spans="1:4" x14ac:dyDescent="0.2">
      <c r="A7" s="10">
        <v>6</v>
      </c>
      <c r="B7" s="10" t="s">
        <v>584</v>
      </c>
      <c r="C7" s="10" t="s">
        <v>307</v>
      </c>
      <c r="D7" s="10" t="s">
        <v>585</v>
      </c>
    </row>
    <row r="8" spans="1:4" x14ac:dyDescent="0.2">
      <c r="A8" s="10">
        <v>7</v>
      </c>
      <c r="B8" s="10" t="s">
        <v>586</v>
      </c>
      <c r="C8" s="10" t="s">
        <v>313</v>
      </c>
      <c r="D8" s="10" t="s">
        <v>585</v>
      </c>
    </row>
    <row r="9" spans="1:4" x14ac:dyDescent="0.2">
      <c r="A9" s="10">
        <v>8</v>
      </c>
      <c r="B9" s="10" t="s">
        <v>587</v>
      </c>
      <c r="C9" s="10" t="s">
        <v>324</v>
      </c>
      <c r="D9" s="10" t="s">
        <v>585</v>
      </c>
    </row>
    <row r="10" spans="1:4" x14ac:dyDescent="0.2">
      <c r="A10" s="10">
        <v>9</v>
      </c>
      <c r="B10" s="10" t="s">
        <v>588</v>
      </c>
      <c r="C10" s="10" t="s">
        <v>328</v>
      </c>
      <c r="D10" s="10" t="s">
        <v>589</v>
      </c>
    </row>
    <row r="11" spans="1:4" x14ac:dyDescent="0.2">
      <c r="A11" s="10">
        <v>10</v>
      </c>
      <c r="B11" s="10" t="s">
        <v>590</v>
      </c>
      <c r="C11" s="10" t="s">
        <v>336</v>
      </c>
      <c r="D11" s="10" t="s">
        <v>589</v>
      </c>
    </row>
    <row r="12" spans="1:4" x14ac:dyDescent="0.2">
      <c r="A12" s="10">
        <v>11</v>
      </c>
      <c r="B12" s="10" t="s">
        <v>591</v>
      </c>
      <c r="C12" s="10" t="s">
        <v>339</v>
      </c>
      <c r="D12" s="10" t="s">
        <v>589</v>
      </c>
    </row>
    <row r="13" spans="1:4" x14ac:dyDescent="0.2">
      <c r="A13" s="10">
        <v>12</v>
      </c>
      <c r="B13" s="10" t="s">
        <v>592</v>
      </c>
      <c r="C13" s="10" t="s">
        <v>386</v>
      </c>
      <c r="D13" s="10" t="s">
        <v>593</v>
      </c>
    </row>
    <row r="14" spans="1:4" x14ac:dyDescent="0.2">
      <c r="A14" s="10">
        <v>13</v>
      </c>
      <c r="B14" s="10" t="s">
        <v>594</v>
      </c>
      <c r="C14" s="10" t="s">
        <v>402</v>
      </c>
      <c r="D14" s="10" t="s">
        <v>585</v>
      </c>
    </row>
    <row r="15" spans="1:4" x14ac:dyDescent="0.2">
      <c r="A15" s="10">
        <v>14</v>
      </c>
      <c r="B15" s="10" t="s">
        <v>595</v>
      </c>
      <c r="C15" s="10" t="s">
        <v>422</v>
      </c>
      <c r="D15" s="10" t="s">
        <v>581</v>
      </c>
    </row>
    <row r="16" spans="1:4" x14ac:dyDescent="0.2">
      <c r="A16" s="10">
        <v>15</v>
      </c>
      <c r="B16" s="10" t="s">
        <v>596</v>
      </c>
      <c r="C16" s="10" t="s">
        <v>431</v>
      </c>
      <c r="D16" s="10" t="s">
        <v>581</v>
      </c>
    </row>
    <row r="17" spans="1:4" x14ac:dyDescent="0.2">
      <c r="A17" s="10">
        <v>16</v>
      </c>
      <c r="B17" s="10" t="s">
        <v>597</v>
      </c>
      <c r="C17" s="10" t="s">
        <v>444</v>
      </c>
      <c r="D17" s="10" t="s">
        <v>581</v>
      </c>
    </row>
    <row r="18" spans="1:4" x14ac:dyDescent="0.2">
      <c r="A18" s="10">
        <v>17</v>
      </c>
      <c r="B18" s="10" t="s">
        <v>598</v>
      </c>
      <c r="C18" s="10" t="s">
        <v>448</v>
      </c>
      <c r="D18" s="10" t="s">
        <v>581</v>
      </c>
    </row>
    <row r="19" spans="1:4" x14ac:dyDescent="0.2">
      <c r="A19" s="10">
        <v>18</v>
      </c>
      <c r="B19" s="10" t="s">
        <v>599</v>
      </c>
      <c r="C19" s="10" t="s">
        <v>454</v>
      </c>
      <c r="D19" s="10" t="s">
        <v>600</v>
      </c>
    </row>
    <row r="20" spans="1:4" x14ac:dyDescent="0.2">
      <c r="A20" s="10">
        <v>19</v>
      </c>
      <c r="B20" s="10" t="s">
        <v>601</v>
      </c>
      <c r="C20" s="10" t="s">
        <v>463</v>
      </c>
      <c r="D20" s="10" t="s">
        <v>600</v>
      </c>
    </row>
    <row r="21" spans="1:4" x14ac:dyDescent="0.2">
      <c r="A21" s="10">
        <v>20</v>
      </c>
      <c r="B21" s="10" t="s">
        <v>602</v>
      </c>
      <c r="C21" s="10" t="s">
        <v>466</v>
      </c>
      <c r="D21" s="10" t="s">
        <v>600</v>
      </c>
    </row>
    <row r="22" spans="1:4" x14ac:dyDescent="0.2">
      <c r="A22" s="10">
        <v>21</v>
      </c>
      <c r="B22" s="10" t="s">
        <v>603</v>
      </c>
      <c r="C22" s="10" t="s">
        <v>478</v>
      </c>
      <c r="D22" s="10" t="s">
        <v>600</v>
      </c>
    </row>
    <row r="23" spans="1:4" x14ac:dyDescent="0.2">
      <c r="A23" s="10">
        <v>22</v>
      </c>
      <c r="B23" s="10" t="s">
        <v>604</v>
      </c>
      <c r="C23" s="10" t="s">
        <v>488</v>
      </c>
      <c r="D23" s="10" t="s">
        <v>605</v>
      </c>
    </row>
    <row r="24" spans="1:4" x14ac:dyDescent="0.2">
      <c r="A24" s="10">
        <v>23</v>
      </c>
      <c r="B24" s="10" t="s">
        <v>606</v>
      </c>
      <c r="C24" s="10" t="s">
        <v>491</v>
      </c>
      <c r="D24" s="10" t="s">
        <v>605</v>
      </c>
    </row>
    <row r="25" spans="1:4" x14ac:dyDescent="0.2">
      <c r="A25" s="10">
        <v>24</v>
      </c>
      <c r="B25" s="10" t="s">
        <v>607</v>
      </c>
      <c r="C25" s="10" t="s">
        <v>509</v>
      </c>
      <c r="D25" s="10" t="s">
        <v>605</v>
      </c>
    </row>
    <row r="26" spans="1:4" x14ac:dyDescent="0.2">
      <c r="A26" s="10">
        <v>25</v>
      </c>
      <c r="B26" s="10" t="s">
        <v>608</v>
      </c>
      <c r="C26" s="10" t="s">
        <v>511</v>
      </c>
      <c r="D26" s="10" t="s">
        <v>609</v>
      </c>
    </row>
    <row r="27" spans="1:4" x14ac:dyDescent="0.2">
      <c r="A27" s="10">
        <v>26</v>
      </c>
      <c r="B27" s="10" t="s">
        <v>610</v>
      </c>
      <c r="C27" s="10" t="s">
        <v>520</v>
      </c>
      <c r="D27" s="10" t="s">
        <v>609</v>
      </c>
    </row>
    <row r="28" spans="1:4" x14ac:dyDescent="0.2">
      <c r="A28" s="10">
        <v>27</v>
      </c>
      <c r="B28" s="10" t="s">
        <v>611</v>
      </c>
      <c r="C28" s="10" t="s">
        <v>521</v>
      </c>
      <c r="D28" s="10" t="s">
        <v>612</v>
      </c>
    </row>
    <row r="29" spans="1:4" x14ac:dyDescent="0.2">
      <c r="A29" s="10">
        <v>28</v>
      </c>
      <c r="B29" s="10" t="s">
        <v>613</v>
      </c>
      <c r="C29" s="10" t="s">
        <v>534</v>
      </c>
      <c r="D29" s="10" t="s">
        <v>612</v>
      </c>
    </row>
    <row r="30" spans="1:4" x14ac:dyDescent="0.2">
      <c r="A30" s="10">
        <v>29</v>
      </c>
      <c r="B30" s="10" t="s">
        <v>614</v>
      </c>
      <c r="C30" s="10" t="s">
        <v>546</v>
      </c>
      <c r="D30" s="10" t="s">
        <v>615</v>
      </c>
    </row>
    <row r="31" spans="1:4" x14ac:dyDescent="0.2">
      <c r="A31" s="10">
        <v>30</v>
      </c>
      <c r="B31" s="10" t="s">
        <v>616</v>
      </c>
      <c r="C31" s="10" t="s">
        <v>552</v>
      </c>
      <c r="D31" s="10" t="s">
        <v>615</v>
      </c>
    </row>
    <row r="32" spans="1:4" x14ac:dyDescent="0.2">
      <c r="A32" s="10">
        <v>31</v>
      </c>
      <c r="B32" s="10" t="s">
        <v>617</v>
      </c>
      <c r="C32" s="10" t="s">
        <v>559</v>
      </c>
      <c r="D32" s="10" t="s">
        <v>612</v>
      </c>
    </row>
    <row r="33" spans="1:4" x14ac:dyDescent="0.2">
      <c r="A33" s="10">
        <v>32</v>
      </c>
      <c r="C33" s="10" t="s">
        <v>618</v>
      </c>
      <c r="D33" s="10" t="s">
        <v>612</v>
      </c>
    </row>
    <row r="34" spans="1:4" x14ac:dyDescent="0.2">
      <c r="A34" s="10">
        <v>33</v>
      </c>
      <c r="B34" s="10" t="s">
        <v>619</v>
      </c>
      <c r="C34" s="10" t="s">
        <v>155</v>
      </c>
      <c r="D34" s="10" t="s">
        <v>612</v>
      </c>
    </row>
    <row r="35" spans="1:4" x14ac:dyDescent="0.2">
      <c r="A35" s="10">
        <v>34</v>
      </c>
      <c r="B35" s="10" t="s">
        <v>620</v>
      </c>
      <c r="C35" s="10" t="s">
        <v>621</v>
      </c>
      <c r="D35" s="10" t="s">
        <v>612</v>
      </c>
    </row>
    <row r="36" spans="1:4" x14ac:dyDescent="0.2">
      <c r="A36" s="10">
        <v>35</v>
      </c>
      <c r="B36" s="10" t="s">
        <v>622</v>
      </c>
      <c r="C36" s="10" t="s">
        <v>623</v>
      </c>
      <c r="D36" s="10" t="s">
        <v>612</v>
      </c>
    </row>
    <row r="37" spans="1:4" x14ac:dyDescent="0.2">
      <c r="A37" s="10">
        <v>36</v>
      </c>
      <c r="B37" s="10" t="s">
        <v>624</v>
      </c>
      <c r="C37" s="10" t="s">
        <v>625</v>
      </c>
      <c r="D37" s="10" t="s">
        <v>612</v>
      </c>
    </row>
    <row r="38" spans="1:4" x14ac:dyDescent="0.2">
      <c r="A38" s="10">
        <v>37</v>
      </c>
      <c r="B38" s="10" t="s">
        <v>626</v>
      </c>
      <c r="C38" s="10" t="s">
        <v>627</v>
      </c>
      <c r="D38" s="10" t="s">
        <v>612</v>
      </c>
    </row>
    <row r="39" spans="1:4" x14ac:dyDescent="0.2">
      <c r="A39" s="10">
        <v>38</v>
      </c>
      <c r="B39" s="10" t="s">
        <v>628</v>
      </c>
      <c r="C39" s="10" t="s">
        <v>629</v>
      </c>
      <c r="D39" s="10" t="s">
        <v>612</v>
      </c>
    </row>
    <row r="40" spans="1:4" x14ac:dyDescent="0.2">
      <c r="A40" s="10">
        <v>39</v>
      </c>
      <c r="B40" s="10" t="s">
        <v>611</v>
      </c>
      <c r="C40" s="10" t="s">
        <v>630</v>
      </c>
      <c r="D40" s="10" t="s">
        <v>612</v>
      </c>
    </row>
    <row r="41" spans="1:4" x14ac:dyDescent="0.2">
      <c r="A41" s="10">
        <v>40</v>
      </c>
      <c r="B41" s="10" t="s">
        <v>631</v>
      </c>
      <c r="C41" s="10" t="s">
        <v>632</v>
      </c>
      <c r="D41" s="10" t="s">
        <v>612</v>
      </c>
    </row>
    <row r="42" spans="1:4" x14ac:dyDescent="0.2">
      <c r="A42" s="10">
        <v>41</v>
      </c>
      <c r="B42" s="10" t="s">
        <v>633</v>
      </c>
      <c r="C42" s="10" t="s">
        <v>634</v>
      </c>
      <c r="D42" s="10" t="s">
        <v>612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1D4A1-0354-4281-8945-2F8C792F0733}">
  <dimension ref="A1:L45"/>
  <sheetViews>
    <sheetView tabSelected="1" zoomScale="131" workbookViewId="0">
      <selection activeCell="B24" sqref="B24"/>
    </sheetView>
  </sheetViews>
  <sheetFormatPr baseColWidth="10" defaultRowHeight="15" x14ac:dyDescent="0.2"/>
  <cols>
    <col min="1" max="1" width="10.6640625" customWidth="1"/>
    <col min="2" max="2" width="19" customWidth="1"/>
    <col min="3" max="3" width="3" customWidth="1"/>
    <col min="5" max="5" width="101.33203125" style="10" bestFit="1" customWidth="1"/>
    <col min="6" max="6" width="17.1640625" style="10" customWidth="1"/>
    <col min="7" max="7" width="11.5" style="10"/>
    <col min="8" max="8" width="41.5" style="10" customWidth="1"/>
    <col min="9" max="10" width="11.5" style="10"/>
    <col min="11" max="11" width="13.33203125" style="10" customWidth="1"/>
  </cols>
  <sheetData>
    <row r="1" spans="1:8" ht="32" x14ac:dyDescent="0.2">
      <c r="A1" s="53" t="s">
        <v>773</v>
      </c>
      <c r="B1" s="53" t="s">
        <v>774</v>
      </c>
      <c r="C1" s="50" t="s">
        <v>575</v>
      </c>
      <c r="D1" s="50" t="s">
        <v>576</v>
      </c>
      <c r="E1" s="50" t="s">
        <v>577</v>
      </c>
      <c r="F1" s="50" t="s">
        <v>578</v>
      </c>
      <c r="G1" s="67" t="s">
        <v>682</v>
      </c>
      <c r="H1" s="67"/>
    </row>
    <row r="2" spans="1:8" x14ac:dyDescent="0.2">
      <c r="A2" t="s">
        <v>779</v>
      </c>
      <c r="B2" t="s">
        <v>752</v>
      </c>
      <c r="C2">
        <v>1</v>
      </c>
      <c r="D2" s="51" t="s">
        <v>640</v>
      </c>
      <c r="E2" s="51" t="s">
        <v>571</v>
      </c>
      <c r="F2" s="10" t="s">
        <v>580</v>
      </c>
      <c r="G2" s="65"/>
      <c r="H2" s="65"/>
    </row>
    <row r="3" spans="1:8" x14ac:dyDescent="0.2">
      <c r="A3" t="s">
        <v>779</v>
      </c>
      <c r="B3" t="s">
        <v>753</v>
      </c>
      <c r="C3">
        <v>2</v>
      </c>
      <c r="D3" t="s">
        <v>582</v>
      </c>
      <c r="E3" s="10" t="s">
        <v>295</v>
      </c>
      <c r="F3" s="10" t="s">
        <v>583</v>
      </c>
      <c r="G3" s="65"/>
      <c r="H3" s="65"/>
    </row>
    <row r="4" spans="1:8" x14ac:dyDescent="0.2">
      <c r="A4" t="s">
        <v>779</v>
      </c>
      <c r="B4" t="s">
        <v>753</v>
      </c>
      <c r="C4">
        <v>3</v>
      </c>
      <c r="D4" t="s">
        <v>584</v>
      </c>
      <c r="E4" s="10" t="s">
        <v>307</v>
      </c>
      <c r="F4" s="10" t="s">
        <v>585</v>
      </c>
      <c r="G4" s="65"/>
      <c r="H4" s="65"/>
    </row>
    <row r="5" spans="1:8" x14ac:dyDescent="0.2">
      <c r="A5" t="s">
        <v>779</v>
      </c>
      <c r="B5" t="s">
        <v>753</v>
      </c>
      <c r="C5">
        <v>4</v>
      </c>
      <c r="D5" t="s">
        <v>586</v>
      </c>
      <c r="E5" s="10" t="s">
        <v>313</v>
      </c>
      <c r="F5" s="10" t="s">
        <v>585</v>
      </c>
      <c r="G5" s="65"/>
      <c r="H5" s="65"/>
    </row>
    <row r="6" spans="1:8" x14ac:dyDescent="0.2">
      <c r="A6" t="s">
        <v>779</v>
      </c>
      <c r="B6" t="s">
        <v>753</v>
      </c>
      <c r="C6">
        <v>5</v>
      </c>
      <c r="D6" t="s">
        <v>587</v>
      </c>
      <c r="E6" s="10" t="s">
        <v>324</v>
      </c>
      <c r="F6" s="10" t="s">
        <v>585</v>
      </c>
      <c r="G6" s="65"/>
      <c r="H6" s="65"/>
    </row>
    <row r="7" spans="1:8" x14ac:dyDescent="0.2">
      <c r="A7" t="s">
        <v>780</v>
      </c>
      <c r="B7" t="s">
        <v>755</v>
      </c>
      <c r="C7">
        <v>6</v>
      </c>
      <c r="D7" t="s">
        <v>588</v>
      </c>
      <c r="E7" s="10" t="s">
        <v>328</v>
      </c>
      <c r="F7" s="10" t="s">
        <v>589</v>
      </c>
      <c r="G7" s="66"/>
      <c r="H7" s="66"/>
    </row>
    <row r="8" spans="1:8" x14ac:dyDescent="0.2">
      <c r="A8" t="s">
        <v>780</v>
      </c>
      <c r="B8" t="s">
        <v>755</v>
      </c>
      <c r="C8">
        <v>7</v>
      </c>
      <c r="D8" t="s">
        <v>590</v>
      </c>
      <c r="E8" s="10" t="s">
        <v>336</v>
      </c>
      <c r="F8" s="10" t="s">
        <v>589</v>
      </c>
      <c r="G8" s="66"/>
      <c r="H8" s="66"/>
    </row>
    <row r="9" spans="1:8" x14ac:dyDescent="0.2">
      <c r="A9" t="s">
        <v>780</v>
      </c>
      <c r="B9" t="s">
        <v>755</v>
      </c>
      <c r="C9">
        <v>8</v>
      </c>
      <c r="D9" t="s">
        <v>591</v>
      </c>
      <c r="E9" s="10" t="s">
        <v>339</v>
      </c>
      <c r="F9" s="10" t="s">
        <v>589</v>
      </c>
      <c r="G9" s="65"/>
      <c r="H9" s="65"/>
    </row>
    <row r="10" spans="1:8" x14ac:dyDescent="0.2">
      <c r="A10" t="s">
        <v>780</v>
      </c>
      <c r="B10" t="s">
        <v>754</v>
      </c>
      <c r="C10">
        <v>9</v>
      </c>
      <c r="D10" t="s">
        <v>592</v>
      </c>
      <c r="E10" s="10" t="s">
        <v>386</v>
      </c>
      <c r="F10" s="10" t="s">
        <v>593</v>
      </c>
      <c r="G10" s="65"/>
      <c r="H10" s="65"/>
    </row>
    <row r="11" spans="1:8" x14ac:dyDescent="0.2">
      <c r="A11" t="s">
        <v>780</v>
      </c>
      <c r="B11" t="s">
        <v>756</v>
      </c>
      <c r="C11">
        <v>10</v>
      </c>
      <c r="D11" t="s">
        <v>594</v>
      </c>
      <c r="E11" s="10" t="s">
        <v>402</v>
      </c>
      <c r="F11" s="10" t="s">
        <v>585</v>
      </c>
      <c r="G11" s="65"/>
      <c r="H11" s="65"/>
    </row>
    <row r="12" spans="1:8" x14ac:dyDescent="0.2">
      <c r="A12" t="s">
        <v>780</v>
      </c>
      <c r="B12" t="s">
        <v>763</v>
      </c>
      <c r="C12">
        <v>18</v>
      </c>
      <c r="D12" t="s">
        <v>599</v>
      </c>
      <c r="E12" s="10" t="s">
        <v>454</v>
      </c>
      <c r="F12" s="10" t="s">
        <v>600</v>
      </c>
    </row>
    <row r="13" spans="1:8" x14ac:dyDescent="0.2">
      <c r="A13" t="s">
        <v>780</v>
      </c>
      <c r="B13" t="s">
        <v>763</v>
      </c>
      <c r="C13">
        <v>19</v>
      </c>
      <c r="D13" t="s">
        <v>601</v>
      </c>
      <c r="E13" s="10" t="s">
        <v>463</v>
      </c>
      <c r="F13" s="10" t="s">
        <v>600</v>
      </c>
    </row>
    <row r="14" spans="1:8" x14ac:dyDescent="0.2">
      <c r="A14" t="s">
        <v>780</v>
      </c>
      <c r="B14" t="s">
        <v>763</v>
      </c>
      <c r="C14">
        <v>20</v>
      </c>
      <c r="D14" t="s">
        <v>602</v>
      </c>
      <c r="E14" s="10" t="s">
        <v>466</v>
      </c>
      <c r="F14" s="10" t="s">
        <v>600</v>
      </c>
    </row>
    <row r="15" spans="1:8" x14ac:dyDescent="0.2">
      <c r="A15" t="s">
        <v>780</v>
      </c>
      <c r="B15" t="s">
        <v>763</v>
      </c>
      <c r="C15">
        <v>21</v>
      </c>
      <c r="D15" t="s">
        <v>603</v>
      </c>
      <c r="E15" s="10" t="s">
        <v>478</v>
      </c>
      <c r="F15" s="10" t="s">
        <v>600</v>
      </c>
    </row>
    <row r="16" spans="1:8" x14ac:dyDescent="0.2">
      <c r="A16" t="s">
        <v>781</v>
      </c>
      <c r="B16" t="s">
        <v>757</v>
      </c>
      <c r="C16">
        <v>11</v>
      </c>
      <c r="D16" s="51" t="s">
        <v>641</v>
      </c>
      <c r="E16" s="10" t="s">
        <v>275</v>
      </c>
      <c r="F16" s="10" t="s">
        <v>581</v>
      </c>
      <c r="G16" s="65"/>
      <c r="H16" s="65"/>
    </row>
    <row r="17" spans="1:8" x14ac:dyDescent="0.2">
      <c r="A17" t="s">
        <v>781</v>
      </c>
      <c r="B17" t="s">
        <v>758</v>
      </c>
      <c r="C17">
        <v>12</v>
      </c>
      <c r="D17" t="s">
        <v>595</v>
      </c>
      <c r="E17" s="10" t="s">
        <v>422</v>
      </c>
      <c r="F17" s="10" t="s">
        <v>581</v>
      </c>
      <c r="G17" s="65"/>
      <c r="H17" s="65"/>
    </row>
    <row r="18" spans="1:8" x14ac:dyDescent="0.2">
      <c r="A18" t="s">
        <v>781</v>
      </c>
      <c r="B18" t="s">
        <v>760</v>
      </c>
      <c r="C18">
        <v>14</v>
      </c>
      <c r="D18" t="s">
        <v>597</v>
      </c>
      <c r="E18" s="10" t="s">
        <v>444</v>
      </c>
      <c r="F18" s="10" t="s">
        <v>581</v>
      </c>
      <c r="G18" s="65"/>
      <c r="H18" s="65"/>
    </row>
    <row r="19" spans="1:8" x14ac:dyDescent="0.2">
      <c r="A19" t="s">
        <v>778</v>
      </c>
      <c r="B19" t="s">
        <v>759</v>
      </c>
      <c r="C19">
        <v>13</v>
      </c>
      <c r="D19" t="s">
        <v>596</v>
      </c>
      <c r="E19" s="10" t="s">
        <v>431</v>
      </c>
      <c r="F19" s="10" t="s">
        <v>581</v>
      </c>
      <c r="G19" s="65"/>
      <c r="H19" s="65"/>
    </row>
    <row r="20" spans="1:8" x14ac:dyDescent="0.2">
      <c r="A20" t="s">
        <v>778</v>
      </c>
      <c r="B20" t="s">
        <v>761</v>
      </c>
      <c r="C20">
        <v>15</v>
      </c>
      <c r="D20" t="s">
        <v>598</v>
      </c>
      <c r="E20" s="10" t="s">
        <v>448</v>
      </c>
      <c r="F20" s="10" t="s">
        <v>581</v>
      </c>
      <c r="G20" s="65"/>
      <c r="H20" s="65"/>
    </row>
    <row r="21" spans="1:8" x14ac:dyDescent="0.2">
      <c r="A21" t="s">
        <v>778</v>
      </c>
      <c r="B21" t="s">
        <v>762</v>
      </c>
      <c r="C21">
        <v>16</v>
      </c>
      <c r="D21" s="51" t="s">
        <v>642</v>
      </c>
      <c r="E21" s="10" t="s">
        <v>283</v>
      </c>
      <c r="F21" s="10" t="s">
        <v>581</v>
      </c>
      <c r="G21" s="65"/>
      <c r="H21" s="65"/>
    </row>
    <row r="22" spans="1:8" x14ac:dyDescent="0.2">
      <c r="A22" t="s">
        <v>778</v>
      </c>
      <c r="C22">
        <v>17</v>
      </c>
      <c r="D22" s="51" t="s">
        <v>643</v>
      </c>
      <c r="E22" s="10" t="s">
        <v>265</v>
      </c>
      <c r="F22" s="10" t="s">
        <v>581</v>
      </c>
      <c r="G22" s="65"/>
      <c r="H22" s="65"/>
    </row>
    <row r="23" spans="1:8" x14ac:dyDescent="0.2">
      <c r="A23" s="114" t="s">
        <v>764</v>
      </c>
      <c r="B23" s="114"/>
      <c r="C23" s="114">
        <v>22</v>
      </c>
      <c r="D23" s="114" t="s">
        <v>644</v>
      </c>
      <c r="E23" s="115" t="s">
        <v>645</v>
      </c>
      <c r="F23" s="51" t="s">
        <v>646</v>
      </c>
      <c r="G23" s="69" t="s">
        <v>785</v>
      </c>
      <c r="H23" s="69"/>
    </row>
    <row r="24" spans="1:8" x14ac:dyDescent="0.2">
      <c r="A24" s="114" t="s">
        <v>764</v>
      </c>
      <c r="B24" s="114" t="s">
        <v>768</v>
      </c>
      <c r="C24" s="114">
        <v>42</v>
      </c>
      <c r="D24" s="116" t="s">
        <v>751</v>
      </c>
      <c r="E24" s="115" t="s">
        <v>750</v>
      </c>
      <c r="F24" s="10" t="s">
        <v>646</v>
      </c>
      <c r="G24" s="10" t="s">
        <v>785</v>
      </c>
    </row>
    <row r="25" spans="1:8" x14ac:dyDescent="0.2">
      <c r="A25" t="s">
        <v>782</v>
      </c>
      <c r="B25" t="s">
        <v>765</v>
      </c>
      <c r="C25">
        <v>23</v>
      </c>
      <c r="D25" t="s">
        <v>604</v>
      </c>
      <c r="E25" s="10" t="s">
        <v>488</v>
      </c>
      <c r="F25" s="10" t="s">
        <v>605</v>
      </c>
      <c r="G25" s="64"/>
      <c r="H25" s="64"/>
    </row>
    <row r="26" spans="1:8" x14ac:dyDescent="0.2">
      <c r="A26" t="s">
        <v>782</v>
      </c>
      <c r="B26" t="s">
        <v>765</v>
      </c>
      <c r="C26">
        <v>24</v>
      </c>
      <c r="D26" t="s">
        <v>606</v>
      </c>
      <c r="E26" s="10" t="s">
        <v>491</v>
      </c>
      <c r="F26" s="10" t="s">
        <v>605</v>
      </c>
      <c r="G26" s="64"/>
      <c r="H26" s="64"/>
    </row>
    <row r="27" spans="1:8" x14ac:dyDescent="0.2">
      <c r="A27" t="s">
        <v>782</v>
      </c>
      <c r="B27" t="s">
        <v>765</v>
      </c>
      <c r="C27">
        <v>25</v>
      </c>
      <c r="D27" t="s">
        <v>607</v>
      </c>
      <c r="E27" s="10" t="s">
        <v>509</v>
      </c>
      <c r="F27" s="10" t="s">
        <v>605</v>
      </c>
      <c r="G27" s="64"/>
      <c r="H27" s="64"/>
    </row>
    <row r="28" spans="1:8" x14ac:dyDescent="0.2">
      <c r="A28" t="s">
        <v>783</v>
      </c>
      <c r="B28" t="s">
        <v>766</v>
      </c>
      <c r="C28">
        <v>26</v>
      </c>
      <c r="D28" t="s">
        <v>608</v>
      </c>
      <c r="E28" s="10" t="s">
        <v>511</v>
      </c>
      <c r="F28" s="10" t="s">
        <v>609</v>
      </c>
      <c r="G28" s="64"/>
      <c r="H28" s="64"/>
    </row>
    <row r="29" spans="1:8" x14ac:dyDescent="0.2">
      <c r="A29" t="s">
        <v>783</v>
      </c>
      <c r="B29" t="s">
        <v>766</v>
      </c>
      <c r="C29">
        <v>27</v>
      </c>
      <c r="D29" t="s">
        <v>610</v>
      </c>
      <c r="E29" s="10" t="s">
        <v>520</v>
      </c>
      <c r="F29" s="10" t="s">
        <v>609</v>
      </c>
      <c r="G29" s="64"/>
      <c r="H29" s="64"/>
    </row>
    <row r="30" spans="1:8" x14ac:dyDescent="0.2">
      <c r="D30" t="s">
        <v>647</v>
      </c>
      <c r="E30" s="10" t="s">
        <v>648</v>
      </c>
      <c r="G30" s="69" t="s">
        <v>649</v>
      </c>
      <c r="H30" s="69"/>
    </row>
    <row r="31" spans="1:8" x14ac:dyDescent="0.2">
      <c r="D31" t="s">
        <v>650</v>
      </c>
      <c r="G31" s="64" t="s">
        <v>652</v>
      </c>
      <c r="H31" s="64"/>
    </row>
    <row r="32" spans="1:8" x14ac:dyDescent="0.2">
      <c r="A32" t="s">
        <v>772</v>
      </c>
      <c r="C32">
        <v>28</v>
      </c>
      <c r="D32" s="51" t="s">
        <v>619</v>
      </c>
      <c r="E32" s="10" t="s">
        <v>155</v>
      </c>
      <c r="F32" s="51" t="s">
        <v>612</v>
      </c>
      <c r="G32" s="64"/>
      <c r="H32" s="64"/>
    </row>
    <row r="33" spans="1:12" x14ac:dyDescent="0.2">
      <c r="A33" t="s">
        <v>775</v>
      </c>
      <c r="C33">
        <v>29</v>
      </c>
      <c r="D33" s="51" t="s">
        <v>620</v>
      </c>
      <c r="E33" s="10" t="s">
        <v>156</v>
      </c>
      <c r="F33" s="51" t="s">
        <v>612</v>
      </c>
      <c r="G33" s="64" t="s">
        <v>680</v>
      </c>
      <c r="H33" s="64"/>
      <c r="I33" s="10" t="s">
        <v>687</v>
      </c>
    </row>
    <row r="34" spans="1:12" x14ac:dyDescent="0.2">
      <c r="A34" t="s">
        <v>775</v>
      </c>
      <c r="C34">
        <v>30</v>
      </c>
      <c r="D34" s="51" t="s">
        <v>622</v>
      </c>
      <c r="E34" s="10" t="s">
        <v>635</v>
      </c>
      <c r="F34" s="51" t="s">
        <v>612</v>
      </c>
      <c r="G34" s="64"/>
      <c r="H34" s="64"/>
    </row>
    <row r="35" spans="1:12" x14ac:dyDescent="0.2">
      <c r="A35" t="s">
        <v>775</v>
      </c>
      <c r="C35">
        <v>31</v>
      </c>
      <c r="D35" s="51" t="s">
        <v>624</v>
      </c>
      <c r="E35" s="10" t="s">
        <v>636</v>
      </c>
      <c r="F35" s="51" t="s">
        <v>612</v>
      </c>
      <c r="G35" s="64"/>
      <c r="H35" s="64"/>
    </row>
    <row r="36" spans="1:12" x14ac:dyDescent="0.2">
      <c r="A36" t="s">
        <v>775</v>
      </c>
      <c r="C36">
        <v>32</v>
      </c>
      <c r="D36" s="51" t="s">
        <v>626</v>
      </c>
      <c r="E36" s="51" t="s">
        <v>637</v>
      </c>
      <c r="F36" s="51" t="s">
        <v>612</v>
      </c>
      <c r="G36" s="64"/>
      <c r="H36" s="64"/>
    </row>
    <row r="37" spans="1:12" x14ac:dyDescent="0.2">
      <c r="A37" t="s">
        <v>775</v>
      </c>
      <c r="C37">
        <v>33</v>
      </c>
      <c r="D37" s="51" t="s">
        <v>628</v>
      </c>
      <c r="E37" s="51" t="s">
        <v>638</v>
      </c>
      <c r="F37" s="51" t="s">
        <v>612</v>
      </c>
      <c r="G37" s="64"/>
      <c r="H37" s="64"/>
    </row>
    <row r="38" spans="1:12" x14ac:dyDescent="0.2">
      <c r="A38" s="113" t="s">
        <v>784</v>
      </c>
      <c r="B38" s="113" t="s">
        <v>771</v>
      </c>
      <c r="C38">
        <v>34</v>
      </c>
      <c r="D38" s="68" t="s">
        <v>611</v>
      </c>
      <c r="E38" s="10" t="s">
        <v>639</v>
      </c>
      <c r="F38" s="51" t="s">
        <v>612</v>
      </c>
      <c r="G38" s="64" t="s">
        <v>681</v>
      </c>
      <c r="H38" s="64"/>
      <c r="I38" s="64"/>
      <c r="J38" s="64"/>
      <c r="K38" s="64"/>
      <c r="L38" t="s">
        <v>687</v>
      </c>
    </row>
    <row r="39" spans="1:12" x14ac:dyDescent="0.2">
      <c r="A39" s="113"/>
      <c r="B39" s="113"/>
      <c r="C39">
        <v>35</v>
      </c>
      <c r="D39" s="68"/>
      <c r="E39" s="10" t="s">
        <v>684</v>
      </c>
      <c r="F39" s="10" t="s">
        <v>612</v>
      </c>
    </row>
    <row r="40" spans="1:12" x14ac:dyDescent="0.2">
      <c r="A40" t="s">
        <v>769</v>
      </c>
      <c r="B40" t="s">
        <v>769</v>
      </c>
      <c r="C40">
        <v>36</v>
      </c>
      <c r="D40" s="51" t="s">
        <v>613</v>
      </c>
      <c r="E40" s="10" t="s">
        <v>534</v>
      </c>
      <c r="F40" s="10" t="s">
        <v>612</v>
      </c>
      <c r="G40" s="64"/>
      <c r="H40" s="64"/>
    </row>
    <row r="41" spans="1:12" x14ac:dyDescent="0.2">
      <c r="A41" t="s">
        <v>769</v>
      </c>
      <c r="B41" t="s">
        <v>767</v>
      </c>
      <c r="C41">
        <v>37</v>
      </c>
      <c r="D41" s="51" t="s">
        <v>614</v>
      </c>
      <c r="E41" s="10" t="s">
        <v>546</v>
      </c>
      <c r="F41" s="10" t="s">
        <v>615</v>
      </c>
      <c r="G41" s="64"/>
      <c r="H41" s="64"/>
    </row>
    <row r="42" spans="1:12" x14ac:dyDescent="0.2">
      <c r="A42" t="s">
        <v>769</v>
      </c>
      <c r="B42" t="s">
        <v>767</v>
      </c>
      <c r="C42">
        <v>38</v>
      </c>
      <c r="D42" s="51" t="s">
        <v>616</v>
      </c>
      <c r="E42" s="10" t="s">
        <v>552</v>
      </c>
      <c r="F42" s="10" t="s">
        <v>615</v>
      </c>
      <c r="G42" s="64"/>
      <c r="H42" s="64"/>
    </row>
    <row r="43" spans="1:12" x14ac:dyDescent="0.2">
      <c r="A43" t="s">
        <v>772</v>
      </c>
      <c r="B43" t="s">
        <v>777</v>
      </c>
      <c r="C43">
        <v>39</v>
      </c>
      <c r="D43" s="51" t="s">
        <v>631</v>
      </c>
      <c r="E43" s="10" t="s">
        <v>152</v>
      </c>
      <c r="F43" s="10" t="s">
        <v>612</v>
      </c>
      <c r="G43" s="64" t="s">
        <v>683</v>
      </c>
      <c r="H43" s="64"/>
      <c r="I43" s="64"/>
      <c r="J43" s="10" t="s">
        <v>687</v>
      </c>
    </row>
    <row r="44" spans="1:12" x14ac:dyDescent="0.2">
      <c r="A44" t="s">
        <v>770</v>
      </c>
      <c r="B44" t="s">
        <v>770</v>
      </c>
      <c r="C44">
        <v>40</v>
      </c>
      <c r="D44" s="51" t="s">
        <v>617</v>
      </c>
      <c r="E44" s="10" t="s">
        <v>559</v>
      </c>
      <c r="F44" s="10" t="s">
        <v>612</v>
      </c>
      <c r="G44" s="65"/>
      <c r="H44" s="65"/>
    </row>
    <row r="45" spans="1:12" x14ac:dyDescent="0.2">
      <c r="A45" t="s">
        <v>770</v>
      </c>
      <c r="B45" t="s">
        <v>776</v>
      </c>
      <c r="C45">
        <v>41</v>
      </c>
      <c r="D45" s="51" t="s">
        <v>651</v>
      </c>
      <c r="E45" s="10" t="s">
        <v>570</v>
      </c>
      <c r="F45" s="10" t="s">
        <v>612</v>
      </c>
      <c r="G45" s="66" t="s">
        <v>686</v>
      </c>
      <c r="H45" s="66"/>
    </row>
  </sheetData>
  <mergeCells count="42">
    <mergeCell ref="B38:B39"/>
    <mergeCell ref="A38:A39"/>
    <mergeCell ref="D38:D39"/>
    <mergeCell ref="G23:H23"/>
    <mergeCell ref="G31:H31"/>
    <mergeCell ref="G30:H30"/>
    <mergeCell ref="G7:H7"/>
    <mergeCell ref="G8:H8"/>
    <mergeCell ref="G33:H33"/>
    <mergeCell ref="G38:K38"/>
    <mergeCell ref="G22:H22"/>
    <mergeCell ref="G25:H25"/>
    <mergeCell ref="G26:H26"/>
    <mergeCell ref="G27:H27"/>
    <mergeCell ref="G28:H28"/>
    <mergeCell ref="G29:H29"/>
    <mergeCell ref="G17:H17"/>
    <mergeCell ref="G19:H19"/>
    <mergeCell ref="G20:H20"/>
    <mergeCell ref="G18:H18"/>
    <mergeCell ref="G21:H21"/>
    <mergeCell ref="G6:H6"/>
    <mergeCell ref="G9:H9"/>
    <mergeCell ref="G10:H10"/>
    <mergeCell ref="G11:H11"/>
    <mergeCell ref="G16:H16"/>
    <mergeCell ref="G1:H1"/>
    <mergeCell ref="G2:H2"/>
    <mergeCell ref="G3:H3"/>
    <mergeCell ref="G4:H4"/>
    <mergeCell ref="G5:H5"/>
    <mergeCell ref="G32:H32"/>
    <mergeCell ref="G34:H34"/>
    <mergeCell ref="G35:H35"/>
    <mergeCell ref="G36:H36"/>
    <mergeCell ref="G37:H37"/>
    <mergeCell ref="G40:H40"/>
    <mergeCell ref="G41:H41"/>
    <mergeCell ref="G42:H42"/>
    <mergeCell ref="G44:H44"/>
    <mergeCell ref="G45:H45"/>
    <mergeCell ref="G43:I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92090-D634-4771-8AA0-7396A7CC15B7}">
  <dimension ref="A1:K13"/>
  <sheetViews>
    <sheetView showGridLines="0" workbookViewId="0">
      <selection activeCell="E21" sqref="E21"/>
    </sheetView>
  </sheetViews>
  <sheetFormatPr baseColWidth="10" defaultColWidth="11.5" defaultRowHeight="15" x14ac:dyDescent="0.2"/>
  <cols>
    <col min="1" max="1" width="15.6640625" style="10" customWidth="1"/>
    <col min="2" max="2" width="14.5" style="10" customWidth="1"/>
    <col min="3" max="3" width="12.5" style="10" customWidth="1"/>
    <col min="4" max="4" width="12.83203125" style="10" customWidth="1"/>
    <col min="5" max="5" width="29.6640625" style="10" customWidth="1"/>
    <col min="6" max="6" width="24.83203125" style="10" customWidth="1"/>
    <col min="7" max="7" width="23.83203125" style="10" customWidth="1"/>
    <col min="8" max="8" width="1.33203125" style="10" customWidth="1"/>
    <col min="9" max="9" width="12.6640625" style="10" customWidth="1"/>
    <col min="10" max="10" width="25.5" style="10" bestFit="1" customWidth="1"/>
    <col min="11" max="16384" width="11.5" style="10"/>
  </cols>
  <sheetData>
    <row r="1" spans="1:11" customFormat="1" ht="16" x14ac:dyDescent="0.2">
      <c r="A1" s="72" t="s">
        <v>571</v>
      </c>
      <c r="B1" s="72"/>
      <c r="C1" s="72"/>
      <c r="D1" s="72"/>
      <c r="E1" s="72"/>
      <c r="F1" s="72"/>
      <c r="G1" s="72"/>
      <c r="H1" s="72"/>
      <c r="I1" s="72"/>
      <c r="J1" s="72"/>
      <c r="K1" s="2"/>
    </row>
    <row r="2" spans="1:11" x14ac:dyDescent="0.2">
      <c r="A2" s="73" t="s">
        <v>245</v>
      </c>
      <c r="B2" s="73" t="s">
        <v>246</v>
      </c>
      <c r="C2" s="73" t="s">
        <v>247</v>
      </c>
      <c r="D2" s="73" t="s">
        <v>248</v>
      </c>
      <c r="E2" s="71" t="s">
        <v>258</v>
      </c>
      <c r="F2" s="71"/>
      <c r="G2" s="71"/>
      <c r="H2" s="46"/>
      <c r="I2" s="71" t="s">
        <v>262</v>
      </c>
      <c r="J2" s="71"/>
    </row>
    <row r="3" spans="1:11" ht="32" x14ac:dyDescent="0.2">
      <c r="A3" s="74"/>
      <c r="B3" s="74"/>
      <c r="C3" s="74"/>
      <c r="D3" s="74"/>
      <c r="E3" s="37" t="s">
        <v>259</v>
      </c>
      <c r="F3" s="37" t="s">
        <v>260</v>
      </c>
      <c r="G3" s="37" t="s">
        <v>261</v>
      </c>
      <c r="H3" s="47"/>
      <c r="I3" s="27" t="s">
        <v>263</v>
      </c>
      <c r="J3" s="27" t="s">
        <v>264</v>
      </c>
    </row>
    <row r="4" spans="1:11" x14ac:dyDescent="0.2">
      <c r="A4" s="10" t="s">
        <v>249</v>
      </c>
      <c r="B4" s="10">
        <v>0</v>
      </c>
      <c r="C4" s="10">
        <v>124</v>
      </c>
      <c r="D4" s="10">
        <v>124</v>
      </c>
      <c r="E4" s="10">
        <v>32</v>
      </c>
      <c r="F4" s="10">
        <v>0</v>
      </c>
      <c r="G4" s="10">
        <v>0</v>
      </c>
      <c r="I4" s="10">
        <v>32</v>
      </c>
      <c r="J4" s="10">
        <v>0</v>
      </c>
    </row>
    <row r="5" spans="1:11" x14ac:dyDescent="0.2">
      <c r="A5" s="10" t="s">
        <v>250</v>
      </c>
      <c r="B5" s="10">
        <v>1</v>
      </c>
      <c r="C5" s="10">
        <v>0</v>
      </c>
      <c r="D5" s="10">
        <v>5</v>
      </c>
      <c r="E5" s="10">
        <v>14</v>
      </c>
      <c r="F5" s="10">
        <v>0</v>
      </c>
      <c r="G5" s="10">
        <v>0</v>
      </c>
      <c r="I5" s="10">
        <v>14</v>
      </c>
      <c r="J5" s="10">
        <v>0</v>
      </c>
    </row>
    <row r="6" spans="1:11" x14ac:dyDescent="0.2">
      <c r="A6" s="10" t="s">
        <v>251</v>
      </c>
      <c r="B6" s="10">
        <v>10</v>
      </c>
      <c r="C6" s="10">
        <v>0</v>
      </c>
      <c r="D6" s="10">
        <v>172</v>
      </c>
      <c r="E6" s="10">
        <v>12</v>
      </c>
      <c r="F6" s="10">
        <v>6</v>
      </c>
      <c r="G6" s="10">
        <v>3</v>
      </c>
      <c r="I6" s="10">
        <v>21</v>
      </c>
      <c r="J6" s="10">
        <v>0</v>
      </c>
    </row>
    <row r="7" spans="1:11" x14ac:dyDescent="0.2">
      <c r="A7" s="10" t="s">
        <v>252</v>
      </c>
      <c r="B7" s="16">
        <v>2083</v>
      </c>
      <c r="C7" s="10">
        <v>0</v>
      </c>
      <c r="D7" s="16">
        <v>2083</v>
      </c>
      <c r="E7" s="10">
        <v>186</v>
      </c>
      <c r="F7" s="16">
        <v>1205</v>
      </c>
      <c r="G7" s="10">
        <v>84</v>
      </c>
      <c r="I7" s="16">
        <v>1475</v>
      </c>
      <c r="J7" s="10">
        <v>42</v>
      </c>
    </row>
    <row r="8" spans="1:11" x14ac:dyDescent="0.2">
      <c r="A8" s="10" t="s">
        <v>253</v>
      </c>
      <c r="B8" s="10">
        <v>35</v>
      </c>
      <c r="C8" s="10">
        <v>0</v>
      </c>
      <c r="D8" s="10">
        <v>733</v>
      </c>
      <c r="E8" s="10">
        <v>78</v>
      </c>
      <c r="F8" s="10">
        <v>266</v>
      </c>
      <c r="G8" s="10">
        <v>20</v>
      </c>
      <c r="I8" s="10">
        <v>364</v>
      </c>
      <c r="J8" s="10">
        <v>2</v>
      </c>
    </row>
    <row r="9" spans="1:11" x14ac:dyDescent="0.2">
      <c r="A9" s="10" t="s">
        <v>254</v>
      </c>
      <c r="B9" s="10">
        <v>507</v>
      </c>
      <c r="C9" s="10">
        <v>0</v>
      </c>
      <c r="D9" s="10">
        <v>507</v>
      </c>
      <c r="E9" s="10">
        <v>9</v>
      </c>
      <c r="F9" s="10">
        <v>55</v>
      </c>
      <c r="G9" s="10">
        <v>9</v>
      </c>
      <c r="I9" s="10">
        <v>73</v>
      </c>
      <c r="J9" s="10">
        <v>16</v>
      </c>
    </row>
    <row r="10" spans="1:11" x14ac:dyDescent="0.2">
      <c r="A10" s="10" t="s">
        <v>255</v>
      </c>
      <c r="B10" s="10">
        <v>46</v>
      </c>
      <c r="C10" s="10">
        <v>0</v>
      </c>
      <c r="D10" s="10">
        <v>296</v>
      </c>
      <c r="E10" s="10">
        <v>91</v>
      </c>
      <c r="F10" s="10">
        <v>0</v>
      </c>
      <c r="G10" s="10">
        <v>0</v>
      </c>
      <c r="I10" s="10">
        <v>91</v>
      </c>
      <c r="J10" s="10">
        <v>0</v>
      </c>
    </row>
    <row r="11" spans="1:11" x14ac:dyDescent="0.2">
      <c r="A11" s="10" t="s">
        <v>256</v>
      </c>
      <c r="B11" s="10">
        <v>5</v>
      </c>
      <c r="C11" s="10">
        <v>0</v>
      </c>
      <c r="D11" s="10">
        <v>73</v>
      </c>
      <c r="E11" s="10">
        <v>0</v>
      </c>
      <c r="F11" s="10">
        <v>0</v>
      </c>
      <c r="G11" s="10">
        <v>0</v>
      </c>
      <c r="I11" s="10">
        <v>0</v>
      </c>
      <c r="J11" s="10">
        <v>0</v>
      </c>
    </row>
    <row r="12" spans="1:11" x14ac:dyDescent="0.2">
      <c r="A12" s="11" t="s">
        <v>8</v>
      </c>
      <c r="B12" s="17">
        <v>2687</v>
      </c>
      <c r="C12" s="35">
        <v>124</v>
      </c>
      <c r="D12" s="36">
        <v>3993</v>
      </c>
      <c r="E12" s="35">
        <v>422</v>
      </c>
      <c r="F12" s="36">
        <v>1532</v>
      </c>
      <c r="G12" s="35">
        <v>116</v>
      </c>
      <c r="H12" s="41"/>
      <c r="I12" s="36">
        <v>2070</v>
      </c>
      <c r="J12" s="35">
        <v>60</v>
      </c>
    </row>
    <row r="13" spans="1:11" x14ac:dyDescent="0.2">
      <c r="A13" s="70" t="s">
        <v>257</v>
      </c>
      <c r="B13" s="70"/>
      <c r="C13" s="70"/>
      <c r="D13" s="70"/>
      <c r="E13" s="70"/>
      <c r="F13" s="70"/>
      <c r="G13" s="70"/>
      <c r="H13" s="70"/>
      <c r="I13" s="70"/>
      <c r="J13" s="70"/>
      <c r="K13" s="6"/>
    </row>
  </sheetData>
  <mergeCells count="8">
    <mergeCell ref="A13:J13"/>
    <mergeCell ref="E2:G2"/>
    <mergeCell ref="I2:J2"/>
    <mergeCell ref="A1:J1"/>
    <mergeCell ref="D2:D3"/>
    <mergeCell ref="C2:C3"/>
    <mergeCell ref="B2:B3"/>
    <mergeCell ref="A2:A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029C7-9DF6-4A87-BF85-4A8E1F748766}">
  <dimension ref="A1:E11"/>
  <sheetViews>
    <sheetView showGridLines="0" workbookViewId="0">
      <selection activeCell="G14" sqref="G14"/>
    </sheetView>
  </sheetViews>
  <sheetFormatPr baseColWidth="10" defaultColWidth="11.5" defaultRowHeight="15" x14ac:dyDescent="0.2"/>
  <cols>
    <col min="1" max="1" width="37" style="10" customWidth="1"/>
    <col min="2" max="2" width="22" style="10" customWidth="1"/>
    <col min="3" max="3" width="20.83203125" style="10" customWidth="1"/>
    <col min="4" max="4" width="23.1640625" style="10" customWidth="1"/>
    <col min="5" max="16384" width="11.5" style="10"/>
  </cols>
  <sheetData>
    <row r="1" spans="1:5" customFormat="1" ht="16" x14ac:dyDescent="0.2">
      <c r="A1" s="72" t="s">
        <v>295</v>
      </c>
      <c r="B1" s="72"/>
      <c r="C1" s="72"/>
      <c r="D1" s="72"/>
      <c r="E1" s="2"/>
    </row>
    <row r="2" spans="1:5" x14ac:dyDescent="0.2">
      <c r="A2" s="24" t="s">
        <v>296</v>
      </c>
      <c r="B2" s="24" t="s">
        <v>297</v>
      </c>
      <c r="C2" s="24" t="s">
        <v>298</v>
      </c>
      <c r="D2" s="24" t="s">
        <v>8</v>
      </c>
    </row>
    <row r="3" spans="1:5" x14ac:dyDescent="0.2">
      <c r="A3" s="10" t="s">
        <v>299</v>
      </c>
      <c r="B3" s="16">
        <v>3545</v>
      </c>
      <c r="C3" s="16">
        <v>3088</v>
      </c>
      <c r="D3" s="16">
        <v>6663</v>
      </c>
    </row>
    <row r="4" spans="1:5" x14ac:dyDescent="0.2">
      <c r="A4" s="10" t="s">
        <v>300</v>
      </c>
      <c r="B4" s="16">
        <v>4645</v>
      </c>
      <c r="C4" s="16">
        <v>3452</v>
      </c>
      <c r="D4" s="16">
        <v>8097</v>
      </c>
    </row>
    <row r="5" spans="1:5" x14ac:dyDescent="0.2">
      <c r="A5" s="10" t="s">
        <v>301</v>
      </c>
      <c r="B5" s="16">
        <v>3468</v>
      </c>
      <c r="C5" s="16">
        <v>2457</v>
      </c>
      <c r="D5" s="16">
        <v>5925</v>
      </c>
    </row>
    <row r="6" spans="1:5" x14ac:dyDescent="0.2">
      <c r="A6" s="10" t="s">
        <v>302</v>
      </c>
      <c r="B6" s="10">
        <v>1</v>
      </c>
      <c r="C6" s="10">
        <v>7</v>
      </c>
      <c r="D6" s="10">
        <v>8</v>
      </c>
    </row>
    <row r="7" spans="1:5" x14ac:dyDescent="0.2">
      <c r="A7" s="10" t="s">
        <v>303</v>
      </c>
      <c r="B7" s="10">
        <v>233</v>
      </c>
      <c r="C7" s="10">
        <v>118</v>
      </c>
      <c r="D7" s="10">
        <v>351</v>
      </c>
    </row>
    <row r="8" spans="1:5" x14ac:dyDescent="0.2">
      <c r="A8" s="10" t="s">
        <v>304</v>
      </c>
      <c r="B8" s="16">
        <v>2297</v>
      </c>
      <c r="C8" s="16">
        <v>1753</v>
      </c>
      <c r="D8" s="16">
        <v>4050</v>
      </c>
    </row>
    <row r="9" spans="1:5" x14ac:dyDescent="0.2">
      <c r="A9" s="10" t="s">
        <v>305</v>
      </c>
      <c r="B9" s="10">
        <v>812</v>
      </c>
      <c r="C9" s="10">
        <v>574</v>
      </c>
      <c r="D9" s="16">
        <v>1386</v>
      </c>
    </row>
    <row r="10" spans="1:5" x14ac:dyDescent="0.2">
      <c r="A10" s="75"/>
      <c r="B10" s="75"/>
      <c r="C10" s="75"/>
      <c r="D10" s="75"/>
    </row>
    <row r="11" spans="1:5" x14ac:dyDescent="0.2">
      <c r="A11" s="70" t="s">
        <v>306</v>
      </c>
      <c r="B11" s="70"/>
      <c r="C11" s="70"/>
      <c r="D11" s="70"/>
      <c r="E11" s="6"/>
    </row>
  </sheetData>
  <mergeCells count="3">
    <mergeCell ref="A1:D1"/>
    <mergeCell ref="A11:D11"/>
    <mergeCell ref="A10:D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696C9-00EB-4A7E-89BD-9FD71738A96C}">
  <dimension ref="A1:C8"/>
  <sheetViews>
    <sheetView showGridLines="0" workbookViewId="0">
      <selection activeCell="B20" sqref="B20"/>
    </sheetView>
  </sheetViews>
  <sheetFormatPr baseColWidth="10" defaultColWidth="11.5" defaultRowHeight="15" x14ac:dyDescent="0.2"/>
  <cols>
    <col min="1" max="1" width="51.6640625" style="10" bestFit="1" customWidth="1"/>
    <col min="2" max="2" width="31.6640625" style="10" customWidth="1"/>
    <col min="3" max="16384" width="11.5" style="10"/>
  </cols>
  <sheetData>
    <row r="1" spans="1:3" customFormat="1" ht="16" x14ac:dyDescent="0.2">
      <c r="A1" s="72" t="s">
        <v>307</v>
      </c>
      <c r="B1" s="72"/>
      <c r="C1" s="2"/>
    </row>
    <row r="2" spans="1:3" x14ac:dyDescent="0.2">
      <c r="A2" s="24" t="s">
        <v>296</v>
      </c>
      <c r="B2" s="24" t="s">
        <v>11</v>
      </c>
    </row>
    <row r="3" spans="1:3" x14ac:dyDescent="0.2">
      <c r="A3" s="10" t="s">
        <v>308</v>
      </c>
      <c r="B3" s="16">
        <v>2555</v>
      </c>
    </row>
    <row r="4" spans="1:3" x14ac:dyDescent="0.2">
      <c r="A4" s="10" t="s">
        <v>309</v>
      </c>
      <c r="B4" s="10">
        <v>811</v>
      </c>
    </row>
    <row r="5" spans="1:3" x14ac:dyDescent="0.2">
      <c r="A5" s="10" t="s">
        <v>310</v>
      </c>
      <c r="B5" s="10">
        <v>262</v>
      </c>
    </row>
    <row r="6" spans="1:3" x14ac:dyDescent="0.2">
      <c r="A6" s="10" t="s">
        <v>311</v>
      </c>
      <c r="B6" s="10">
        <v>31</v>
      </c>
    </row>
    <row r="7" spans="1:3" x14ac:dyDescent="0.2">
      <c r="A7" s="75"/>
      <c r="B7" s="75"/>
    </row>
    <row r="8" spans="1:3" x14ac:dyDescent="0.2">
      <c r="A8" s="70" t="s">
        <v>312</v>
      </c>
      <c r="B8" s="70"/>
      <c r="C8" s="6"/>
    </row>
  </sheetData>
  <mergeCells count="3">
    <mergeCell ref="A1:B1"/>
    <mergeCell ref="A8:B8"/>
    <mergeCell ref="A7: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268C8-5E9F-48B3-870D-FA39965F09BF}">
  <dimension ref="A1:D16"/>
  <sheetViews>
    <sheetView showGridLines="0" workbookViewId="0">
      <selection activeCell="A9" sqref="A9:C9"/>
    </sheetView>
  </sheetViews>
  <sheetFormatPr baseColWidth="10" defaultColWidth="11.5" defaultRowHeight="15" x14ac:dyDescent="0.2"/>
  <cols>
    <col min="1" max="1" width="51.33203125" style="10" customWidth="1"/>
    <col min="2" max="2" width="20.6640625" style="10" customWidth="1"/>
    <col min="3" max="16384" width="11.5" style="10"/>
  </cols>
  <sheetData>
    <row r="1" spans="1:4" customFormat="1" ht="16" x14ac:dyDescent="0.2">
      <c r="A1" s="72" t="s">
        <v>313</v>
      </c>
      <c r="B1" s="72"/>
      <c r="C1" s="72"/>
      <c r="D1" s="2"/>
    </row>
    <row r="2" spans="1:4" x14ac:dyDescent="0.2">
      <c r="A2" s="24" t="s">
        <v>314</v>
      </c>
      <c r="B2" s="24" t="s">
        <v>296</v>
      </c>
      <c r="C2" s="24" t="s">
        <v>11</v>
      </c>
    </row>
    <row r="3" spans="1:4" x14ac:dyDescent="0.2">
      <c r="A3" s="76" t="s">
        <v>315</v>
      </c>
      <c r="B3" s="76"/>
      <c r="C3" s="76"/>
    </row>
    <row r="4" spans="1:4" x14ac:dyDescent="0.2">
      <c r="B4" s="10" t="s">
        <v>316</v>
      </c>
      <c r="C4" s="16">
        <v>2314</v>
      </c>
    </row>
    <row r="5" spans="1:4" x14ac:dyDescent="0.2">
      <c r="B5" s="10" t="s">
        <v>317</v>
      </c>
      <c r="C5" s="10">
        <v>210</v>
      </c>
    </row>
    <row r="6" spans="1:4" x14ac:dyDescent="0.2">
      <c r="B6" s="10" t="s">
        <v>318</v>
      </c>
      <c r="C6" s="10">
        <v>168</v>
      </c>
    </row>
    <row r="7" spans="1:4" x14ac:dyDescent="0.2">
      <c r="B7" s="10" t="s">
        <v>311</v>
      </c>
      <c r="C7" s="10">
        <v>204</v>
      </c>
    </row>
    <row r="8" spans="1:4" x14ac:dyDescent="0.2">
      <c r="B8" s="10" t="s">
        <v>319</v>
      </c>
      <c r="C8" s="16">
        <v>3339</v>
      </c>
    </row>
    <row r="9" spans="1:4" x14ac:dyDescent="0.2">
      <c r="A9" s="76" t="s">
        <v>320</v>
      </c>
      <c r="B9" s="76"/>
      <c r="C9" s="76"/>
    </row>
    <row r="10" spans="1:4" x14ac:dyDescent="0.2">
      <c r="B10" s="10" t="s">
        <v>321</v>
      </c>
      <c r="C10" s="16">
        <v>3316</v>
      </c>
    </row>
    <row r="11" spans="1:4" x14ac:dyDescent="0.2">
      <c r="B11" s="10" t="s">
        <v>322</v>
      </c>
      <c r="C11" s="10">
        <v>538</v>
      </c>
    </row>
    <row r="12" spans="1:4" x14ac:dyDescent="0.2">
      <c r="B12" s="10" t="s">
        <v>318</v>
      </c>
      <c r="C12" s="10">
        <v>24</v>
      </c>
    </row>
    <row r="13" spans="1:4" x14ac:dyDescent="0.2">
      <c r="B13" s="10" t="s">
        <v>311</v>
      </c>
      <c r="C13" s="10">
        <v>55</v>
      </c>
    </row>
    <row r="14" spans="1:4" x14ac:dyDescent="0.2">
      <c r="B14" s="10" t="s">
        <v>319</v>
      </c>
      <c r="C14" s="16">
        <v>1816</v>
      </c>
    </row>
    <row r="15" spans="1:4" x14ac:dyDescent="0.2">
      <c r="A15" s="75"/>
      <c r="B15" s="75"/>
      <c r="C15" s="75"/>
    </row>
    <row r="16" spans="1:4" x14ac:dyDescent="0.2">
      <c r="A16" s="70" t="s">
        <v>323</v>
      </c>
      <c r="B16" s="70"/>
      <c r="C16" s="70"/>
      <c r="D16" s="6"/>
    </row>
  </sheetData>
  <mergeCells count="5">
    <mergeCell ref="A1:C1"/>
    <mergeCell ref="A16:C16"/>
    <mergeCell ref="A15:C15"/>
    <mergeCell ref="A3:C3"/>
    <mergeCell ref="A9:C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798D-7C84-4D78-9100-2F759CA6F125}">
  <dimension ref="A1:C7"/>
  <sheetViews>
    <sheetView showGridLines="0" workbookViewId="0">
      <selection activeCell="G15" sqref="G15"/>
    </sheetView>
  </sheetViews>
  <sheetFormatPr baseColWidth="10" defaultColWidth="11.5" defaultRowHeight="15" x14ac:dyDescent="0.2"/>
  <cols>
    <col min="1" max="1" width="38.5" style="10" customWidth="1"/>
    <col min="2" max="2" width="34.33203125" style="10" customWidth="1"/>
    <col min="3" max="16384" width="11.5" style="10"/>
  </cols>
  <sheetData>
    <row r="1" spans="1:3" customFormat="1" ht="16" x14ac:dyDescent="0.2">
      <c r="A1" s="72" t="s">
        <v>324</v>
      </c>
      <c r="B1" s="72"/>
      <c r="C1" s="2"/>
    </row>
    <row r="2" spans="1:3" x14ac:dyDescent="0.2">
      <c r="A2" s="24" t="s">
        <v>296</v>
      </c>
      <c r="B2" s="24" t="s">
        <v>11</v>
      </c>
    </row>
    <row r="3" spans="1:3" x14ac:dyDescent="0.2">
      <c r="A3" s="10" t="s">
        <v>325</v>
      </c>
      <c r="B3" s="10">
        <v>447</v>
      </c>
    </row>
    <row r="4" spans="1:3" x14ac:dyDescent="0.2">
      <c r="A4" s="10" t="s">
        <v>326</v>
      </c>
      <c r="B4" s="10">
        <v>356</v>
      </c>
    </row>
    <row r="5" spans="1:3" x14ac:dyDescent="0.2">
      <c r="A5" s="10" t="s">
        <v>327</v>
      </c>
      <c r="B5" s="16">
        <v>1129</v>
      </c>
    </row>
    <row r="6" spans="1:3" x14ac:dyDescent="0.2">
      <c r="A6" s="75"/>
      <c r="B6" s="75"/>
    </row>
    <row r="7" spans="1:3" x14ac:dyDescent="0.2">
      <c r="A7" s="70" t="s">
        <v>312</v>
      </c>
      <c r="B7" s="70"/>
      <c r="C7" s="6"/>
    </row>
  </sheetData>
  <mergeCells count="3">
    <mergeCell ref="A1:B1"/>
    <mergeCell ref="A7:B7"/>
    <mergeCell ref="A6:B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246D8-CF22-425D-9F6A-D5BF8D1C94D2}">
  <dimension ref="A1:E20"/>
  <sheetViews>
    <sheetView showGridLines="0" workbookViewId="0">
      <selection activeCell="G18" sqref="G18"/>
    </sheetView>
  </sheetViews>
  <sheetFormatPr baseColWidth="10" defaultColWidth="11.5" defaultRowHeight="15" x14ac:dyDescent="0.2"/>
  <cols>
    <col min="1" max="1" width="16.1640625" style="10" customWidth="1"/>
    <col min="2" max="2" width="25.5" style="10" bestFit="1" customWidth="1"/>
    <col min="3" max="3" width="25.6640625" style="10" bestFit="1" customWidth="1"/>
    <col min="4" max="4" width="22.33203125" style="10" bestFit="1" customWidth="1"/>
    <col min="5" max="5" width="24.5" style="10" bestFit="1" customWidth="1"/>
    <col min="6" max="16384" width="11.5" style="10"/>
  </cols>
  <sheetData>
    <row r="1" spans="1:5" customFormat="1" ht="16" x14ac:dyDescent="0.2">
      <c r="A1" s="72" t="s">
        <v>328</v>
      </c>
      <c r="B1" s="72"/>
      <c r="C1" s="72"/>
      <c r="D1" s="72"/>
      <c r="E1" s="72"/>
    </row>
    <row r="2" spans="1:5" x14ac:dyDescent="0.2">
      <c r="A2" s="24" t="s">
        <v>154</v>
      </c>
      <c r="B2" s="24" t="s">
        <v>331</v>
      </c>
      <c r="C2" s="24" t="s">
        <v>332</v>
      </c>
      <c r="D2" s="24" t="s">
        <v>333</v>
      </c>
      <c r="E2" s="24" t="s">
        <v>334</v>
      </c>
    </row>
    <row r="3" spans="1:5" x14ac:dyDescent="0.2">
      <c r="A3" s="10" t="s">
        <v>414</v>
      </c>
      <c r="B3" s="10">
        <v>366</v>
      </c>
      <c r="C3" s="10">
        <v>136</v>
      </c>
      <c r="D3" s="10">
        <v>51</v>
      </c>
      <c r="E3" s="10">
        <v>99</v>
      </c>
    </row>
    <row r="4" spans="1:5" x14ac:dyDescent="0.2">
      <c r="A4" s="10" t="s">
        <v>417</v>
      </c>
      <c r="B4" s="10">
        <v>429</v>
      </c>
      <c r="C4" s="10">
        <v>220</v>
      </c>
      <c r="D4" s="10">
        <v>142</v>
      </c>
      <c r="E4" s="10">
        <v>182</v>
      </c>
    </row>
    <row r="5" spans="1:5" x14ac:dyDescent="0.2">
      <c r="A5" s="10" t="s">
        <v>232</v>
      </c>
      <c r="B5" s="16">
        <v>3362</v>
      </c>
      <c r="C5" s="16">
        <v>1454</v>
      </c>
      <c r="D5" s="16">
        <v>1181</v>
      </c>
      <c r="E5" s="16">
        <v>2259</v>
      </c>
    </row>
    <row r="6" spans="1:5" x14ac:dyDescent="0.2">
      <c r="A6" s="10" t="s">
        <v>415</v>
      </c>
      <c r="B6" s="10">
        <v>696</v>
      </c>
      <c r="C6" s="10">
        <v>231</v>
      </c>
      <c r="D6" s="10">
        <v>120</v>
      </c>
      <c r="E6" s="10">
        <v>165</v>
      </c>
    </row>
    <row r="7" spans="1:5" x14ac:dyDescent="0.2">
      <c r="A7" s="10" t="s">
        <v>413</v>
      </c>
      <c r="B7" s="16">
        <v>2596</v>
      </c>
      <c r="C7" s="10">
        <v>954</v>
      </c>
      <c r="D7" s="10">
        <v>678</v>
      </c>
      <c r="E7" s="16">
        <v>1342</v>
      </c>
    </row>
    <row r="8" spans="1:5" x14ac:dyDescent="0.2">
      <c r="A8" s="10" t="s">
        <v>410</v>
      </c>
      <c r="B8" s="10">
        <v>975</v>
      </c>
      <c r="C8" s="10">
        <v>429</v>
      </c>
      <c r="D8" s="10">
        <v>256</v>
      </c>
      <c r="E8" s="10">
        <v>329</v>
      </c>
    </row>
    <row r="9" spans="1:5" x14ac:dyDescent="0.2">
      <c r="A9" s="10" t="s">
        <v>418</v>
      </c>
      <c r="B9" s="10">
        <v>196</v>
      </c>
      <c r="C9" s="10">
        <v>103</v>
      </c>
      <c r="D9" s="10">
        <v>46</v>
      </c>
      <c r="E9" s="10">
        <v>45</v>
      </c>
    </row>
    <row r="10" spans="1:5" x14ac:dyDescent="0.2">
      <c r="A10" s="10" t="s">
        <v>416</v>
      </c>
      <c r="B10" s="10">
        <v>930</v>
      </c>
      <c r="C10" s="10">
        <v>349</v>
      </c>
      <c r="D10" s="10">
        <v>228</v>
      </c>
      <c r="E10" s="10">
        <v>333</v>
      </c>
    </row>
    <row r="11" spans="1:5" x14ac:dyDescent="0.2">
      <c r="A11" s="10" t="s">
        <v>419</v>
      </c>
      <c r="B11" s="10">
        <v>448</v>
      </c>
      <c r="C11" s="10">
        <v>186</v>
      </c>
      <c r="D11" s="10">
        <v>104</v>
      </c>
      <c r="E11" s="10">
        <v>108</v>
      </c>
    </row>
    <row r="12" spans="1:5" x14ac:dyDescent="0.2">
      <c r="A12" s="10" t="s">
        <v>411</v>
      </c>
      <c r="B12" s="10">
        <v>825</v>
      </c>
      <c r="C12" s="10">
        <v>256</v>
      </c>
      <c r="D12" s="10">
        <v>54</v>
      </c>
      <c r="E12" s="10">
        <v>138</v>
      </c>
    </row>
    <row r="13" spans="1:5" x14ac:dyDescent="0.2">
      <c r="A13" s="10" t="s">
        <v>421</v>
      </c>
      <c r="B13" s="10">
        <v>73</v>
      </c>
      <c r="C13" s="10">
        <v>22</v>
      </c>
      <c r="D13" s="10">
        <v>25</v>
      </c>
      <c r="E13" s="10">
        <v>50</v>
      </c>
    </row>
    <row r="14" spans="1:5" x14ac:dyDescent="0.2">
      <c r="A14" s="10" t="s">
        <v>412</v>
      </c>
      <c r="B14" s="10">
        <v>216</v>
      </c>
      <c r="C14" s="10">
        <v>122</v>
      </c>
      <c r="D14" s="10">
        <v>112</v>
      </c>
      <c r="E14" s="10">
        <v>58</v>
      </c>
    </row>
    <row r="15" spans="1:5" x14ac:dyDescent="0.2">
      <c r="A15" s="10" t="s">
        <v>420</v>
      </c>
      <c r="B15" s="10">
        <v>152</v>
      </c>
      <c r="C15" s="10">
        <v>53</v>
      </c>
      <c r="D15" s="10">
        <v>47</v>
      </c>
      <c r="E15" s="10">
        <v>36</v>
      </c>
    </row>
    <row r="16" spans="1:5" x14ac:dyDescent="0.2">
      <c r="A16" s="11" t="s">
        <v>335</v>
      </c>
      <c r="B16" s="55">
        <v>11264</v>
      </c>
      <c r="C16" s="55">
        <v>4515</v>
      </c>
      <c r="D16" s="55">
        <v>3044</v>
      </c>
      <c r="E16" s="55">
        <v>5144</v>
      </c>
    </row>
    <row r="17" spans="1:5" x14ac:dyDescent="0.2">
      <c r="A17" s="70" t="s">
        <v>312</v>
      </c>
      <c r="B17" s="70"/>
      <c r="C17" s="70"/>
      <c r="D17" s="70"/>
      <c r="E17" s="70"/>
    </row>
    <row r="20" spans="1:5" x14ac:dyDescent="0.2">
      <c r="A20" s="66"/>
      <c r="B20" s="66"/>
      <c r="C20" s="66"/>
      <c r="D20" s="66"/>
      <c r="E20" s="66"/>
    </row>
  </sheetData>
  <mergeCells count="3">
    <mergeCell ref="A1:E1"/>
    <mergeCell ref="A17:E17"/>
    <mergeCell ref="A20:E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16F4E-0B37-4DA7-8FCA-E1934276B49B}">
  <dimension ref="A1:F38"/>
  <sheetViews>
    <sheetView showGridLines="0" zoomScale="85" zoomScaleNormal="85" workbookViewId="0">
      <selection activeCell="G39" sqref="G39"/>
    </sheetView>
  </sheetViews>
  <sheetFormatPr baseColWidth="10" defaultColWidth="11.5" defaultRowHeight="15" x14ac:dyDescent="0.2"/>
  <cols>
    <col min="1" max="1" width="31.6640625" style="10" customWidth="1"/>
    <col min="2" max="16384" width="11.5" style="10"/>
  </cols>
  <sheetData>
    <row r="1" spans="1:6" customFormat="1" ht="16" x14ac:dyDescent="0.2">
      <c r="A1" s="72" t="s">
        <v>336</v>
      </c>
      <c r="B1" s="72"/>
      <c r="C1" s="72"/>
      <c r="D1" s="72"/>
      <c r="E1" s="72"/>
      <c r="F1" s="25"/>
    </row>
    <row r="2" spans="1:6" x14ac:dyDescent="0.2">
      <c r="A2" s="9" t="s">
        <v>337</v>
      </c>
      <c r="B2" s="24">
        <v>2022</v>
      </c>
      <c r="C2" s="24">
        <v>2023</v>
      </c>
      <c r="D2" s="24">
        <v>2024</v>
      </c>
      <c r="E2" s="24">
        <v>2025</v>
      </c>
    </row>
    <row r="3" spans="1:6" x14ac:dyDescent="0.2">
      <c r="A3" s="52" t="s">
        <v>653</v>
      </c>
      <c r="B3" s="10">
        <v>4</v>
      </c>
      <c r="C3" s="10">
        <v>35</v>
      </c>
      <c r="D3" s="10">
        <v>11</v>
      </c>
      <c r="E3" s="10">
        <v>31</v>
      </c>
    </row>
    <row r="4" spans="1:6" x14ac:dyDescent="0.2">
      <c r="A4" s="52" t="s">
        <v>234</v>
      </c>
      <c r="B4" s="10">
        <v>2</v>
      </c>
      <c r="C4" s="10">
        <v>145</v>
      </c>
      <c r="D4" s="10">
        <v>113</v>
      </c>
      <c r="E4" s="10">
        <v>107</v>
      </c>
    </row>
    <row r="5" spans="1:6" x14ac:dyDescent="0.2">
      <c r="A5" s="52" t="s">
        <v>654</v>
      </c>
      <c r="B5" s="10">
        <v>0</v>
      </c>
      <c r="C5" s="10">
        <v>38</v>
      </c>
      <c r="D5" s="10">
        <v>43</v>
      </c>
      <c r="E5" s="10">
        <v>24</v>
      </c>
    </row>
    <row r="6" spans="1:6" x14ac:dyDescent="0.2">
      <c r="A6" s="52" t="s">
        <v>655</v>
      </c>
      <c r="B6" s="10">
        <v>5</v>
      </c>
      <c r="C6" s="10">
        <v>209</v>
      </c>
      <c r="D6" s="10">
        <v>220</v>
      </c>
      <c r="E6" s="10">
        <v>295</v>
      </c>
    </row>
    <row r="7" spans="1:6" x14ac:dyDescent="0.2">
      <c r="A7" s="52" t="s">
        <v>656</v>
      </c>
      <c r="B7" s="10">
        <v>2</v>
      </c>
      <c r="C7" s="10">
        <v>70</v>
      </c>
      <c r="D7" s="16">
        <v>1196</v>
      </c>
      <c r="E7" s="16">
        <v>1252</v>
      </c>
    </row>
    <row r="8" spans="1:6" x14ac:dyDescent="0.2">
      <c r="A8" s="52" t="s">
        <v>657</v>
      </c>
      <c r="B8" s="10">
        <v>127</v>
      </c>
      <c r="C8" s="16">
        <v>3436</v>
      </c>
      <c r="D8" s="10">
        <v>396</v>
      </c>
      <c r="E8" s="10">
        <v>133</v>
      </c>
    </row>
    <row r="9" spans="1:6" x14ac:dyDescent="0.2">
      <c r="A9" s="52" t="s">
        <v>658</v>
      </c>
      <c r="B9" s="10">
        <v>4</v>
      </c>
      <c r="C9" s="10">
        <v>447</v>
      </c>
      <c r="D9" s="10">
        <v>134</v>
      </c>
      <c r="E9" s="10">
        <v>50</v>
      </c>
    </row>
    <row r="10" spans="1:6" x14ac:dyDescent="0.2">
      <c r="A10" s="52" t="s">
        <v>659</v>
      </c>
      <c r="B10" s="10">
        <v>55</v>
      </c>
      <c r="C10" s="16">
        <v>1425</v>
      </c>
      <c r="D10" s="16">
        <v>3123</v>
      </c>
      <c r="E10" s="16">
        <v>3181</v>
      </c>
    </row>
    <row r="11" spans="1:6" x14ac:dyDescent="0.2">
      <c r="A11" s="52" t="s">
        <v>660</v>
      </c>
      <c r="B11" s="10">
        <v>2</v>
      </c>
      <c r="C11" s="10">
        <v>468</v>
      </c>
      <c r="D11" s="10">
        <v>278</v>
      </c>
      <c r="E11" s="10">
        <v>246</v>
      </c>
    </row>
    <row r="12" spans="1:6" x14ac:dyDescent="0.2">
      <c r="A12" s="52" t="s">
        <v>661</v>
      </c>
      <c r="B12" s="10">
        <v>5</v>
      </c>
      <c r="C12" s="10">
        <v>400</v>
      </c>
      <c r="D12" s="10">
        <v>298</v>
      </c>
      <c r="E12" s="10">
        <v>260</v>
      </c>
    </row>
    <row r="13" spans="1:6" x14ac:dyDescent="0.2">
      <c r="A13" s="52" t="s">
        <v>662</v>
      </c>
      <c r="B13" s="10">
        <v>4</v>
      </c>
      <c r="C13" s="10">
        <v>596</v>
      </c>
      <c r="D13" s="10">
        <v>299</v>
      </c>
      <c r="E13" s="10">
        <v>300</v>
      </c>
    </row>
    <row r="14" spans="1:6" x14ac:dyDescent="0.2">
      <c r="A14" s="52" t="s">
        <v>663</v>
      </c>
      <c r="B14" s="10">
        <v>3</v>
      </c>
      <c r="C14" s="10">
        <v>214</v>
      </c>
      <c r="D14" s="10">
        <v>138</v>
      </c>
      <c r="E14" s="10">
        <v>118</v>
      </c>
    </row>
    <row r="15" spans="1:6" x14ac:dyDescent="0.2">
      <c r="A15" s="52" t="s">
        <v>237</v>
      </c>
      <c r="B15" s="10">
        <v>15</v>
      </c>
      <c r="C15" s="10">
        <v>401</v>
      </c>
      <c r="D15" s="10">
        <v>208</v>
      </c>
      <c r="E15" s="10">
        <v>196</v>
      </c>
    </row>
    <row r="16" spans="1:6" x14ac:dyDescent="0.2">
      <c r="A16" s="52" t="s">
        <v>664</v>
      </c>
      <c r="B16" s="10">
        <v>17</v>
      </c>
      <c r="C16" s="10">
        <v>692</v>
      </c>
      <c r="D16" s="10">
        <v>452</v>
      </c>
      <c r="E16" s="10">
        <v>455</v>
      </c>
    </row>
    <row r="17" spans="1:5" x14ac:dyDescent="0.2">
      <c r="A17" s="52" t="s">
        <v>665</v>
      </c>
      <c r="B17" s="10">
        <v>3</v>
      </c>
      <c r="C17" s="10">
        <v>938</v>
      </c>
      <c r="D17" s="10">
        <v>556</v>
      </c>
      <c r="E17" s="10">
        <v>503</v>
      </c>
    </row>
    <row r="18" spans="1:5" x14ac:dyDescent="0.2">
      <c r="A18" s="52" t="s">
        <v>666</v>
      </c>
      <c r="B18" s="10">
        <v>4</v>
      </c>
      <c r="C18" s="10">
        <v>134</v>
      </c>
      <c r="D18" s="10">
        <v>97</v>
      </c>
      <c r="E18" s="10">
        <v>91</v>
      </c>
    </row>
    <row r="19" spans="1:5" x14ac:dyDescent="0.2">
      <c r="A19" s="52" t="s">
        <v>667</v>
      </c>
      <c r="B19" s="10">
        <v>5</v>
      </c>
      <c r="C19" s="10">
        <v>98</v>
      </c>
      <c r="D19" s="10">
        <v>39</v>
      </c>
      <c r="E19" s="10">
        <v>38</v>
      </c>
    </row>
    <row r="20" spans="1:5" x14ac:dyDescent="0.2">
      <c r="A20" s="52" t="s">
        <v>238</v>
      </c>
      <c r="B20" s="10">
        <v>0</v>
      </c>
      <c r="C20" s="10">
        <v>249</v>
      </c>
      <c r="D20" s="10">
        <v>136</v>
      </c>
      <c r="E20" s="10">
        <v>121</v>
      </c>
    </row>
    <row r="21" spans="1:5" x14ac:dyDescent="0.2">
      <c r="A21" s="52" t="s">
        <v>668</v>
      </c>
      <c r="B21" s="10">
        <v>5</v>
      </c>
      <c r="C21" s="10">
        <v>939</v>
      </c>
      <c r="D21" s="10">
        <v>744</v>
      </c>
      <c r="E21" s="10">
        <v>823</v>
      </c>
    </row>
    <row r="22" spans="1:5" x14ac:dyDescent="0.2">
      <c r="A22" s="52" t="s">
        <v>239</v>
      </c>
      <c r="B22" s="10">
        <v>8</v>
      </c>
      <c r="C22" s="10">
        <v>721</v>
      </c>
      <c r="D22" s="10">
        <v>560</v>
      </c>
      <c r="E22" s="10">
        <v>586</v>
      </c>
    </row>
    <row r="23" spans="1:5" x14ac:dyDescent="0.2">
      <c r="A23" s="52" t="s">
        <v>669</v>
      </c>
      <c r="B23" s="10">
        <v>2</v>
      </c>
      <c r="C23" s="10">
        <v>54</v>
      </c>
      <c r="D23" s="10">
        <v>43</v>
      </c>
      <c r="E23" s="10">
        <v>46</v>
      </c>
    </row>
    <row r="24" spans="1:5" x14ac:dyDescent="0.2">
      <c r="A24" s="52" t="s">
        <v>240</v>
      </c>
      <c r="B24" s="10">
        <v>54</v>
      </c>
      <c r="C24" s="16">
        <v>1242</v>
      </c>
      <c r="D24" s="16">
        <v>1104</v>
      </c>
      <c r="E24" s="16">
        <v>1182</v>
      </c>
    </row>
    <row r="25" spans="1:5" x14ac:dyDescent="0.2">
      <c r="A25" s="52" t="s">
        <v>241</v>
      </c>
      <c r="B25" s="10">
        <v>5</v>
      </c>
      <c r="C25" s="10">
        <v>235</v>
      </c>
      <c r="D25" s="10">
        <v>137</v>
      </c>
      <c r="E25" s="10">
        <v>139</v>
      </c>
    </row>
    <row r="26" spans="1:5" x14ac:dyDescent="0.2">
      <c r="A26" s="52" t="s">
        <v>242</v>
      </c>
      <c r="B26" s="10">
        <v>4</v>
      </c>
      <c r="C26" s="10">
        <v>158</v>
      </c>
      <c r="D26" s="10">
        <v>115</v>
      </c>
      <c r="E26" s="10">
        <v>157</v>
      </c>
    </row>
    <row r="27" spans="1:5" x14ac:dyDescent="0.2">
      <c r="A27" s="52" t="s">
        <v>670</v>
      </c>
      <c r="B27" s="10">
        <v>3</v>
      </c>
      <c r="C27" s="10">
        <v>109</v>
      </c>
      <c r="D27" s="10">
        <v>56</v>
      </c>
      <c r="E27" s="10">
        <v>61</v>
      </c>
    </row>
    <row r="28" spans="1:5" x14ac:dyDescent="0.2">
      <c r="A28" s="52" t="s">
        <v>243</v>
      </c>
      <c r="B28" s="10">
        <v>161</v>
      </c>
      <c r="C28" s="16">
        <v>8009</v>
      </c>
      <c r="D28" s="16">
        <v>7276</v>
      </c>
      <c r="E28" s="16">
        <v>7598</v>
      </c>
    </row>
    <row r="29" spans="1:5" x14ac:dyDescent="0.2">
      <c r="A29" s="52" t="s">
        <v>671</v>
      </c>
      <c r="B29" s="10">
        <v>14</v>
      </c>
      <c r="C29" s="10">
        <v>722</v>
      </c>
      <c r="D29" s="10">
        <v>539</v>
      </c>
      <c r="E29" s="10">
        <v>595</v>
      </c>
    </row>
    <row r="30" spans="1:5" x14ac:dyDescent="0.2">
      <c r="A30" s="52" t="s">
        <v>672</v>
      </c>
      <c r="B30" s="10">
        <v>2</v>
      </c>
      <c r="C30" s="10">
        <v>84</v>
      </c>
      <c r="D30" s="10">
        <v>56</v>
      </c>
      <c r="E30" s="10">
        <v>55</v>
      </c>
    </row>
    <row r="31" spans="1:5" x14ac:dyDescent="0.2">
      <c r="A31" s="52" t="s">
        <v>673</v>
      </c>
      <c r="B31" s="10">
        <v>171</v>
      </c>
      <c r="C31" s="16">
        <v>5072</v>
      </c>
      <c r="D31" s="16">
        <v>4505</v>
      </c>
      <c r="E31" s="16">
        <v>4556</v>
      </c>
    </row>
    <row r="32" spans="1:5" x14ac:dyDescent="0.2">
      <c r="A32" s="52" t="s">
        <v>244</v>
      </c>
      <c r="B32" s="10">
        <v>91</v>
      </c>
      <c r="C32" s="16">
        <v>2340</v>
      </c>
      <c r="D32" s="16">
        <v>2144</v>
      </c>
      <c r="E32" s="16">
        <v>2395</v>
      </c>
    </row>
    <row r="33" spans="1:5" x14ac:dyDescent="0.2">
      <c r="A33" s="52" t="s">
        <v>674</v>
      </c>
      <c r="B33" s="10">
        <v>5</v>
      </c>
      <c r="C33" s="10">
        <v>307</v>
      </c>
      <c r="D33" s="10">
        <v>142</v>
      </c>
      <c r="E33" s="10">
        <v>165</v>
      </c>
    </row>
    <row r="34" spans="1:5" x14ac:dyDescent="0.2">
      <c r="A34" s="11" t="s">
        <v>338</v>
      </c>
      <c r="B34" s="57">
        <v>782</v>
      </c>
      <c r="C34" s="58">
        <v>29987</v>
      </c>
      <c r="D34" s="58">
        <v>25158</v>
      </c>
      <c r="E34" s="59">
        <v>25759</v>
      </c>
    </row>
    <row r="35" spans="1:5" x14ac:dyDescent="0.2">
      <c r="A35" s="77" t="s">
        <v>312</v>
      </c>
      <c r="B35" s="77"/>
      <c r="C35" s="77"/>
      <c r="D35" s="77"/>
      <c r="E35" s="77"/>
    </row>
    <row r="38" spans="1:5" x14ac:dyDescent="0.2">
      <c r="A38" s="66"/>
      <c r="B38" s="66"/>
      <c r="C38" s="66"/>
      <c r="D38" s="66"/>
      <c r="E38" s="66"/>
    </row>
  </sheetData>
  <mergeCells count="3">
    <mergeCell ref="A1:E1"/>
    <mergeCell ref="A35:E35"/>
    <mergeCell ref="A38:E3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48EBE-F985-46FF-9561-1B250F7F8402}">
  <dimension ref="A1:E9"/>
  <sheetViews>
    <sheetView showGridLines="0" workbookViewId="0">
      <selection activeCell="D14" sqref="D14"/>
    </sheetView>
  </sheetViews>
  <sheetFormatPr baseColWidth="10" defaultColWidth="11.5" defaultRowHeight="15" x14ac:dyDescent="0.2"/>
  <cols>
    <col min="1" max="1" width="11.5" style="10"/>
    <col min="2" max="2" width="25.5" style="10" customWidth="1"/>
    <col min="3" max="3" width="29.1640625" style="10" customWidth="1"/>
    <col min="4" max="16384" width="11.5" style="10"/>
  </cols>
  <sheetData>
    <row r="1" spans="1:5" customFormat="1" ht="16" x14ac:dyDescent="0.2">
      <c r="A1" s="72" t="s">
        <v>339</v>
      </c>
      <c r="B1" s="72"/>
      <c r="C1" s="72"/>
      <c r="D1" s="72"/>
      <c r="E1" s="2"/>
    </row>
    <row r="2" spans="1:5" x14ac:dyDescent="0.2">
      <c r="A2" s="73" t="s">
        <v>340</v>
      </c>
      <c r="B2" s="71" t="s">
        <v>14</v>
      </c>
      <c r="C2" s="71"/>
      <c r="D2" s="73" t="s">
        <v>8</v>
      </c>
    </row>
    <row r="3" spans="1:5" x14ac:dyDescent="0.2">
      <c r="A3" s="74"/>
      <c r="B3" s="27" t="s">
        <v>572</v>
      </c>
      <c r="C3" s="27" t="s">
        <v>573</v>
      </c>
      <c r="D3" s="74"/>
    </row>
    <row r="4" spans="1:5" x14ac:dyDescent="0.2">
      <c r="A4" s="10">
        <v>2022</v>
      </c>
      <c r="B4" s="16">
        <v>2304</v>
      </c>
      <c r="C4" s="16">
        <v>5044</v>
      </c>
      <c r="D4" s="16">
        <v>7348</v>
      </c>
    </row>
    <row r="5" spans="1:5" x14ac:dyDescent="0.2">
      <c r="A5" s="10">
        <v>2023</v>
      </c>
      <c r="B5" s="16">
        <v>1764</v>
      </c>
      <c r="C5" s="16">
        <v>11356</v>
      </c>
      <c r="D5" s="16">
        <v>13120</v>
      </c>
    </row>
    <row r="6" spans="1:5" x14ac:dyDescent="0.2">
      <c r="A6" s="10">
        <v>2024</v>
      </c>
      <c r="B6" s="16">
        <v>3272</v>
      </c>
      <c r="C6" s="16">
        <v>4358</v>
      </c>
      <c r="D6" s="16">
        <v>7630</v>
      </c>
    </row>
    <row r="7" spans="1:5" x14ac:dyDescent="0.2">
      <c r="A7" s="10">
        <v>2025</v>
      </c>
      <c r="B7" s="16">
        <v>2951</v>
      </c>
      <c r="C7" s="16">
        <v>2100</v>
      </c>
      <c r="D7" s="16">
        <v>5051</v>
      </c>
    </row>
    <row r="8" spans="1:5" x14ac:dyDescent="0.2">
      <c r="A8" s="9"/>
      <c r="B8" s="22"/>
      <c r="C8" s="22"/>
      <c r="D8" s="22"/>
    </row>
    <row r="9" spans="1:5" x14ac:dyDescent="0.2">
      <c r="A9" s="70" t="s">
        <v>312</v>
      </c>
      <c r="B9" s="70"/>
      <c r="C9" s="70"/>
      <c r="D9" s="70"/>
      <c r="E9" s="6"/>
    </row>
  </sheetData>
  <mergeCells count="5">
    <mergeCell ref="B2:C2"/>
    <mergeCell ref="A2:A3"/>
    <mergeCell ref="D2:D3"/>
    <mergeCell ref="A1:D1"/>
    <mergeCell ref="A9:D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DC509-01CB-4CE4-AC12-36D7BB85732C}">
  <dimension ref="A1:F18"/>
  <sheetViews>
    <sheetView showGridLines="0" workbookViewId="0">
      <selection sqref="A1:E1"/>
    </sheetView>
  </sheetViews>
  <sheetFormatPr baseColWidth="10" defaultColWidth="11.5" defaultRowHeight="15" x14ac:dyDescent="0.2"/>
  <cols>
    <col min="1" max="1" width="50.6640625" style="10" customWidth="1"/>
    <col min="2" max="2" width="13" style="10" customWidth="1"/>
    <col min="3" max="3" width="14.1640625" style="10" customWidth="1"/>
    <col min="4" max="4" width="13.83203125" style="10" customWidth="1"/>
    <col min="5" max="16384" width="11.5" style="10"/>
  </cols>
  <sheetData>
    <row r="1" spans="1:6" customFormat="1" ht="16" x14ac:dyDescent="0.2">
      <c r="A1" s="72" t="s">
        <v>386</v>
      </c>
      <c r="B1" s="72"/>
      <c r="C1" s="72"/>
      <c r="D1" s="72"/>
      <c r="E1" s="72"/>
      <c r="F1" s="2"/>
    </row>
    <row r="2" spans="1:6" x14ac:dyDescent="0.2">
      <c r="A2" s="73" t="s">
        <v>387</v>
      </c>
      <c r="B2" s="71" t="s">
        <v>397</v>
      </c>
      <c r="C2" s="71"/>
      <c r="D2" s="71"/>
      <c r="E2" s="73" t="s">
        <v>8</v>
      </c>
    </row>
    <row r="3" spans="1:6" x14ac:dyDescent="0.2">
      <c r="A3" s="74"/>
      <c r="B3" s="27" t="s">
        <v>329</v>
      </c>
      <c r="C3" s="27" t="s">
        <v>330</v>
      </c>
      <c r="D3" s="27" t="s">
        <v>398</v>
      </c>
      <c r="E3" s="74"/>
    </row>
    <row r="4" spans="1:6" x14ac:dyDescent="0.2">
      <c r="A4" s="1" t="s">
        <v>399</v>
      </c>
      <c r="B4" s="18">
        <v>15495</v>
      </c>
      <c r="C4" s="18">
        <v>9397</v>
      </c>
      <c r="D4" s="18">
        <v>1623</v>
      </c>
      <c r="E4" s="18">
        <v>26515</v>
      </c>
    </row>
    <row r="5" spans="1:6" x14ac:dyDescent="0.2">
      <c r="A5" s="15" t="s">
        <v>388</v>
      </c>
      <c r="B5" s="16">
        <v>1050</v>
      </c>
      <c r="C5" s="10">
        <v>635</v>
      </c>
      <c r="D5" s="10">
        <v>25</v>
      </c>
      <c r="E5" s="16">
        <v>1710</v>
      </c>
    </row>
    <row r="6" spans="1:6" x14ac:dyDescent="0.2">
      <c r="A6" s="15" t="s">
        <v>389</v>
      </c>
      <c r="B6" s="16">
        <v>13793</v>
      </c>
      <c r="C6" s="16">
        <v>7829</v>
      </c>
      <c r="D6" s="16">
        <v>1579</v>
      </c>
      <c r="E6" s="16">
        <v>23201</v>
      </c>
    </row>
    <row r="7" spans="1:6" x14ac:dyDescent="0.2">
      <c r="A7" s="15" t="s">
        <v>390</v>
      </c>
      <c r="B7" s="10">
        <v>55</v>
      </c>
      <c r="C7" s="10">
        <v>130</v>
      </c>
      <c r="D7" s="10">
        <v>5</v>
      </c>
      <c r="E7" s="10">
        <v>190</v>
      </c>
    </row>
    <row r="8" spans="1:6" x14ac:dyDescent="0.2">
      <c r="A8" s="15" t="s">
        <v>391</v>
      </c>
      <c r="B8" s="10">
        <v>481</v>
      </c>
      <c r="C8" s="10">
        <v>716</v>
      </c>
      <c r="D8" s="10">
        <v>10</v>
      </c>
      <c r="E8" s="16">
        <v>1207</v>
      </c>
    </row>
    <row r="9" spans="1:6" x14ac:dyDescent="0.2">
      <c r="A9" s="15" t="s">
        <v>392</v>
      </c>
      <c r="B9" s="10">
        <v>116</v>
      </c>
      <c r="C9" s="10">
        <v>87</v>
      </c>
      <c r="D9" s="10">
        <v>4</v>
      </c>
      <c r="E9" s="10">
        <v>207</v>
      </c>
    </row>
    <row r="10" spans="1:6" x14ac:dyDescent="0.2">
      <c r="A10" s="1" t="s">
        <v>400</v>
      </c>
      <c r="B10" s="18">
        <v>23229</v>
      </c>
      <c r="C10" s="18">
        <v>12997</v>
      </c>
      <c r="D10" s="18">
        <v>3515</v>
      </c>
      <c r="E10" s="18">
        <v>39741</v>
      </c>
    </row>
    <row r="11" spans="1:6" x14ac:dyDescent="0.2">
      <c r="A11" s="15" t="s">
        <v>393</v>
      </c>
      <c r="B11" s="16">
        <v>15964</v>
      </c>
      <c r="C11" s="16">
        <v>10417</v>
      </c>
      <c r="D11" s="16">
        <v>1948</v>
      </c>
      <c r="E11" s="16">
        <v>28329</v>
      </c>
    </row>
    <row r="12" spans="1:6" x14ac:dyDescent="0.2">
      <c r="A12" s="15" t="s">
        <v>389</v>
      </c>
      <c r="B12" s="16">
        <v>7138</v>
      </c>
      <c r="C12" s="16">
        <v>2322</v>
      </c>
      <c r="D12" s="16">
        <v>1563</v>
      </c>
      <c r="E12" s="16">
        <v>11023</v>
      </c>
    </row>
    <row r="13" spans="1:6" x14ac:dyDescent="0.2">
      <c r="A13" s="15" t="s">
        <v>394</v>
      </c>
      <c r="B13" s="10">
        <v>127</v>
      </c>
      <c r="C13" s="10">
        <v>258</v>
      </c>
      <c r="D13" s="10">
        <v>4</v>
      </c>
      <c r="E13" s="10">
        <v>389</v>
      </c>
    </row>
    <row r="14" spans="1:6" x14ac:dyDescent="0.2">
      <c r="A14" s="1" t="s">
        <v>401</v>
      </c>
      <c r="B14" s="18">
        <v>6424</v>
      </c>
      <c r="C14" s="18">
        <v>2347</v>
      </c>
      <c r="D14" s="1">
        <v>205</v>
      </c>
      <c r="E14" s="18">
        <v>8976</v>
      </c>
    </row>
    <row r="15" spans="1:6" x14ac:dyDescent="0.2">
      <c r="A15" s="15" t="s">
        <v>395</v>
      </c>
      <c r="B15" s="16">
        <v>5010</v>
      </c>
      <c r="C15" s="16">
        <v>1876</v>
      </c>
      <c r="D15" s="10">
        <v>180</v>
      </c>
      <c r="E15" s="16">
        <v>7066</v>
      </c>
    </row>
    <row r="16" spans="1:6" x14ac:dyDescent="0.2">
      <c r="A16" s="15" t="s">
        <v>396</v>
      </c>
      <c r="B16" s="16">
        <v>1414</v>
      </c>
      <c r="C16" s="10">
        <v>471</v>
      </c>
      <c r="D16" s="10">
        <v>25</v>
      </c>
      <c r="E16" s="16">
        <v>1910</v>
      </c>
    </row>
    <row r="17" spans="1:5" x14ac:dyDescent="0.2">
      <c r="A17" s="11" t="s">
        <v>8</v>
      </c>
      <c r="B17" s="17">
        <v>45148</v>
      </c>
      <c r="C17" s="17">
        <v>24741</v>
      </c>
      <c r="D17" s="17">
        <v>5343</v>
      </c>
      <c r="E17" s="17">
        <v>75232</v>
      </c>
    </row>
    <row r="18" spans="1:5" x14ac:dyDescent="0.2">
      <c r="A18" s="78" t="s">
        <v>312</v>
      </c>
      <c r="B18" s="78"/>
      <c r="C18" s="78"/>
      <c r="D18" s="78"/>
      <c r="E18" s="78"/>
    </row>
  </sheetData>
  <mergeCells count="5">
    <mergeCell ref="B2:D2"/>
    <mergeCell ref="E2:E3"/>
    <mergeCell ref="A2:A3"/>
    <mergeCell ref="A1:E1"/>
    <mergeCell ref="A18:E1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27101-4170-451A-A78F-FAA94F2D9454}">
  <dimension ref="A1:G23"/>
  <sheetViews>
    <sheetView showGridLines="0" workbookViewId="0">
      <selection activeCell="J19" sqref="J19"/>
    </sheetView>
  </sheetViews>
  <sheetFormatPr baseColWidth="10" defaultColWidth="11.5" defaultRowHeight="15" x14ac:dyDescent="0.2"/>
  <cols>
    <col min="1" max="1" width="27.1640625" style="10" customWidth="1"/>
    <col min="2" max="16384" width="11.5" style="10"/>
  </cols>
  <sheetData>
    <row r="1" spans="1:7" customFormat="1" ht="16" x14ac:dyDescent="0.2">
      <c r="A1" s="72" t="s">
        <v>402</v>
      </c>
      <c r="B1" s="72"/>
      <c r="C1" s="72"/>
      <c r="D1" s="72"/>
      <c r="E1" s="72"/>
      <c r="F1" s="72"/>
      <c r="G1" s="2"/>
    </row>
    <row r="2" spans="1:7" x14ac:dyDescent="0.2">
      <c r="A2" s="73" t="s">
        <v>403</v>
      </c>
      <c r="B2" s="73" t="s">
        <v>154</v>
      </c>
      <c r="C2" s="71" t="s">
        <v>409</v>
      </c>
      <c r="D2" s="71"/>
      <c r="E2" s="71"/>
      <c r="F2" s="71"/>
    </row>
    <row r="3" spans="1:7" x14ac:dyDescent="0.2">
      <c r="A3" s="74"/>
      <c r="B3" s="74"/>
      <c r="C3" s="27">
        <v>2022</v>
      </c>
      <c r="D3" s="27">
        <v>2023</v>
      </c>
      <c r="E3" s="27">
        <v>2024</v>
      </c>
      <c r="F3" s="27">
        <v>2025</v>
      </c>
    </row>
    <row r="4" spans="1:7" x14ac:dyDescent="0.2">
      <c r="A4" s="11" t="s">
        <v>404</v>
      </c>
      <c r="B4" s="28"/>
      <c r="C4" s="28"/>
      <c r="D4" s="28"/>
      <c r="E4" s="28"/>
      <c r="F4" s="28"/>
    </row>
    <row r="5" spans="1:7" x14ac:dyDescent="0.2">
      <c r="B5" s="10" t="s">
        <v>232</v>
      </c>
      <c r="C5" s="10">
        <v>40</v>
      </c>
      <c r="D5" s="10">
        <v>38</v>
      </c>
      <c r="E5" s="10">
        <v>37</v>
      </c>
      <c r="F5" s="10">
        <v>37</v>
      </c>
    </row>
    <row r="6" spans="1:7" x14ac:dyDescent="0.2">
      <c r="B6" s="10" t="s">
        <v>410</v>
      </c>
      <c r="C6" s="10">
        <v>1</v>
      </c>
      <c r="D6" s="10">
        <v>1</v>
      </c>
      <c r="E6" s="10">
        <v>1</v>
      </c>
      <c r="F6" s="10">
        <v>1</v>
      </c>
    </row>
    <row r="7" spans="1:7" x14ac:dyDescent="0.2">
      <c r="B7" s="10" t="s">
        <v>411</v>
      </c>
      <c r="C7" s="10">
        <v>2</v>
      </c>
      <c r="D7" s="10">
        <v>2</v>
      </c>
      <c r="E7" s="10">
        <v>2</v>
      </c>
      <c r="F7" s="10">
        <v>1</v>
      </c>
    </row>
    <row r="8" spans="1:7" x14ac:dyDescent="0.2">
      <c r="B8" s="10" t="s">
        <v>412</v>
      </c>
      <c r="C8" s="10">
        <v>0</v>
      </c>
      <c r="D8" s="10">
        <v>0</v>
      </c>
      <c r="E8" s="10">
        <v>0</v>
      </c>
      <c r="F8" s="10">
        <v>0</v>
      </c>
    </row>
    <row r="9" spans="1:7" x14ac:dyDescent="0.2">
      <c r="A9" s="11" t="s">
        <v>405</v>
      </c>
      <c r="B9" s="9"/>
      <c r="C9" s="9"/>
      <c r="D9" s="9"/>
      <c r="E9" s="9"/>
      <c r="F9" s="9"/>
    </row>
    <row r="10" spans="1:7" x14ac:dyDescent="0.2">
      <c r="B10" s="10" t="s">
        <v>413</v>
      </c>
      <c r="C10" s="10">
        <v>14</v>
      </c>
      <c r="D10" s="10">
        <v>14</v>
      </c>
      <c r="E10" s="10">
        <v>14</v>
      </c>
      <c r="F10" s="10">
        <v>14</v>
      </c>
    </row>
    <row r="11" spans="1:7" x14ac:dyDescent="0.2">
      <c r="A11" s="11" t="s">
        <v>406</v>
      </c>
      <c r="B11" s="9"/>
      <c r="C11" s="9"/>
      <c r="D11" s="9"/>
      <c r="E11" s="9"/>
      <c r="F11" s="9"/>
    </row>
    <row r="12" spans="1:7" x14ac:dyDescent="0.2">
      <c r="B12" s="10" t="s">
        <v>414</v>
      </c>
      <c r="C12" s="10">
        <v>0</v>
      </c>
      <c r="D12" s="10">
        <v>0</v>
      </c>
      <c r="E12" s="10">
        <v>0</v>
      </c>
      <c r="F12" s="10">
        <v>0</v>
      </c>
    </row>
    <row r="13" spans="1:7" x14ac:dyDescent="0.2">
      <c r="B13" s="10" t="s">
        <v>415</v>
      </c>
      <c r="C13" s="10">
        <v>1</v>
      </c>
      <c r="D13" s="10">
        <v>1</v>
      </c>
      <c r="E13" s="10">
        <v>1</v>
      </c>
      <c r="F13" s="10">
        <v>1</v>
      </c>
    </row>
    <row r="14" spans="1:7" x14ac:dyDescent="0.2">
      <c r="B14" s="10" t="s">
        <v>416</v>
      </c>
      <c r="C14" s="10">
        <v>2</v>
      </c>
      <c r="D14" s="10">
        <v>2</v>
      </c>
      <c r="E14" s="10">
        <v>2</v>
      </c>
      <c r="F14" s="10">
        <v>2</v>
      </c>
    </row>
    <row r="15" spans="1:7" x14ac:dyDescent="0.2">
      <c r="A15" s="11" t="s">
        <v>407</v>
      </c>
      <c r="B15" s="9"/>
      <c r="C15" s="9"/>
      <c r="D15" s="9"/>
      <c r="E15" s="9"/>
      <c r="F15" s="9"/>
    </row>
    <row r="16" spans="1:7" x14ac:dyDescent="0.2">
      <c r="B16" s="10" t="s">
        <v>417</v>
      </c>
      <c r="C16" s="10">
        <v>0</v>
      </c>
      <c r="D16" s="10">
        <v>0</v>
      </c>
      <c r="E16" s="10">
        <v>0</v>
      </c>
      <c r="F16" s="10">
        <v>0</v>
      </c>
    </row>
    <row r="17" spans="1:7" x14ac:dyDescent="0.2">
      <c r="B17" s="10" t="s">
        <v>418</v>
      </c>
      <c r="C17" s="10">
        <v>0</v>
      </c>
      <c r="D17" s="10">
        <v>0</v>
      </c>
      <c r="E17" s="10">
        <v>0</v>
      </c>
      <c r="F17" s="10">
        <v>0</v>
      </c>
    </row>
    <row r="18" spans="1:7" x14ac:dyDescent="0.2">
      <c r="B18" s="10" t="s">
        <v>419</v>
      </c>
      <c r="C18" s="10">
        <v>1</v>
      </c>
      <c r="D18" s="10">
        <v>1</v>
      </c>
      <c r="E18" s="10">
        <v>1</v>
      </c>
      <c r="F18" s="10">
        <v>1</v>
      </c>
    </row>
    <row r="19" spans="1:7" x14ac:dyDescent="0.2">
      <c r="B19" s="10" t="s">
        <v>420</v>
      </c>
      <c r="C19" s="10">
        <v>0</v>
      </c>
      <c r="D19" s="10">
        <v>0</v>
      </c>
      <c r="E19" s="10">
        <v>0</v>
      </c>
      <c r="F19" s="10">
        <v>0</v>
      </c>
    </row>
    <row r="20" spans="1:7" x14ac:dyDescent="0.2">
      <c r="A20" s="11" t="s">
        <v>408</v>
      </c>
      <c r="B20" s="9"/>
      <c r="C20" s="9"/>
      <c r="D20" s="9"/>
      <c r="E20" s="9"/>
      <c r="F20" s="9"/>
    </row>
    <row r="21" spans="1:7" x14ac:dyDescent="0.2">
      <c r="B21" s="10" t="s">
        <v>421</v>
      </c>
      <c r="C21" s="10">
        <v>1</v>
      </c>
      <c r="D21" s="10">
        <v>1</v>
      </c>
      <c r="E21" s="10">
        <v>1</v>
      </c>
      <c r="F21" s="10">
        <v>1</v>
      </c>
    </row>
    <row r="22" spans="1:7" x14ac:dyDescent="0.2">
      <c r="A22" s="11" t="s">
        <v>8</v>
      </c>
      <c r="B22" s="11"/>
      <c r="C22" s="11">
        <v>62</v>
      </c>
      <c r="D22" s="11">
        <v>60</v>
      </c>
      <c r="E22" s="11">
        <v>59</v>
      </c>
      <c r="F22" s="11">
        <v>58</v>
      </c>
    </row>
    <row r="23" spans="1:7" x14ac:dyDescent="0.2">
      <c r="A23" s="78" t="s">
        <v>312</v>
      </c>
      <c r="B23" s="78"/>
      <c r="C23" s="78"/>
      <c r="D23" s="78"/>
      <c r="E23" s="78"/>
      <c r="F23" s="78"/>
      <c r="G23" s="6"/>
    </row>
  </sheetData>
  <mergeCells count="5">
    <mergeCell ref="C2:F2"/>
    <mergeCell ref="B2:B3"/>
    <mergeCell ref="A2:A3"/>
    <mergeCell ref="A1:F1"/>
    <mergeCell ref="A23:F2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CC6C5-6504-420F-8257-A06085E98952}">
  <dimension ref="A1:C10"/>
  <sheetViews>
    <sheetView showGridLines="0" workbookViewId="0">
      <selection activeCell="B8" sqref="B3:B8"/>
    </sheetView>
  </sheetViews>
  <sheetFormatPr baseColWidth="10" defaultColWidth="11.5" defaultRowHeight="15" x14ac:dyDescent="0.2"/>
  <cols>
    <col min="1" max="1" width="90.6640625" style="10" customWidth="1"/>
    <col min="2" max="2" width="12.6640625" style="10" customWidth="1"/>
    <col min="3" max="16384" width="11.5" style="10"/>
  </cols>
  <sheetData>
    <row r="1" spans="1:3" customFormat="1" ht="16" x14ac:dyDescent="0.2">
      <c r="A1" s="72" t="s">
        <v>454</v>
      </c>
      <c r="B1" s="72"/>
      <c r="C1" s="2"/>
    </row>
    <row r="2" spans="1:3" x14ac:dyDescent="0.2">
      <c r="A2" s="24" t="s">
        <v>455</v>
      </c>
      <c r="B2" s="24" t="s">
        <v>456</v>
      </c>
    </row>
    <row r="3" spans="1:3" x14ac:dyDescent="0.2">
      <c r="A3" s="10" t="s">
        <v>457</v>
      </c>
      <c r="B3" s="10">
        <v>276</v>
      </c>
    </row>
    <row r="4" spans="1:3" x14ac:dyDescent="0.2">
      <c r="A4" s="10" t="s">
        <v>458</v>
      </c>
      <c r="B4" s="10">
        <v>301</v>
      </c>
    </row>
    <row r="5" spans="1:3" x14ac:dyDescent="0.2">
      <c r="A5" s="10" t="s">
        <v>459</v>
      </c>
      <c r="B5" s="16">
        <v>5382</v>
      </c>
    </row>
    <row r="6" spans="1:3" x14ac:dyDescent="0.2">
      <c r="A6" s="10" t="s">
        <v>460</v>
      </c>
      <c r="B6" s="10">
        <v>51</v>
      </c>
    </row>
    <row r="7" spans="1:3" x14ac:dyDescent="0.2">
      <c r="A7" s="10" t="s">
        <v>461</v>
      </c>
      <c r="B7" s="10">
        <v>1</v>
      </c>
    </row>
    <row r="8" spans="1:3" x14ac:dyDescent="0.2">
      <c r="A8" s="10" t="s">
        <v>462</v>
      </c>
      <c r="B8" s="10">
        <v>1</v>
      </c>
    </row>
    <row r="9" spans="1:3" x14ac:dyDescent="0.2">
      <c r="A9" s="11" t="s">
        <v>8</v>
      </c>
      <c r="B9" s="17">
        <v>6012</v>
      </c>
    </row>
    <row r="10" spans="1:3" x14ac:dyDescent="0.2">
      <c r="A10" s="70" t="s">
        <v>465</v>
      </c>
      <c r="B10" s="70"/>
    </row>
  </sheetData>
  <mergeCells count="2">
    <mergeCell ref="A10:B10"/>
    <mergeCell ref="A1:B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9C9BC-954D-463C-9C8F-A8DFA4677B07}">
  <dimension ref="A1:E17"/>
  <sheetViews>
    <sheetView showGridLines="0" workbookViewId="0">
      <selection activeCell="H22" sqref="H22"/>
    </sheetView>
  </sheetViews>
  <sheetFormatPr baseColWidth="10" defaultColWidth="11.5" defaultRowHeight="15" x14ac:dyDescent="0.2"/>
  <cols>
    <col min="1" max="1" width="21.1640625" style="10" customWidth="1"/>
    <col min="2" max="2" width="21.5" style="10" customWidth="1"/>
    <col min="3" max="3" width="18.33203125" style="10" customWidth="1"/>
    <col min="4" max="4" width="17.1640625" style="10" customWidth="1"/>
    <col min="5" max="16384" width="11.5" style="10"/>
  </cols>
  <sheetData>
    <row r="1" spans="1:5" customFormat="1" ht="16" x14ac:dyDescent="0.2">
      <c r="A1" s="72" t="s">
        <v>463</v>
      </c>
      <c r="B1" s="72"/>
      <c r="C1" s="72"/>
      <c r="D1" s="72"/>
      <c r="E1" s="2"/>
    </row>
    <row r="2" spans="1:5" x14ac:dyDescent="0.2">
      <c r="A2" s="24" t="s">
        <v>154</v>
      </c>
      <c r="B2" s="24" t="s">
        <v>435</v>
      </c>
      <c r="C2" s="24" t="s">
        <v>464</v>
      </c>
      <c r="D2" s="24" t="s">
        <v>8</v>
      </c>
    </row>
    <row r="3" spans="1:5" x14ac:dyDescent="0.2">
      <c r="A3" s="29" t="s">
        <v>414</v>
      </c>
      <c r="B3" s="10">
        <v>76</v>
      </c>
      <c r="C3" s="10">
        <v>90</v>
      </c>
      <c r="D3" s="10">
        <v>166</v>
      </c>
    </row>
    <row r="4" spans="1:5" x14ac:dyDescent="0.2">
      <c r="A4" s="29" t="s">
        <v>417</v>
      </c>
      <c r="B4" s="10">
        <v>44</v>
      </c>
      <c r="C4" s="10">
        <v>149</v>
      </c>
      <c r="D4" s="10">
        <v>193</v>
      </c>
    </row>
    <row r="5" spans="1:5" x14ac:dyDescent="0.2">
      <c r="A5" s="29" t="s">
        <v>232</v>
      </c>
      <c r="B5" s="10">
        <v>771</v>
      </c>
      <c r="C5" s="16">
        <v>3184</v>
      </c>
      <c r="D5" s="16">
        <v>3955</v>
      </c>
    </row>
    <row r="6" spans="1:5" x14ac:dyDescent="0.2">
      <c r="A6" s="29" t="s">
        <v>415</v>
      </c>
      <c r="B6" s="10">
        <v>13</v>
      </c>
      <c r="C6" s="10">
        <v>93</v>
      </c>
      <c r="D6" s="10">
        <v>106</v>
      </c>
    </row>
    <row r="7" spans="1:5" x14ac:dyDescent="0.2">
      <c r="A7" s="29" t="s">
        <v>413</v>
      </c>
      <c r="B7" s="10">
        <v>89</v>
      </c>
      <c r="C7" s="10">
        <v>237</v>
      </c>
      <c r="D7" s="10">
        <v>326</v>
      </c>
    </row>
    <row r="8" spans="1:5" x14ac:dyDescent="0.2">
      <c r="A8" s="29" t="s">
        <v>410</v>
      </c>
      <c r="B8" s="10">
        <v>96</v>
      </c>
      <c r="C8" s="10">
        <v>368</v>
      </c>
      <c r="D8" s="10">
        <v>464</v>
      </c>
    </row>
    <row r="9" spans="1:5" x14ac:dyDescent="0.2">
      <c r="A9" s="29" t="s">
        <v>418</v>
      </c>
      <c r="B9" s="10">
        <v>10</v>
      </c>
      <c r="C9" s="10">
        <v>41</v>
      </c>
      <c r="D9" s="10">
        <v>51</v>
      </c>
    </row>
    <row r="10" spans="1:5" x14ac:dyDescent="0.2">
      <c r="A10" s="29" t="s">
        <v>416</v>
      </c>
      <c r="B10" s="10">
        <v>38</v>
      </c>
      <c r="C10" s="10">
        <v>82</v>
      </c>
      <c r="D10" s="10">
        <v>120</v>
      </c>
    </row>
    <row r="11" spans="1:5" x14ac:dyDescent="0.2">
      <c r="A11" s="29" t="s">
        <v>419</v>
      </c>
      <c r="B11" s="10">
        <v>30</v>
      </c>
      <c r="C11" s="10">
        <v>118</v>
      </c>
      <c r="D11" s="10">
        <v>148</v>
      </c>
    </row>
    <row r="12" spans="1:5" x14ac:dyDescent="0.2">
      <c r="A12" s="29" t="s">
        <v>411</v>
      </c>
      <c r="B12" s="10">
        <v>41</v>
      </c>
      <c r="C12" s="10">
        <v>163</v>
      </c>
      <c r="D12" s="10">
        <v>204</v>
      </c>
    </row>
    <row r="13" spans="1:5" x14ac:dyDescent="0.2">
      <c r="A13" s="29" t="s">
        <v>421</v>
      </c>
      <c r="B13" s="10">
        <v>72</v>
      </c>
      <c r="C13" s="10">
        <v>74</v>
      </c>
      <c r="D13" s="10">
        <v>146</v>
      </c>
    </row>
    <row r="14" spans="1:5" x14ac:dyDescent="0.2">
      <c r="A14" s="29" t="s">
        <v>412</v>
      </c>
      <c r="B14" s="10">
        <v>8</v>
      </c>
      <c r="C14" s="10">
        <v>33</v>
      </c>
      <c r="D14" s="10">
        <v>41</v>
      </c>
    </row>
    <row r="15" spans="1:5" x14ac:dyDescent="0.2">
      <c r="A15" s="29" t="s">
        <v>420</v>
      </c>
      <c r="B15" s="10">
        <v>23</v>
      </c>
      <c r="C15" s="10">
        <v>69</v>
      </c>
      <c r="D15" s="10">
        <v>92</v>
      </c>
    </row>
    <row r="16" spans="1:5" x14ac:dyDescent="0.2">
      <c r="A16" s="11" t="s">
        <v>335</v>
      </c>
      <c r="B16" s="17">
        <v>1311</v>
      </c>
      <c r="C16" s="17">
        <v>4701</v>
      </c>
      <c r="D16" s="17">
        <v>6012</v>
      </c>
    </row>
    <row r="17" spans="1:4" ht="14.5" customHeight="1" x14ac:dyDescent="0.2">
      <c r="A17" s="82" t="s">
        <v>465</v>
      </c>
      <c r="B17" s="82"/>
      <c r="C17" s="82"/>
      <c r="D17" s="82"/>
    </row>
  </sheetData>
  <mergeCells count="2">
    <mergeCell ref="A17:D17"/>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CE935-EFAA-4A10-B82C-95F19C3B518D}">
  <dimension ref="A1:E13"/>
  <sheetViews>
    <sheetView showGridLines="0" workbookViewId="0">
      <selection activeCell="A13" sqref="A13:D13"/>
    </sheetView>
  </sheetViews>
  <sheetFormatPr baseColWidth="10" defaultColWidth="11.5" defaultRowHeight="15" x14ac:dyDescent="0.2"/>
  <cols>
    <col min="1" max="1" width="32.1640625" style="10" customWidth="1"/>
    <col min="2" max="2" width="15.5" style="10" customWidth="1"/>
    <col min="3" max="3" width="18" style="10" customWidth="1"/>
    <col min="4" max="4" width="13.33203125" style="10" customWidth="1"/>
    <col min="5" max="16384" width="11.5" style="10"/>
  </cols>
  <sheetData>
    <row r="1" spans="1:5" customFormat="1" ht="16" x14ac:dyDescent="0.2">
      <c r="A1" s="72" t="s">
        <v>466</v>
      </c>
      <c r="B1" s="72"/>
      <c r="C1" s="72"/>
      <c r="D1" s="72"/>
      <c r="E1" s="2"/>
    </row>
    <row r="2" spans="1:5" x14ac:dyDescent="0.2">
      <c r="A2" s="24" t="s">
        <v>467</v>
      </c>
      <c r="B2" s="24" t="s">
        <v>435</v>
      </c>
      <c r="C2" s="24" t="s">
        <v>464</v>
      </c>
      <c r="D2" s="24" t="s">
        <v>8</v>
      </c>
    </row>
    <row r="3" spans="1:5" x14ac:dyDescent="0.2">
      <c r="A3" s="10" t="s">
        <v>468</v>
      </c>
      <c r="B3" s="10">
        <v>36</v>
      </c>
      <c r="C3" s="10">
        <v>29</v>
      </c>
      <c r="D3" s="10">
        <v>65</v>
      </c>
    </row>
    <row r="4" spans="1:5" x14ac:dyDescent="0.2">
      <c r="A4" s="10" t="s">
        <v>469</v>
      </c>
      <c r="B4" s="10">
        <v>594</v>
      </c>
      <c r="C4" s="16">
        <v>2893</v>
      </c>
      <c r="D4" s="16">
        <v>3487</v>
      </c>
    </row>
    <row r="5" spans="1:5" x14ac:dyDescent="0.2">
      <c r="A5" s="10" t="s">
        <v>470</v>
      </c>
      <c r="B5" s="10">
        <v>12</v>
      </c>
      <c r="C5" s="10">
        <v>20</v>
      </c>
      <c r="D5" s="10">
        <v>32</v>
      </c>
    </row>
    <row r="6" spans="1:5" x14ac:dyDescent="0.2">
      <c r="A6" s="10" t="s">
        <v>471</v>
      </c>
      <c r="B6" s="10">
        <v>162</v>
      </c>
      <c r="C6" s="10">
        <v>533</v>
      </c>
      <c r="D6" s="10">
        <v>695</v>
      </c>
    </row>
    <row r="7" spans="1:5" x14ac:dyDescent="0.2">
      <c r="A7" s="10" t="s">
        <v>472</v>
      </c>
      <c r="B7" s="10">
        <v>23</v>
      </c>
      <c r="C7" s="10">
        <v>31</v>
      </c>
      <c r="D7" s="10">
        <v>54</v>
      </c>
    </row>
    <row r="8" spans="1:5" x14ac:dyDescent="0.2">
      <c r="A8" s="10" t="s">
        <v>473</v>
      </c>
      <c r="B8" s="10">
        <v>238</v>
      </c>
      <c r="C8" s="10">
        <v>274</v>
      </c>
      <c r="D8" s="10">
        <v>512</v>
      </c>
    </row>
    <row r="9" spans="1:5" x14ac:dyDescent="0.2">
      <c r="A9" s="10" t="s">
        <v>474</v>
      </c>
      <c r="B9" s="10">
        <v>117</v>
      </c>
      <c r="C9" s="10">
        <v>453</v>
      </c>
      <c r="D9" s="10">
        <v>570</v>
      </c>
    </row>
    <row r="10" spans="1:5" x14ac:dyDescent="0.2">
      <c r="A10" s="10" t="s">
        <v>475</v>
      </c>
      <c r="B10" s="10">
        <v>38</v>
      </c>
      <c r="C10" s="10">
        <v>145</v>
      </c>
      <c r="D10" s="10">
        <v>183</v>
      </c>
    </row>
    <row r="11" spans="1:5" x14ac:dyDescent="0.2">
      <c r="A11" s="10" t="s">
        <v>476</v>
      </c>
      <c r="B11" s="10">
        <v>91</v>
      </c>
      <c r="C11" s="10">
        <v>323</v>
      </c>
      <c r="D11" s="10">
        <v>414</v>
      </c>
    </row>
    <row r="12" spans="1:5" x14ac:dyDescent="0.2">
      <c r="A12" s="11" t="s">
        <v>8</v>
      </c>
      <c r="B12" s="17">
        <v>1311</v>
      </c>
      <c r="C12" s="17">
        <v>4701</v>
      </c>
      <c r="D12" s="17">
        <v>6012</v>
      </c>
    </row>
    <row r="13" spans="1:5" ht="14.5" customHeight="1" x14ac:dyDescent="0.2">
      <c r="A13" s="83" t="s">
        <v>465</v>
      </c>
      <c r="B13" s="83"/>
      <c r="C13" s="83"/>
      <c r="D13" s="83"/>
    </row>
  </sheetData>
  <mergeCells count="2">
    <mergeCell ref="A13:D13"/>
    <mergeCell ref="A1:D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B2093-A4F7-4BC4-933C-94BEBA6ED769}">
  <dimension ref="A1:E12"/>
  <sheetViews>
    <sheetView showGridLines="0" workbookViewId="0">
      <selection sqref="A1:D1"/>
    </sheetView>
  </sheetViews>
  <sheetFormatPr baseColWidth="10" defaultColWidth="11.5" defaultRowHeight="15" x14ac:dyDescent="0.2"/>
  <cols>
    <col min="1" max="1" width="58.1640625" style="10" customWidth="1"/>
    <col min="2" max="3" width="13.5" style="10" customWidth="1"/>
    <col min="4" max="16384" width="11.5" style="10"/>
  </cols>
  <sheetData>
    <row r="1" spans="1:5" customFormat="1" ht="16" x14ac:dyDescent="0.2">
      <c r="A1" s="72" t="s">
        <v>478</v>
      </c>
      <c r="B1" s="72"/>
      <c r="C1" s="72"/>
      <c r="D1" s="72"/>
      <c r="E1" s="2"/>
    </row>
    <row r="2" spans="1:5" x14ac:dyDescent="0.2">
      <c r="A2" s="73" t="s">
        <v>479</v>
      </c>
      <c r="B2" s="71" t="s">
        <v>480</v>
      </c>
      <c r="C2" s="71"/>
      <c r="D2" s="71"/>
    </row>
    <row r="3" spans="1:5" x14ac:dyDescent="0.2">
      <c r="A3" s="74"/>
      <c r="B3" s="27" t="s">
        <v>435</v>
      </c>
      <c r="C3" s="27" t="s">
        <v>464</v>
      </c>
      <c r="D3" s="27" t="s">
        <v>8</v>
      </c>
    </row>
    <row r="4" spans="1:5" x14ac:dyDescent="0.2">
      <c r="A4" s="30" t="s">
        <v>481</v>
      </c>
      <c r="B4" s="10">
        <v>17</v>
      </c>
      <c r="C4" s="10">
        <v>45</v>
      </c>
      <c r="D4" s="10">
        <v>62</v>
      </c>
    </row>
    <row r="5" spans="1:5" x14ac:dyDescent="0.2">
      <c r="A5" s="30" t="s">
        <v>482</v>
      </c>
      <c r="B5" s="10">
        <v>946</v>
      </c>
      <c r="C5" s="16">
        <v>3527</v>
      </c>
      <c r="D5" s="16">
        <v>4473</v>
      </c>
    </row>
    <row r="6" spans="1:5" x14ac:dyDescent="0.2">
      <c r="A6" s="30" t="s">
        <v>483</v>
      </c>
      <c r="B6" s="10">
        <v>299</v>
      </c>
      <c r="C6" s="10">
        <v>469</v>
      </c>
      <c r="D6" s="10">
        <v>768</v>
      </c>
    </row>
    <row r="7" spans="1:5" x14ac:dyDescent="0.2">
      <c r="A7" s="30" t="s">
        <v>484</v>
      </c>
      <c r="B7" s="10">
        <v>37</v>
      </c>
      <c r="C7" s="10">
        <v>6</v>
      </c>
      <c r="D7" s="10">
        <v>43</v>
      </c>
    </row>
    <row r="8" spans="1:5" x14ac:dyDescent="0.2">
      <c r="A8" s="30" t="s">
        <v>485</v>
      </c>
      <c r="B8" s="10">
        <v>2</v>
      </c>
      <c r="C8" s="10">
        <v>3</v>
      </c>
      <c r="D8" s="10">
        <v>5</v>
      </c>
    </row>
    <row r="9" spans="1:5" x14ac:dyDescent="0.2">
      <c r="A9" s="30" t="s">
        <v>486</v>
      </c>
      <c r="B9" s="10">
        <v>3</v>
      </c>
      <c r="C9" s="10">
        <v>16</v>
      </c>
      <c r="D9" s="10">
        <v>19</v>
      </c>
    </row>
    <row r="10" spans="1:5" x14ac:dyDescent="0.2">
      <c r="A10" s="30" t="s">
        <v>487</v>
      </c>
      <c r="B10" s="10">
        <v>0</v>
      </c>
      <c r="C10" s="10">
        <v>12</v>
      </c>
      <c r="D10" s="10">
        <v>12</v>
      </c>
    </row>
    <row r="11" spans="1:5" x14ac:dyDescent="0.2">
      <c r="A11" s="11" t="s">
        <v>8</v>
      </c>
      <c r="B11" s="17">
        <v>1304</v>
      </c>
      <c r="C11" s="17">
        <v>4078</v>
      </c>
      <c r="D11" s="17">
        <v>5382</v>
      </c>
    </row>
    <row r="12" spans="1:5" x14ac:dyDescent="0.2">
      <c r="A12" s="78" t="s">
        <v>465</v>
      </c>
      <c r="B12" s="78"/>
      <c r="C12" s="78"/>
      <c r="D12" s="78"/>
    </row>
  </sheetData>
  <mergeCells count="4">
    <mergeCell ref="B2:D2"/>
    <mergeCell ref="A1:D1"/>
    <mergeCell ref="A2:A3"/>
    <mergeCell ref="A12:D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5DCE-C954-42AE-ADEA-7F69A02E604B}">
  <dimension ref="A1:D8"/>
  <sheetViews>
    <sheetView showGridLines="0" workbookViewId="0">
      <selection activeCell="F14" sqref="F14"/>
    </sheetView>
  </sheetViews>
  <sheetFormatPr baseColWidth="10" defaultColWidth="11.5" defaultRowHeight="15" x14ac:dyDescent="0.2"/>
  <cols>
    <col min="1" max="1" width="27.83203125" style="10" customWidth="1"/>
    <col min="2" max="2" width="24.1640625" style="10" customWidth="1"/>
    <col min="3" max="3" width="24.83203125" style="10" customWidth="1"/>
    <col min="4" max="16384" width="11.5" style="10"/>
  </cols>
  <sheetData>
    <row r="1" spans="1:4" customFormat="1" ht="16" x14ac:dyDescent="0.2">
      <c r="A1" s="72" t="s">
        <v>275</v>
      </c>
      <c r="B1" s="72"/>
      <c r="C1" s="72"/>
    </row>
    <row r="2" spans="1:4" customFormat="1" x14ac:dyDescent="0.2">
      <c r="A2" s="73" t="s">
        <v>276</v>
      </c>
      <c r="B2" s="79" t="s">
        <v>280</v>
      </c>
      <c r="C2" s="79"/>
    </row>
    <row r="3" spans="1:4" x14ac:dyDescent="0.2">
      <c r="A3" s="74"/>
      <c r="B3" s="23" t="s">
        <v>281</v>
      </c>
      <c r="C3" s="23" t="s">
        <v>282</v>
      </c>
    </row>
    <row r="4" spans="1:4" x14ac:dyDescent="0.2">
      <c r="A4" s="10" t="s">
        <v>277</v>
      </c>
      <c r="B4" s="10">
        <v>200</v>
      </c>
      <c r="C4" s="10">
        <v>182</v>
      </c>
    </row>
    <row r="5" spans="1:4" x14ac:dyDescent="0.2">
      <c r="A5" s="10" t="s">
        <v>278</v>
      </c>
      <c r="B5" s="16">
        <v>1044</v>
      </c>
      <c r="C5" s="16">
        <v>1024</v>
      </c>
    </row>
    <row r="6" spans="1:4" x14ac:dyDescent="0.2">
      <c r="A6" s="10" t="s">
        <v>279</v>
      </c>
      <c r="B6" s="10">
        <v>181</v>
      </c>
      <c r="C6" s="10">
        <v>182</v>
      </c>
    </row>
    <row r="7" spans="1:4" x14ac:dyDescent="0.2">
      <c r="A7" s="9"/>
      <c r="B7" s="9"/>
      <c r="C7" s="9"/>
    </row>
    <row r="8" spans="1:4" x14ac:dyDescent="0.2">
      <c r="A8" s="80" t="s">
        <v>685</v>
      </c>
      <c r="B8" s="78"/>
      <c r="C8" s="78"/>
      <c r="D8" s="6"/>
    </row>
  </sheetData>
  <mergeCells count="4">
    <mergeCell ref="B2:C2"/>
    <mergeCell ref="A1:C1"/>
    <mergeCell ref="A8:C8"/>
    <mergeCell ref="A2:A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F2883-3A42-439F-9D2B-B967F9D4C362}">
  <dimension ref="A1:E8"/>
  <sheetViews>
    <sheetView showGridLines="0" workbookViewId="0">
      <selection activeCell="A8" sqref="A8:D8"/>
    </sheetView>
  </sheetViews>
  <sheetFormatPr baseColWidth="10" defaultColWidth="11.5" defaultRowHeight="15" x14ac:dyDescent="0.2"/>
  <cols>
    <col min="1" max="1" width="88.1640625" style="10" customWidth="1"/>
    <col min="2" max="3" width="11.5" style="10"/>
    <col min="4" max="4" width="13" style="10" customWidth="1"/>
    <col min="5" max="16384" width="11.5" style="10"/>
  </cols>
  <sheetData>
    <row r="1" spans="1:5" customFormat="1" ht="16" x14ac:dyDescent="0.2">
      <c r="A1" s="72" t="s">
        <v>422</v>
      </c>
      <c r="B1" s="72"/>
      <c r="C1" s="72"/>
      <c r="D1" s="72"/>
      <c r="E1" s="2"/>
    </row>
    <row r="2" spans="1:5" x14ac:dyDescent="0.2">
      <c r="A2" s="28" t="s">
        <v>423</v>
      </c>
      <c r="B2" s="28" t="s">
        <v>424</v>
      </c>
      <c r="C2" s="28" t="s">
        <v>425</v>
      </c>
      <c r="D2" s="28" t="s">
        <v>426</v>
      </c>
    </row>
    <row r="3" spans="1:5" x14ac:dyDescent="0.2">
      <c r="A3" s="10" t="s">
        <v>427</v>
      </c>
      <c r="B3" s="10">
        <v>111</v>
      </c>
      <c r="C3" s="16">
        <v>2677</v>
      </c>
      <c r="D3" s="16">
        <v>2251</v>
      </c>
    </row>
    <row r="4" spans="1:5" x14ac:dyDescent="0.2">
      <c r="A4" s="10" t="s">
        <v>428</v>
      </c>
      <c r="B4" s="10">
        <v>33</v>
      </c>
      <c r="C4" s="10">
        <v>240</v>
      </c>
      <c r="D4" s="10">
        <v>199</v>
      </c>
    </row>
    <row r="5" spans="1:5" x14ac:dyDescent="0.2">
      <c r="A5" s="10" t="s">
        <v>429</v>
      </c>
      <c r="B5" s="10">
        <v>40</v>
      </c>
      <c r="C5" s="16">
        <v>1285</v>
      </c>
      <c r="D5" s="16">
        <v>1125</v>
      </c>
    </row>
    <row r="6" spans="1:5" x14ac:dyDescent="0.2">
      <c r="A6" s="10" t="s">
        <v>430</v>
      </c>
      <c r="B6" s="10">
        <v>40</v>
      </c>
      <c r="C6" s="10">
        <v>297</v>
      </c>
      <c r="D6" s="10">
        <v>218</v>
      </c>
    </row>
    <row r="7" spans="1:5" x14ac:dyDescent="0.2">
      <c r="A7" s="9"/>
      <c r="B7" s="9"/>
      <c r="C7" s="9"/>
      <c r="D7" s="9"/>
    </row>
    <row r="8" spans="1:5" x14ac:dyDescent="0.2">
      <c r="A8" s="78" t="s">
        <v>685</v>
      </c>
      <c r="B8" s="78"/>
      <c r="C8" s="78"/>
      <c r="D8" s="78"/>
      <c r="E8" s="6"/>
    </row>
  </sheetData>
  <mergeCells count="2">
    <mergeCell ref="A1:D1"/>
    <mergeCell ref="A8:D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64CD7-F564-4971-8649-840771E2B1C0}">
  <dimension ref="A1:E10"/>
  <sheetViews>
    <sheetView showGridLines="0" workbookViewId="0">
      <selection activeCell="H16" sqref="H16"/>
    </sheetView>
  </sheetViews>
  <sheetFormatPr baseColWidth="10" defaultColWidth="11.5" defaultRowHeight="15" x14ac:dyDescent="0.2"/>
  <cols>
    <col min="1" max="1" width="17.6640625" style="10" customWidth="1"/>
    <col min="2" max="2" width="18.33203125" style="10" customWidth="1"/>
    <col min="3" max="3" width="18.1640625" style="10" customWidth="1"/>
    <col min="4" max="4" width="24.33203125" style="10" customWidth="1"/>
    <col min="5" max="16384" width="11.5" style="10"/>
  </cols>
  <sheetData>
    <row r="1" spans="1:5" customFormat="1" ht="16" x14ac:dyDescent="0.2">
      <c r="A1" s="72" t="s">
        <v>444</v>
      </c>
      <c r="B1" s="72"/>
      <c r="C1" s="72"/>
      <c r="D1" s="72"/>
      <c r="E1" s="2"/>
    </row>
    <row r="2" spans="1:5" x14ac:dyDescent="0.2">
      <c r="A2" s="24" t="s">
        <v>340</v>
      </c>
      <c r="B2" s="24" t="s">
        <v>445</v>
      </c>
      <c r="C2" s="24" t="s">
        <v>446</v>
      </c>
      <c r="D2" s="24" t="s">
        <v>447</v>
      </c>
    </row>
    <row r="3" spans="1:5" x14ac:dyDescent="0.2">
      <c r="A3" s="10">
        <v>2020</v>
      </c>
      <c r="B3" s="10">
        <v>752</v>
      </c>
      <c r="C3" s="10">
        <v>165</v>
      </c>
      <c r="D3" s="16">
        <v>4364</v>
      </c>
    </row>
    <row r="4" spans="1:5" x14ac:dyDescent="0.2">
      <c r="A4" s="10">
        <v>2021</v>
      </c>
      <c r="B4" s="16">
        <v>1338</v>
      </c>
      <c r="C4" s="10">
        <v>705</v>
      </c>
      <c r="D4" s="16">
        <v>25982</v>
      </c>
    </row>
    <row r="5" spans="1:5" x14ac:dyDescent="0.2">
      <c r="A5" s="10">
        <v>2022</v>
      </c>
      <c r="B5" s="16">
        <v>1559</v>
      </c>
      <c r="C5" s="10">
        <v>856</v>
      </c>
      <c r="D5" s="16">
        <v>25498</v>
      </c>
    </row>
    <row r="6" spans="1:5" x14ac:dyDescent="0.2">
      <c r="A6" s="10">
        <v>2023</v>
      </c>
      <c r="B6" s="16">
        <v>1448</v>
      </c>
      <c r="C6" s="10">
        <v>746</v>
      </c>
      <c r="D6" s="16">
        <v>25331</v>
      </c>
    </row>
    <row r="7" spans="1:5" x14ac:dyDescent="0.2">
      <c r="A7" s="10">
        <v>2024</v>
      </c>
      <c r="B7" s="16">
        <v>1184</v>
      </c>
      <c r="C7" s="16">
        <v>1444</v>
      </c>
      <c r="D7" s="16">
        <v>24982</v>
      </c>
    </row>
    <row r="8" spans="1:5" x14ac:dyDescent="0.2">
      <c r="A8" s="10">
        <v>2025</v>
      </c>
      <c r="B8" s="16">
        <v>1447</v>
      </c>
      <c r="C8" s="16">
        <v>1290</v>
      </c>
      <c r="D8" s="16">
        <v>23348</v>
      </c>
    </row>
    <row r="9" spans="1:5" x14ac:dyDescent="0.2">
      <c r="A9" s="9"/>
      <c r="B9" s="22"/>
      <c r="C9" s="22"/>
      <c r="D9" s="22"/>
    </row>
    <row r="10" spans="1:5" x14ac:dyDescent="0.2">
      <c r="A10" s="78" t="s">
        <v>685</v>
      </c>
      <c r="B10" s="78"/>
      <c r="C10" s="78"/>
      <c r="D10" s="78"/>
      <c r="E10" s="6"/>
    </row>
  </sheetData>
  <mergeCells count="2">
    <mergeCell ref="A1:D1"/>
    <mergeCell ref="A10:D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3508B-A01D-44E9-A0DE-43AF9D9ABD00}">
  <dimension ref="A1:E12"/>
  <sheetViews>
    <sheetView showGridLines="0" workbookViewId="0">
      <selection activeCell="A12" sqref="A12:D12"/>
    </sheetView>
  </sheetViews>
  <sheetFormatPr baseColWidth="10" defaultColWidth="11.5" defaultRowHeight="15" x14ac:dyDescent="0.2"/>
  <cols>
    <col min="1" max="1" width="48.83203125" style="10" customWidth="1"/>
    <col min="2" max="2" width="13.1640625" style="10" customWidth="1"/>
    <col min="3" max="3" width="14.5" style="10" customWidth="1"/>
    <col min="4" max="4" width="19.83203125" style="10" customWidth="1"/>
    <col min="5" max="16384" width="11.5" style="10"/>
  </cols>
  <sheetData>
    <row r="1" spans="1:5" customFormat="1" ht="16" x14ac:dyDescent="0.2">
      <c r="A1" s="72" t="s">
        <v>431</v>
      </c>
      <c r="B1" s="72"/>
      <c r="C1" s="72"/>
      <c r="D1" s="72"/>
      <c r="E1" s="2"/>
    </row>
    <row r="2" spans="1:5" x14ac:dyDescent="0.2">
      <c r="A2" s="24" t="s">
        <v>432</v>
      </c>
      <c r="B2" s="24" t="s">
        <v>433</v>
      </c>
      <c r="C2" s="24" t="s">
        <v>434</v>
      </c>
      <c r="D2" s="24" t="s">
        <v>435</v>
      </c>
    </row>
    <row r="3" spans="1:5" x14ac:dyDescent="0.2">
      <c r="A3" s="10" t="s">
        <v>436</v>
      </c>
      <c r="B3" s="10">
        <v>225</v>
      </c>
      <c r="C3" s="10">
        <v>221</v>
      </c>
      <c r="D3" s="10">
        <v>123</v>
      </c>
    </row>
    <row r="4" spans="1:5" x14ac:dyDescent="0.2">
      <c r="A4" s="10" t="s">
        <v>437</v>
      </c>
      <c r="B4" s="10">
        <v>13</v>
      </c>
      <c r="C4" s="10">
        <v>23</v>
      </c>
      <c r="D4" s="10">
        <v>38</v>
      </c>
    </row>
    <row r="5" spans="1:5" x14ac:dyDescent="0.2">
      <c r="A5" s="10" t="s">
        <v>438</v>
      </c>
      <c r="B5" s="10">
        <v>21</v>
      </c>
      <c r="C5" s="10">
        <v>11</v>
      </c>
      <c r="D5" s="10">
        <v>44</v>
      </c>
    </row>
    <row r="6" spans="1:5" x14ac:dyDescent="0.2">
      <c r="A6" s="10" t="s">
        <v>439</v>
      </c>
      <c r="B6" s="10">
        <v>16</v>
      </c>
      <c r="C6" s="10">
        <v>17</v>
      </c>
      <c r="D6" s="10">
        <v>28</v>
      </c>
    </row>
    <row r="7" spans="1:5" x14ac:dyDescent="0.2">
      <c r="A7" s="10" t="s">
        <v>440</v>
      </c>
      <c r="B7" s="10">
        <v>53</v>
      </c>
      <c r="C7" s="10">
        <v>32</v>
      </c>
      <c r="D7" s="10">
        <v>63</v>
      </c>
    </row>
    <row r="8" spans="1:5" x14ac:dyDescent="0.2">
      <c r="A8" s="10" t="s">
        <v>441</v>
      </c>
      <c r="B8" s="10">
        <v>3</v>
      </c>
      <c r="C8" s="10">
        <v>16</v>
      </c>
      <c r="D8" s="10">
        <v>31</v>
      </c>
    </row>
    <row r="9" spans="1:5" x14ac:dyDescent="0.2">
      <c r="A9" s="10" t="s">
        <v>442</v>
      </c>
      <c r="B9" s="10">
        <v>0</v>
      </c>
      <c r="C9" s="10">
        <v>0</v>
      </c>
      <c r="D9" s="10">
        <v>8</v>
      </c>
    </row>
    <row r="10" spans="1:5" x14ac:dyDescent="0.2">
      <c r="A10" s="9"/>
      <c r="B10" s="9"/>
      <c r="C10" s="9"/>
      <c r="D10" s="9"/>
    </row>
    <row r="11" spans="1:5" x14ac:dyDescent="0.2">
      <c r="A11" s="78" t="s">
        <v>443</v>
      </c>
      <c r="B11" s="78"/>
      <c r="C11" s="78"/>
      <c r="D11" s="78"/>
    </row>
    <row r="12" spans="1:5" x14ac:dyDescent="0.2">
      <c r="A12" s="70" t="s">
        <v>685</v>
      </c>
      <c r="B12" s="70"/>
      <c r="C12" s="70"/>
      <c r="D12" s="70"/>
    </row>
  </sheetData>
  <mergeCells count="3">
    <mergeCell ref="A1:D1"/>
    <mergeCell ref="A11:D11"/>
    <mergeCell ref="A12:D1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4578C-71ED-4B3E-8DBC-98B917CEDFF8}">
  <dimension ref="A1:G10"/>
  <sheetViews>
    <sheetView showGridLines="0" workbookViewId="0">
      <selection activeCell="A10" sqref="A10:F10"/>
    </sheetView>
  </sheetViews>
  <sheetFormatPr baseColWidth="10" defaultColWidth="11.5" defaultRowHeight="15" x14ac:dyDescent="0.2"/>
  <cols>
    <col min="1" max="2" width="11.5" style="10"/>
    <col min="3" max="3" width="12.1640625" style="10" bestFit="1" customWidth="1"/>
    <col min="4" max="4" width="18.83203125" style="10" customWidth="1"/>
    <col min="5" max="5" width="20.83203125" style="10" customWidth="1"/>
    <col min="6" max="6" width="36.1640625" style="10" customWidth="1"/>
    <col min="7" max="16384" width="11.5" style="10"/>
  </cols>
  <sheetData>
    <row r="1" spans="1:7" customFormat="1" ht="16" x14ac:dyDescent="0.2">
      <c r="A1" s="72" t="s">
        <v>448</v>
      </c>
      <c r="B1" s="72"/>
      <c r="C1" s="72"/>
      <c r="D1" s="72"/>
      <c r="E1" s="72"/>
      <c r="F1" s="72"/>
      <c r="G1" s="2"/>
    </row>
    <row r="2" spans="1:7" x14ac:dyDescent="0.2">
      <c r="A2" s="73" t="s">
        <v>340</v>
      </c>
      <c r="B2" s="73" t="s">
        <v>435</v>
      </c>
      <c r="C2" s="73" t="s">
        <v>449</v>
      </c>
      <c r="D2" s="75" t="s">
        <v>450</v>
      </c>
      <c r="E2" s="75"/>
      <c r="F2" s="75"/>
    </row>
    <row r="3" spans="1:7" x14ac:dyDescent="0.2">
      <c r="A3" s="74"/>
      <c r="B3" s="74"/>
      <c r="C3" s="74"/>
      <c r="D3" s="23" t="s">
        <v>451</v>
      </c>
      <c r="E3" s="23" t="s">
        <v>453</v>
      </c>
      <c r="F3" s="23" t="s">
        <v>452</v>
      </c>
    </row>
    <row r="4" spans="1:7" x14ac:dyDescent="0.2">
      <c r="A4" s="10">
        <v>2022</v>
      </c>
      <c r="B4" s="10">
        <v>418</v>
      </c>
      <c r="C4" s="10">
        <v>216</v>
      </c>
      <c r="D4" s="10">
        <v>74</v>
      </c>
      <c r="E4" s="10">
        <v>3</v>
      </c>
      <c r="F4" s="10">
        <v>6</v>
      </c>
    </row>
    <row r="5" spans="1:7" x14ac:dyDescent="0.2">
      <c r="A5" s="10">
        <v>2023</v>
      </c>
      <c r="B5" s="10">
        <v>421</v>
      </c>
      <c r="C5" s="10">
        <v>281</v>
      </c>
      <c r="D5" s="10">
        <v>193</v>
      </c>
      <c r="E5" s="10">
        <v>0</v>
      </c>
      <c r="F5" s="10">
        <v>5</v>
      </c>
    </row>
    <row r="6" spans="1:7" x14ac:dyDescent="0.2">
      <c r="A6" s="10">
        <v>2024</v>
      </c>
      <c r="B6" s="10">
        <v>395</v>
      </c>
      <c r="C6" s="10">
        <v>722</v>
      </c>
      <c r="D6" s="10">
        <v>73</v>
      </c>
      <c r="E6" s="10">
        <v>2</v>
      </c>
      <c r="F6" s="10">
        <v>2</v>
      </c>
    </row>
    <row r="7" spans="1:7" x14ac:dyDescent="0.2">
      <c r="A7" s="10">
        <v>2025</v>
      </c>
      <c r="B7" s="10">
        <v>140</v>
      </c>
      <c r="C7" s="10">
        <v>609</v>
      </c>
      <c r="D7" s="10">
        <v>16</v>
      </c>
      <c r="E7" s="10">
        <v>0</v>
      </c>
      <c r="F7" s="10">
        <v>0</v>
      </c>
    </row>
    <row r="8" spans="1:7" x14ac:dyDescent="0.2">
      <c r="A8" s="75"/>
      <c r="B8" s="75"/>
      <c r="C8" s="75"/>
      <c r="D8" s="75"/>
      <c r="E8" s="75"/>
      <c r="F8" s="75"/>
    </row>
    <row r="9" spans="1:7" x14ac:dyDescent="0.2">
      <c r="A9" s="78" t="s">
        <v>477</v>
      </c>
      <c r="B9" s="78"/>
      <c r="C9" s="78"/>
      <c r="D9" s="78"/>
      <c r="E9" s="78"/>
      <c r="F9" s="78"/>
    </row>
    <row r="10" spans="1:7" x14ac:dyDescent="0.2">
      <c r="A10" s="70" t="s">
        <v>685</v>
      </c>
      <c r="B10" s="70"/>
      <c r="C10" s="70"/>
      <c r="D10" s="70"/>
      <c r="E10" s="70"/>
      <c r="F10" s="70"/>
    </row>
  </sheetData>
  <mergeCells count="8">
    <mergeCell ref="A10:F10"/>
    <mergeCell ref="A8:F8"/>
    <mergeCell ref="A9:F9"/>
    <mergeCell ref="A1:F1"/>
    <mergeCell ref="D2:F2"/>
    <mergeCell ref="A2:A3"/>
    <mergeCell ref="B2:B3"/>
    <mergeCell ref="C2:C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7956-B58D-417B-A20D-C591F4087766}">
  <dimension ref="A1:D15"/>
  <sheetViews>
    <sheetView showGridLines="0" workbookViewId="0">
      <selection activeCell="D6" sqref="D6"/>
    </sheetView>
  </sheetViews>
  <sheetFormatPr baseColWidth="10" defaultColWidth="11.5" defaultRowHeight="15" x14ac:dyDescent="0.2"/>
  <cols>
    <col min="1" max="1" width="40.33203125" style="10" customWidth="1"/>
    <col min="2" max="2" width="24.5" style="10" customWidth="1"/>
    <col min="3" max="3" width="33.83203125" style="10" customWidth="1"/>
    <col min="4" max="16384" width="11.5" style="10"/>
  </cols>
  <sheetData>
    <row r="1" spans="1:4" customFormat="1" ht="16" x14ac:dyDescent="0.2">
      <c r="A1" s="81" t="s">
        <v>283</v>
      </c>
      <c r="B1" s="81"/>
      <c r="C1" s="81"/>
      <c r="D1" s="2"/>
    </row>
    <row r="2" spans="1:4" x14ac:dyDescent="0.2">
      <c r="A2" s="24" t="s">
        <v>284</v>
      </c>
      <c r="B2" s="24" t="s">
        <v>285</v>
      </c>
      <c r="C2" s="24" t="s">
        <v>12</v>
      </c>
    </row>
    <row r="3" spans="1:4" x14ac:dyDescent="0.2">
      <c r="A3" s="10" t="s">
        <v>286</v>
      </c>
      <c r="B3" s="10">
        <v>108</v>
      </c>
      <c r="C3" s="16">
        <v>245219440</v>
      </c>
    </row>
    <row r="4" spans="1:4" x14ac:dyDescent="0.2">
      <c r="A4" s="10" t="s">
        <v>287</v>
      </c>
      <c r="B4" s="10">
        <v>24</v>
      </c>
      <c r="C4" s="16">
        <v>352612609</v>
      </c>
    </row>
    <row r="5" spans="1:4" x14ac:dyDescent="0.2">
      <c r="A5" s="10" t="s">
        <v>288</v>
      </c>
      <c r="B5" s="10">
        <v>103</v>
      </c>
      <c r="C5" s="16">
        <v>4976843</v>
      </c>
    </row>
    <row r="6" spans="1:4" x14ac:dyDescent="0.2">
      <c r="A6" s="10" t="s">
        <v>289</v>
      </c>
      <c r="B6" s="10">
        <v>152</v>
      </c>
      <c r="C6" s="16">
        <v>359199138</v>
      </c>
    </row>
    <row r="7" spans="1:4" x14ac:dyDescent="0.2">
      <c r="A7" s="10" t="s">
        <v>290</v>
      </c>
      <c r="B7" s="10">
        <v>166</v>
      </c>
      <c r="C7" s="16">
        <v>2407869554</v>
      </c>
    </row>
    <row r="8" spans="1:4" x14ac:dyDescent="0.2">
      <c r="A8" s="10" t="s">
        <v>291</v>
      </c>
      <c r="B8" s="10">
        <v>181</v>
      </c>
      <c r="C8" s="16">
        <v>1324927468</v>
      </c>
    </row>
    <row r="9" spans="1:4" x14ac:dyDescent="0.2">
      <c r="A9" s="10" t="s">
        <v>292</v>
      </c>
      <c r="B9" s="10">
        <v>70</v>
      </c>
      <c r="C9" s="16">
        <v>2151600619</v>
      </c>
    </row>
    <row r="10" spans="1:4" x14ac:dyDescent="0.2">
      <c r="A10" s="10" t="s">
        <v>136</v>
      </c>
      <c r="B10" s="10">
        <v>21</v>
      </c>
      <c r="C10" s="16">
        <v>1812224483</v>
      </c>
    </row>
    <row r="11" spans="1:4" x14ac:dyDescent="0.2">
      <c r="A11" s="10" t="s">
        <v>293</v>
      </c>
      <c r="B11" s="10">
        <v>121</v>
      </c>
      <c r="C11" s="16">
        <v>603269666</v>
      </c>
    </row>
    <row r="12" spans="1:4" x14ac:dyDescent="0.2">
      <c r="A12" s="10" t="s">
        <v>294</v>
      </c>
      <c r="B12" s="10">
        <v>105</v>
      </c>
      <c r="C12" s="16">
        <v>813363803</v>
      </c>
    </row>
    <row r="13" spans="1:4" x14ac:dyDescent="0.2">
      <c r="A13" s="10" t="s">
        <v>131</v>
      </c>
      <c r="B13" s="10">
        <v>26</v>
      </c>
      <c r="C13" s="16">
        <v>94507882</v>
      </c>
    </row>
    <row r="14" spans="1:4" x14ac:dyDescent="0.2">
      <c r="A14" s="9"/>
      <c r="B14" s="9"/>
      <c r="C14" s="22"/>
    </row>
    <row r="15" spans="1:4" x14ac:dyDescent="0.2">
      <c r="A15" s="70" t="s">
        <v>685</v>
      </c>
      <c r="B15" s="70"/>
      <c r="C15" s="70"/>
      <c r="D15" s="6"/>
    </row>
  </sheetData>
  <mergeCells count="2">
    <mergeCell ref="A15:C15"/>
    <mergeCell ref="A1:C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4803B-21A2-4DD2-8149-3248589756AA}">
  <dimension ref="A1:G8"/>
  <sheetViews>
    <sheetView showGridLines="0" workbookViewId="0">
      <selection activeCell="A8" sqref="A8:F8"/>
    </sheetView>
  </sheetViews>
  <sheetFormatPr baseColWidth="10" defaultColWidth="11.5" defaultRowHeight="15" x14ac:dyDescent="0.2"/>
  <cols>
    <col min="1" max="1" width="15.83203125" style="10" customWidth="1"/>
    <col min="2" max="2" width="29.33203125" style="10" customWidth="1"/>
    <col min="3" max="3" width="19.83203125" style="10" customWidth="1"/>
    <col min="4" max="4" width="1.83203125" style="10" customWidth="1"/>
    <col min="5" max="5" width="36.5" style="10" customWidth="1"/>
    <col min="6" max="6" width="24.33203125" style="10" customWidth="1"/>
    <col min="7" max="16384" width="11.5" style="10"/>
  </cols>
  <sheetData>
    <row r="1" spans="1:7" customFormat="1" ht="16" x14ac:dyDescent="0.2">
      <c r="A1" s="72" t="s">
        <v>265</v>
      </c>
      <c r="B1" s="72"/>
      <c r="C1" s="72"/>
      <c r="D1" s="72"/>
      <c r="E1" s="72"/>
      <c r="F1" s="72"/>
      <c r="G1" s="2"/>
    </row>
    <row r="2" spans="1:7" x14ac:dyDescent="0.2">
      <c r="A2" s="73" t="s">
        <v>266</v>
      </c>
      <c r="B2" s="71" t="s">
        <v>271</v>
      </c>
      <c r="C2" s="71"/>
      <c r="D2" s="46"/>
      <c r="E2" s="71" t="s">
        <v>273</v>
      </c>
      <c r="F2" s="71"/>
    </row>
    <row r="3" spans="1:7" ht="32" x14ac:dyDescent="0.2">
      <c r="A3" s="74"/>
      <c r="B3" s="27" t="s">
        <v>272</v>
      </c>
      <c r="C3" s="37" t="s">
        <v>267</v>
      </c>
      <c r="D3" s="48"/>
      <c r="E3" s="27" t="s">
        <v>272</v>
      </c>
      <c r="F3" s="37" t="s">
        <v>274</v>
      </c>
    </row>
    <row r="4" spans="1:7" x14ac:dyDescent="0.2">
      <c r="A4" s="10" t="s">
        <v>268</v>
      </c>
      <c r="B4" s="10">
        <v>83</v>
      </c>
      <c r="C4" s="16">
        <v>725136328</v>
      </c>
      <c r="D4" s="16"/>
      <c r="E4" s="10">
        <v>98</v>
      </c>
      <c r="F4" s="16">
        <v>374307080</v>
      </c>
    </row>
    <row r="5" spans="1:7" x14ac:dyDescent="0.2">
      <c r="A5" s="10" t="s">
        <v>269</v>
      </c>
      <c r="B5" s="10">
        <v>84</v>
      </c>
      <c r="C5" s="16">
        <v>659871429</v>
      </c>
      <c r="D5" s="16"/>
      <c r="E5" s="10">
        <v>24</v>
      </c>
      <c r="F5" s="16">
        <v>30859363</v>
      </c>
    </row>
    <row r="6" spans="1:7" x14ac:dyDescent="0.2">
      <c r="A6" s="10" t="s">
        <v>270</v>
      </c>
      <c r="B6" s="10">
        <v>45</v>
      </c>
      <c r="C6" s="16">
        <v>225244873</v>
      </c>
      <c r="D6" s="16"/>
      <c r="E6" s="10">
        <v>17</v>
      </c>
      <c r="F6" s="16">
        <v>26086280</v>
      </c>
    </row>
    <row r="7" spans="1:7" x14ac:dyDescent="0.2">
      <c r="A7" s="9"/>
      <c r="B7" s="9"/>
      <c r="C7" s="22"/>
      <c r="D7" s="22"/>
      <c r="E7" s="9"/>
      <c r="F7" s="22"/>
    </row>
    <row r="8" spans="1:7" x14ac:dyDescent="0.2">
      <c r="A8" s="70" t="s">
        <v>685</v>
      </c>
      <c r="B8" s="70"/>
      <c r="C8" s="70"/>
      <c r="D8" s="70"/>
      <c r="E8" s="70"/>
      <c r="F8" s="70"/>
      <c r="G8" s="6"/>
    </row>
  </sheetData>
  <mergeCells count="5">
    <mergeCell ref="B2:C2"/>
    <mergeCell ref="E2:F2"/>
    <mergeCell ref="A2:A3"/>
    <mergeCell ref="A1:F1"/>
    <mergeCell ref="A8:F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59972-F644-0643-99F8-27563C8801D7}">
  <sheetPr>
    <tabColor rgb="FF00B0F0"/>
  </sheetPr>
  <dimension ref="A1:D50"/>
  <sheetViews>
    <sheetView workbookViewId="0">
      <selection activeCell="A2" sqref="A2:D2"/>
    </sheetView>
  </sheetViews>
  <sheetFormatPr baseColWidth="10" defaultColWidth="8.83203125" defaultRowHeight="15" x14ac:dyDescent="0.2"/>
  <cols>
    <col min="1" max="1" width="146.1640625" style="8" bestFit="1" customWidth="1"/>
    <col min="2" max="2" width="10.5" style="8" bestFit="1" customWidth="1"/>
    <col min="3" max="3" width="9.33203125" style="8" bestFit="1" customWidth="1"/>
    <col min="4" max="4" width="7" style="8" bestFit="1" customWidth="1"/>
    <col min="5" max="16384" width="8.83203125" style="8"/>
  </cols>
  <sheetData>
    <row r="1" spans="1:4" ht="16" x14ac:dyDescent="0.2">
      <c r="A1" s="101" t="s">
        <v>720</v>
      </c>
      <c r="B1" s="101"/>
      <c r="C1" s="101"/>
      <c r="D1" s="101"/>
    </row>
    <row r="2" spans="1:4" x14ac:dyDescent="0.2">
      <c r="A2" s="100" t="s">
        <v>719</v>
      </c>
      <c r="B2" s="100" t="s">
        <v>718</v>
      </c>
      <c r="C2" s="100" t="s">
        <v>717</v>
      </c>
      <c r="D2" s="100" t="s">
        <v>8</v>
      </c>
    </row>
    <row r="3" spans="1:4" x14ac:dyDescent="0.2">
      <c r="A3" s="44" t="s">
        <v>113</v>
      </c>
      <c r="B3" s="44">
        <v>1</v>
      </c>
      <c r="C3" s="44">
        <v>2</v>
      </c>
      <c r="D3" s="44">
        <v>3</v>
      </c>
    </row>
    <row r="4" spans="1:4" x14ac:dyDescent="0.2">
      <c r="A4" s="44" t="s">
        <v>716</v>
      </c>
      <c r="B4" s="44">
        <v>0</v>
      </c>
      <c r="C4" s="44">
        <v>10</v>
      </c>
      <c r="D4" s="44">
        <v>10</v>
      </c>
    </row>
    <row r="5" spans="1:4" x14ac:dyDescent="0.2">
      <c r="A5" s="44" t="s">
        <v>715</v>
      </c>
      <c r="B5" s="44">
        <v>2</v>
      </c>
      <c r="C5" s="44">
        <v>0</v>
      </c>
      <c r="D5" s="44">
        <v>2</v>
      </c>
    </row>
    <row r="6" spans="1:4" x14ac:dyDescent="0.2">
      <c r="A6" s="44" t="s">
        <v>714</v>
      </c>
      <c r="B6" s="44">
        <v>3</v>
      </c>
      <c r="C6" s="44">
        <v>0</v>
      </c>
      <c r="D6" s="44">
        <v>3</v>
      </c>
    </row>
    <row r="7" spans="1:4" x14ac:dyDescent="0.2">
      <c r="A7" s="44" t="s">
        <v>78</v>
      </c>
      <c r="B7" s="44">
        <v>9</v>
      </c>
      <c r="C7" s="44">
        <v>10</v>
      </c>
      <c r="D7" s="44">
        <v>19</v>
      </c>
    </row>
    <row r="8" spans="1:4" x14ac:dyDescent="0.2">
      <c r="A8" s="44" t="s">
        <v>76</v>
      </c>
      <c r="B8" s="44">
        <v>0</v>
      </c>
      <c r="C8" s="44">
        <v>9</v>
      </c>
      <c r="D8" s="44">
        <v>9</v>
      </c>
    </row>
    <row r="9" spans="1:4" x14ac:dyDescent="0.2">
      <c r="A9" s="44" t="s">
        <v>713</v>
      </c>
      <c r="B9" s="44">
        <v>4</v>
      </c>
      <c r="C9" s="44">
        <v>0</v>
      </c>
      <c r="D9" s="44">
        <v>4</v>
      </c>
    </row>
    <row r="10" spans="1:4" x14ac:dyDescent="0.2">
      <c r="A10" s="44" t="s">
        <v>712</v>
      </c>
      <c r="B10" s="44">
        <v>0</v>
      </c>
      <c r="C10" s="44">
        <v>1</v>
      </c>
      <c r="D10" s="44">
        <v>1</v>
      </c>
    </row>
    <row r="11" spans="1:4" x14ac:dyDescent="0.2">
      <c r="A11" s="44" t="s">
        <v>711</v>
      </c>
      <c r="B11" s="44">
        <v>1</v>
      </c>
      <c r="C11" s="44">
        <v>0</v>
      </c>
      <c r="D11" s="44">
        <v>1</v>
      </c>
    </row>
    <row r="12" spans="1:4" x14ac:dyDescent="0.2">
      <c r="A12" s="44" t="s">
        <v>710</v>
      </c>
      <c r="B12" s="44">
        <v>0</v>
      </c>
      <c r="C12" s="44">
        <v>28</v>
      </c>
      <c r="D12" s="44">
        <v>28</v>
      </c>
    </row>
    <row r="13" spans="1:4" x14ac:dyDescent="0.2">
      <c r="A13" s="44" t="s">
        <v>709</v>
      </c>
      <c r="B13" s="44">
        <v>0</v>
      </c>
      <c r="C13" s="44">
        <v>2</v>
      </c>
      <c r="D13" s="44">
        <v>2</v>
      </c>
    </row>
    <row r="14" spans="1:4" x14ac:dyDescent="0.2">
      <c r="A14" s="44" t="s">
        <v>708</v>
      </c>
      <c r="B14" s="44">
        <v>1</v>
      </c>
      <c r="C14" s="44">
        <v>0</v>
      </c>
      <c r="D14" s="44">
        <v>1</v>
      </c>
    </row>
    <row r="15" spans="1:4" x14ac:dyDescent="0.2">
      <c r="A15" s="44" t="s">
        <v>707</v>
      </c>
      <c r="B15" s="44">
        <v>0</v>
      </c>
      <c r="C15" s="44">
        <v>6</v>
      </c>
      <c r="D15" s="44">
        <v>6</v>
      </c>
    </row>
    <row r="16" spans="1:4" x14ac:dyDescent="0.2">
      <c r="A16" s="44" t="s">
        <v>101</v>
      </c>
      <c r="B16" s="44">
        <v>3</v>
      </c>
      <c r="C16" s="44">
        <v>0</v>
      </c>
      <c r="D16" s="44">
        <v>3</v>
      </c>
    </row>
    <row r="17" spans="1:4" x14ac:dyDescent="0.2">
      <c r="A17" s="44" t="s">
        <v>111</v>
      </c>
      <c r="B17" s="44">
        <v>8</v>
      </c>
      <c r="C17" s="44">
        <v>2</v>
      </c>
      <c r="D17" s="44">
        <v>10</v>
      </c>
    </row>
    <row r="18" spans="1:4" x14ac:dyDescent="0.2">
      <c r="A18" s="44" t="s">
        <v>75</v>
      </c>
      <c r="B18" s="44">
        <v>1</v>
      </c>
      <c r="C18" s="44">
        <v>0</v>
      </c>
      <c r="D18" s="44">
        <v>1</v>
      </c>
    </row>
    <row r="19" spans="1:4" x14ac:dyDescent="0.2">
      <c r="A19" s="44" t="s">
        <v>116</v>
      </c>
      <c r="B19" s="44">
        <v>48</v>
      </c>
      <c r="C19" s="44">
        <v>2</v>
      </c>
      <c r="D19" s="44">
        <v>50</v>
      </c>
    </row>
    <row r="20" spans="1:4" x14ac:dyDescent="0.2">
      <c r="A20" s="44" t="s">
        <v>109</v>
      </c>
      <c r="B20" s="44">
        <v>13</v>
      </c>
      <c r="C20" s="44">
        <v>2</v>
      </c>
      <c r="D20" s="44">
        <v>15</v>
      </c>
    </row>
    <row r="21" spans="1:4" x14ac:dyDescent="0.2">
      <c r="A21" s="44" t="s">
        <v>93</v>
      </c>
      <c r="B21" s="44">
        <v>0</v>
      </c>
      <c r="C21" s="44">
        <v>2</v>
      </c>
      <c r="D21" s="44">
        <v>2</v>
      </c>
    </row>
    <row r="22" spans="1:4" x14ac:dyDescent="0.2">
      <c r="A22" s="44" t="s">
        <v>99</v>
      </c>
      <c r="B22" s="44">
        <v>0</v>
      </c>
      <c r="C22" s="44">
        <v>2</v>
      </c>
      <c r="D22" s="44">
        <v>2</v>
      </c>
    </row>
    <row r="23" spans="1:4" x14ac:dyDescent="0.2">
      <c r="A23" s="44" t="s">
        <v>98</v>
      </c>
      <c r="B23" s="44">
        <v>3</v>
      </c>
      <c r="C23" s="44">
        <v>0</v>
      </c>
      <c r="D23" s="44">
        <v>3</v>
      </c>
    </row>
    <row r="24" spans="1:4" x14ac:dyDescent="0.2">
      <c r="A24" s="44" t="s">
        <v>115</v>
      </c>
      <c r="B24" s="44">
        <v>17</v>
      </c>
      <c r="C24" s="44">
        <v>10</v>
      </c>
      <c r="D24" s="44">
        <v>27</v>
      </c>
    </row>
    <row r="25" spans="1:4" x14ac:dyDescent="0.2">
      <c r="A25" s="44" t="s">
        <v>110</v>
      </c>
      <c r="B25" s="44">
        <v>0</v>
      </c>
      <c r="C25" s="44">
        <v>7</v>
      </c>
      <c r="D25" s="44">
        <v>7</v>
      </c>
    </row>
    <row r="26" spans="1:4" x14ac:dyDescent="0.2">
      <c r="A26" s="44" t="s">
        <v>706</v>
      </c>
      <c r="B26" s="44">
        <v>0</v>
      </c>
      <c r="C26" s="44">
        <v>2</v>
      </c>
      <c r="D26" s="44">
        <v>2</v>
      </c>
    </row>
    <row r="27" spans="1:4" x14ac:dyDescent="0.2">
      <c r="A27" s="44" t="s">
        <v>705</v>
      </c>
      <c r="B27" s="44">
        <v>3</v>
      </c>
      <c r="C27" s="44">
        <v>1</v>
      </c>
      <c r="D27" s="44">
        <v>4</v>
      </c>
    </row>
    <row r="28" spans="1:4" x14ac:dyDescent="0.2">
      <c r="A28" s="44" t="s">
        <v>81</v>
      </c>
      <c r="B28" s="44">
        <v>4</v>
      </c>
      <c r="C28" s="44">
        <v>13</v>
      </c>
      <c r="D28" s="44">
        <v>17</v>
      </c>
    </row>
    <row r="29" spans="1:4" x14ac:dyDescent="0.2">
      <c r="A29" s="44" t="s">
        <v>94</v>
      </c>
      <c r="B29" s="44">
        <v>1</v>
      </c>
      <c r="C29" s="44">
        <v>0</v>
      </c>
      <c r="D29" s="44">
        <v>1</v>
      </c>
    </row>
    <row r="30" spans="1:4" x14ac:dyDescent="0.2">
      <c r="A30" s="44" t="s">
        <v>105</v>
      </c>
      <c r="B30" s="44">
        <v>4</v>
      </c>
      <c r="C30" s="44">
        <v>3</v>
      </c>
      <c r="D30" s="44">
        <v>7</v>
      </c>
    </row>
    <row r="31" spans="1:4" x14ac:dyDescent="0.2">
      <c r="A31" s="44" t="s">
        <v>704</v>
      </c>
      <c r="B31" s="44">
        <v>0</v>
      </c>
      <c r="C31" s="44">
        <v>8</v>
      </c>
      <c r="D31" s="44">
        <v>8</v>
      </c>
    </row>
    <row r="32" spans="1:4" x14ac:dyDescent="0.2">
      <c r="A32" s="44" t="s">
        <v>703</v>
      </c>
      <c r="B32" s="44">
        <v>20</v>
      </c>
      <c r="C32" s="44">
        <v>0</v>
      </c>
      <c r="D32" s="44">
        <v>20</v>
      </c>
    </row>
    <row r="33" spans="1:4" x14ac:dyDescent="0.2">
      <c r="A33" s="44" t="s">
        <v>702</v>
      </c>
      <c r="B33" s="44">
        <v>28</v>
      </c>
      <c r="C33" s="44">
        <v>5</v>
      </c>
      <c r="D33" s="44">
        <v>33</v>
      </c>
    </row>
    <row r="34" spans="1:4" x14ac:dyDescent="0.2">
      <c r="A34" s="44" t="s">
        <v>701</v>
      </c>
      <c r="B34" s="44">
        <v>27</v>
      </c>
      <c r="C34" s="44">
        <v>1</v>
      </c>
      <c r="D34" s="44">
        <v>28</v>
      </c>
    </row>
    <row r="35" spans="1:4" x14ac:dyDescent="0.2">
      <c r="A35" s="44" t="s">
        <v>700</v>
      </c>
      <c r="B35" s="44">
        <v>16</v>
      </c>
      <c r="C35" s="44">
        <v>11</v>
      </c>
      <c r="D35" s="44">
        <v>27</v>
      </c>
    </row>
    <row r="36" spans="1:4" x14ac:dyDescent="0.2">
      <c r="A36" s="44" t="s">
        <v>699</v>
      </c>
      <c r="B36" s="44">
        <v>3</v>
      </c>
      <c r="C36" s="44">
        <v>39</v>
      </c>
      <c r="D36" s="44">
        <v>42</v>
      </c>
    </row>
    <row r="37" spans="1:4" x14ac:dyDescent="0.2">
      <c r="A37" s="44" t="s">
        <v>698</v>
      </c>
      <c r="B37" s="44">
        <v>2</v>
      </c>
      <c r="C37" s="44">
        <v>0</v>
      </c>
      <c r="D37" s="44">
        <v>2</v>
      </c>
    </row>
    <row r="38" spans="1:4" x14ac:dyDescent="0.2">
      <c r="A38" s="44" t="s">
        <v>697</v>
      </c>
      <c r="B38" s="44">
        <v>3</v>
      </c>
      <c r="C38" s="44">
        <v>2</v>
      </c>
      <c r="D38" s="44">
        <v>5</v>
      </c>
    </row>
    <row r="39" spans="1:4" x14ac:dyDescent="0.2">
      <c r="A39" s="44" t="s">
        <v>696</v>
      </c>
      <c r="B39" s="44">
        <v>0</v>
      </c>
      <c r="C39" s="44">
        <v>13</v>
      </c>
      <c r="D39" s="44">
        <v>13</v>
      </c>
    </row>
    <row r="40" spans="1:4" x14ac:dyDescent="0.2">
      <c r="A40" s="44" t="s">
        <v>695</v>
      </c>
      <c r="B40" s="44">
        <v>8</v>
      </c>
      <c r="C40" s="44">
        <v>6</v>
      </c>
      <c r="D40" s="44">
        <v>14</v>
      </c>
    </row>
    <row r="41" spans="1:4" x14ac:dyDescent="0.2">
      <c r="A41" s="44" t="s">
        <v>694</v>
      </c>
      <c r="B41" s="44">
        <v>0</v>
      </c>
      <c r="C41" s="44">
        <v>7</v>
      </c>
      <c r="D41" s="44">
        <v>7</v>
      </c>
    </row>
    <row r="42" spans="1:4" x14ac:dyDescent="0.2">
      <c r="A42" s="44" t="s">
        <v>693</v>
      </c>
      <c r="B42" s="44">
        <v>0</v>
      </c>
      <c r="C42" s="44">
        <v>1</v>
      </c>
      <c r="D42" s="44">
        <v>1</v>
      </c>
    </row>
    <row r="43" spans="1:4" x14ac:dyDescent="0.2">
      <c r="A43" s="44" t="s">
        <v>692</v>
      </c>
      <c r="B43" s="44">
        <v>15</v>
      </c>
      <c r="C43" s="44">
        <v>2</v>
      </c>
      <c r="D43" s="44">
        <v>17</v>
      </c>
    </row>
    <row r="44" spans="1:4" x14ac:dyDescent="0.2">
      <c r="A44" s="44" t="s">
        <v>691</v>
      </c>
      <c r="B44" s="44">
        <v>2</v>
      </c>
      <c r="C44" s="44">
        <v>45</v>
      </c>
      <c r="D44" s="44">
        <v>47</v>
      </c>
    </row>
    <row r="45" spans="1:4" x14ac:dyDescent="0.2">
      <c r="A45" s="44" t="s">
        <v>690</v>
      </c>
      <c r="B45" s="44">
        <v>10</v>
      </c>
      <c r="C45" s="44">
        <v>0</v>
      </c>
      <c r="D45" s="44">
        <v>10</v>
      </c>
    </row>
    <row r="46" spans="1:4" x14ac:dyDescent="0.2">
      <c r="A46" s="44" t="s">
        <v>96</v>
      </c>
      <c r="B46" s="44">
        <v>14</v>
      </c>
      <c r="C46" s="44">
        <v>4</v>
      </c>
      <c r="D46" s="44">
        <v>18</v>
      </c>
    </row>
    <row r="47" spans="1:4" x14ac:dyDescent="0.2">
      <c r="A47" s="5" t="s">
        <v>8</v>
      </c>
      <c r="B47" s="5">
        <v>274</v>
      </c>
      <c r="C47" s="5">
        <v>258</v>
      </c>
      <c r="D47" s="5">
        <v>532</v>
      </c>
    </row>
    <row r="48" spans="1:4" x14ac:dyDescent="0.2">
      <c r="A48" s="8" t="s">
        <v>689</v>
      </c>
    </row>
    <row r="49" spans="1:4" x14ac:dyDescent="0.2">
      <c r="A49" s="99" t="s">
        <v>688</v>
      </c>
      <c r="B49" s="99"/>
      <c r="C49" s="99"/>
      <c r="D49" s="99"/>
    </row>
    <row r="50" spans="1:4" x14ac:dyDescent="0.2">
      <c r="A50" s="99"/>
      <c r="B50" s="99"/>
      <c r="C50" s="99"/>
      <c r="D50" s="99"/>
    </row>
  </sheetData>
  <mergeCells count="3">
    <mergeCell ref="A50:D50"/>
    <mergeCell ref="A1:D1"/>
    <mergeCell ref="A49:D49"/>
  </mergeCell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2810-2EB8-8B4E-BC44-E7D2114A7128}">
  <sheetPr>
    <tabColor rgb="FF00B0F0"/>
  </sheetPr>
  <dimension ref="A1:J40"/>
  <sheetViews>
    <sheetView workbookViewId="0">
      <selection activeCell="B18" sqref="B18"/>
    </sheetView>
  </sheetViews>
  <sheetFormatPr baseColWidth="10" defaultColWidth="8.83203125" defaultRowHeight="15" x14ac:dyDescent="0.2"/>
  <cols>
    <col min="1" max="1" width="87.1640625" style="8" bestFit="1" customWidth="1"/>
    <col min="2" max="2" width="18.6640625" style="8" bestFit="1" customWidth="1"/>
    <col min="3" max="3" width="20" style="8" bestFit="1" customWidth="1"/>
    <col min="4" max="4" width="1.83203125" style="8" customWidth="1"/>
    <col min="5" max="5" width="18.6640625" style="8" bestFit="1" customWidth="1"/>
    <col min="6" max="6" width="20" style="8" bestFit="1" customWidth="1"/>
    <col min="7" max="7" width="2.83203125" style="8" customWidth="1"/>
    <col min="8" max="8" width="18.6640625" style="8" bestFit="1" customWidth="1"/>
    <col min="9" max="9" width="20" style="8" bestFit="1" customWidth="1"/>
    <col min="10" max="10" width="18.6640625" style="8" bestFit="1" customWidth="1"/>
    <col min="11" max="16384" width="8.83203125" style="8"/>
  </cols>
  <sheetData>
    <row r="1" spans="1:10" ht="16" x14ac:dyDescent="0.2">
      <c r="A1" s="101" t="s">
        <v>750</v>
      </c>
      <c r="B1" s="101"/>
      <c r="C1" s="101"/>
      <c r="D1" s="101"/>
      <c r="E1" s="101"/>
      <c r="F1" s="101"/>
      <c r="G1" s="101"/>
      <c r="H1" s="101"/>
      <c r="I1" s="101"/>
      <c r="J1" s="101"/>
    </row>
    <row r="2" spans="1:10" ht="16" x14ac:dyDescent="0.2">
      <c r="A2" s="112" t="s">
        <v>749</v>
      </c>
      <c r="B2" s="110">
        <v>2023</v>
      </c>
      <c r="C2" s="110"/>
      <c r="D2" s="111"/>
      <c r="E2" s="110">
        <v>2024</v>
      </c>
      <c r="F2" s="110"/>
      <c r="G2" s="111"/>
      <c r="H2" s="110">
        <v>2025</v>
      </c>
      <c r="I2" s="110"/>
      <c r="J2" s="109" t="s">
        <v>748</v>
      </c>
    </row>
    <row r="3" spans="1:10" x14ac:dyDescent="0.2">
      <c r="A3" s="108"/>
      <c r="B3" s="100" t="s">
        <v>746</v>
      </c>
      <c r="C3" s="100" t="s">
        <v>747</v>
      </c>
      <c r="D3" s="102"/>
      <c r="E3" s="100" t="s">
        <v>746</v>
      </c>
      <c r="F3" s="100" t="s">
        <v>745</v>
      </c>
      <c r="G3" s="100"/>
      <c r="H3" s="107" t="s">
        <v>746</v>
      </c>
      <c r="I3" s="107" t="s">
        <v>745</v>
      </c>
      <c r="J3" s="106"/>
    </row>
    <row r="4" spans="1:10" x14ac:dyDescent="0.2">
      <c r="A4" s="105" t="s">
        <v>744</v>
      </c>
      <c r="B4" s="102">
        <v>0</v>
      </c>
      <c r="C4" s="102">
        <v>0</v>
      </c>
      <c r="D4" s="102"/>
      <c r="E4" s="102">
        <v>0</v>
      </c>
      <c r="F4" s="102">
        <v>1</v>
      </c>
      <c r="G4" s="102"/>
      <c r="H4" s="102">
        <v>0</v>
      </c>
      <c r="I4" s="102">
        <v>0</v>
      </c>
      <c r="J4" s="102">
        <v>1</v>
      </c>
    </row>
    <row r="5" spans="1:10" x14ac:dyDescent="0.2">
      <c r="A5" s="104" t="s">
        <v>743</v>
      </c>
      <c r="B5" s="102">
        <v>1</v>
      </c>
      <c r="C5" s="102">
        <v>0</v>
      </c>
      <c r="D5" s="102"/>
      <c r="E5" s="102">
        <v>0</v>
      </c>
      <c r="F5" s="102">
        <v>0</v>
      </c>
      <c r="G5" s="102"/>
      <c r="H5" s="102">
        <v>1</v>
      </c>
      <c r="I5" s="102">
        <v>0</v>
      </c>
      <c r="J5" s="102">
        <v>2</v>
      </c>
    </row>
    <row r="6" spans="1:10" x14ac:dyDescent="0.2">
      <c r="A6" s="103" t="s">
        <v>742</v>
      </c>
      <c r="B6" s="102">
        <v>0</v>
      </c>
      <c r="C6" s="102">
        <v>0</v>
      </c>
      <c r="D6" s="102"/>
      <c r="E6" s="102">
        <v>0</v>
      </c>
      <c r="F6" s="102">
        <v>0</v>
      </c>
      <c r="G6" s="102"/>
      <c r="H6" s="102">
        <v>1</v>
      </c>
      <c r="I6" s="102">
        <v>0</v>
      </c>
      <c r="J6" s="102">
        <v>1</v>
      </c>
    </row>
    <row r="7" spans="1:10" x14ac:dyDescent="0.2">
      <c r="A7" s="103" t="s">
        <v>741</v>
      </c>
      <c r="B7" s="102">
        <v>1</v>
      </c>
      <c r="C7" s="102">
        <v>0</v>
      </c>
      <c r="D7" s="102"/>
      <c r="E7" s="102">
        <v>0</v>
      </c>
      <c r="F7" s="102">
        <v>0</v>
      </c>
      <c r="G7" s="102"/>
      <c r="H7" s="102">
        <v>0</v>
      </c>
      <c r="I7" s="102">
        <v>0</v>
      </c>
      <c r="J7" s="102">
        <v>1</v>
      </c>
    </row>
    <row r="8" spans="1:10" x14ac:dyDescent="0.2">
      <c r="A8" s="103" t="s">
        <v>78</v>
      </c>
      <c r="B8" s="102">
        <v>0</v>
      </c>
      <c r="C8" s="102">
        <v>0</v>
      </c>
      <c r="D8" s="102"/>
      <c r="E8" s="102">
        <v>1</v>
      </c>
      <c r="F8" s="102">
        <v>0</v>
      </c>
      <c r="G8" s="102"/>
      <c r="H8" s="102">
        <v>0</v>
      </c>
      <c r="I8" s="102">
        <v>0</v>
      </c>
      <c r="J8" s="102">
        <v>1</v>
      </c>
    </row>
    <row r="9" spans="1:10" x14ac:dyDescent="0.2">
      <c r="A9" s="103" t="s">
        <v>740</v>
      </c>
      <c r="B9" s="102">
        <v>1</v>
      </c>
      <c r="C9" s="102">
        <v>0</v>
      </c>
      <c r="D9" s="102"/>
      <c r="E9" s="102">
        <v>0</v>
      </c>
      <c r="F9" s="102">
        <v>0</v>
      </c>
      <c r="G9" s="102"/>
      <c r="H9" s="102">
        <v>1</v>
      </c>
      <c r="I9" s="102">
        <v>0</v>
      </c>
      <c r="J9" s="102">
        <v>2</v>
      </c>
    </row>
    <row r="10" spans="1:10" x14ac:dyDescent="0.2">
      <c r="A10" s="103" t="s">
        <v>739</v>
      </c>
      <c r="B10" s="102">
        <v>5</v>
      </c>
      <c r="C10" s="102">
        <v>1</v>
      </c>
      <c r="D10" s="102"/>
      <c r="E10" s="102">
        <v>11</v>
      </c>
      <c r="F10" s="102">
        <v>2</v>
      </c>
      <c r="G10" s="102"/>
      <c r="H10" s="102">
        <v>10</v>
      </c>
      <c r="I10" s="102">
        <v>0</v>
      </c>
      <c r="J10" s="102">
        <v>29</v>
      </c>
    </row>
    <row r="11" spans="1:10" x14ac:dyDescent="0.2">
      <c r="A11" s="103" t="s">
        <v>708</v>
      </c>
      <c r="B11" s="102">
        <v>0</v>
      </c>
      <c r="C11" s="102">
        <v>0</v>
      </c>
      <c r="D11" s="102"/>
      <c r="E11" s="102">
        <v>0</v>
      </c>
      <c r="F11" s="102">
        <v>0</v>
      </c>
      <c r="G11" s="102"/>
      <c r="H11" s="102">
        <v>1</v>
      </c>
      <c r="I11" s="102">
        <v>0</v>
      </c>
      <c r="J11" s="102">
        <v>1</v>
      </c>
    </row>
    <row r="12" spans="1:10" x14ac:dyDescent="0.2">
      <c r="A12" s="103" t="s">
        <v>738</v>
      </c>
      <c r="B12" s="102">
        <v>0</v>
      </c>
      <c r="C12" s="102">
        <v>1</v>
      </c>
      <c r="D12" s="102"/>
      <c r="E12" s="102">
        <v>1</v>
      </c>
      <c r="F12" s="102">
        <v>1</v>
      </c>
      <c r="G12" s="102"/>
      <c r="H12" s="102">
        <v>0</v>
      </c>
      <c r="I12" s="102">
        <v>0</v>
      </c>
      <c r="J12" s="102">
        <v>3</v>
      </c>
    </row>
    <row r="13" spans="1:10" x14ac:dyDescent="0.2">
      <c r="A13" s="103" t="s">
        <v>737</v>
      </c>
      <c r="B13" s="102">
        <v>0</v>
      </c>
      <c r="C13" s="102">
        <v>0</v>
      </c>
      <c r="D13" s="102"/>
      <c r="E13" s="102">
        <v>1</v>
      </c>
      <c r="F13" s="102">
        <v>0</v>
      </c>
      <c r="G13" s="102"/>
      <c r="H13" s="102">
        <v>0</v>
      </c>
      <c r="I13" s="102">
        <v>0</v>
      </c>
      <c r="J13" s="102">
        <v>1</v>
      </c>
    </row>
    <row r="14" spans="1:10" x14ac:dyDescent="0.2">
      <c r="A14" s="103" t="s">
        <v>116</v>
      </c>
      <c r="B14" s="102">
        <v>1</v>
      </c>
      <c r="C14" s="102">
        <v>1</v>
      </c>
      <c r="D14" s="102"/>
      <c r="E14" s="102">
        <v>0</v>
      </c>
      <c r="F14" s="102">
        <v>1</v>
      </c>
      <c r="G14" s="102"/>
      <c r="H14" s="102">
        <v>0</v>
      </c>
      <c r="I14" s="102">
        <v>0</v>
      </c>
      <c r="J14" s="102">
        <v>3</v>
      </c>
    </row>
    <row r="15" spans="1:10" x14ac:dyDescent="0.2">
      <c r="A15" s="103" t="s">
        <v>736</v>
      </c>
      <c r="B15" s="102">
        <v>0</v>
      </c>
      <c r="C15" s="102">
        <v>0</v>
      </c>
      <c r="D15" s="102"/>
      <c r="E15" s="102">
        <v>0</v>
      </c>
      <c r="F15" s="102">
        <v>1</v>
      </c>
      <c r="G15" s="102"/>
      <c r="H15" s="102">
        <v>0</v>
      </c>
      <c r="I15" s="102">
        <v>0</v>
      </c>
      <c r="J15" s="102">
        <v>1</v>
      </c>
    </row>
    <row r="16" spans="1:10" x14ac:dyDescent="0.2">
      <c r="A16" s="103" t="s">
        <v>735</v>
      </c>
      <c r="B16" s="102">
        <v>2</v>
      </c>
      <c r="C16" s="102">
        <v>0</v>
      </c>
      <c r="D16" s="102"/>
      <c r="E16" s="102">
        <v>3</v>
      </c>
      <c r="F16" s="102">
        <v>0</v>
      </c>
      <c r="G16" s="102"/>
      <c r="H16" s="102">
        <v>0</v>
      </c>
      <c r="I16" s="102">
        <v>0</v>
      </c>
      <c r="J16" s="102">
        <v>5</v>
      </c>
    </row>
    <row r="17" spans="1:10" x14ac:dyDescent="0.2">
      <c r="A17" s="103" t="s">
        <v>115</v>
      </c>
      <c r="B17" s="102">
        <v>1</v>
      </c>
      <c r="C17" s="102">
        <v>2</v>
      </c>
      <c r="D17" s="102"/>
      <c r="E17" s="102">
        <v>0</v>
      </c>
      <c r="F17" s="102">
        <v>2</v>
      </c>
      <c r="G17" s="102"/>
      <c r="H17" s="102">
        <v>0</v>
      </c>
      <c r="I17" s="102">
        <v>1</v>
      </c>
      <c r="J17" s="102">
        <v>6</v>
      </c>
    </row>
    <row r="18" spans="1:10" x14ac:dyDescent="0.2">
      <c r="A18" s="103" t="s">
        <v>734</v>
      </c>
      <c r="B18" s="102">
        <v>0</v>
      </c>
      <c r="C18" s="102">
        <v>0</v>
      </c>
      <c r="D18" s="102"/>
      <c r="E18" s="102">
        <v>1</v>
      </c>
      <c r="F18" s="102">
        <v>0</v>
      </c>
      <c r="G18" s="102"/>
      <c r="H18" s="102">
        <v>0</v>
      </c>
      <c r="I18" s="102">
        <v>0</v>
      </c>
      <c r="J18" s="102">
        <v>1</v>
      </c>
    </row>
    <row r="19" spans="1:10" x14ac:dyDescent="0.2">
      <c r="A19" s="103" t="s">
        <v>82</v>
      </c>
      <c r="B19" s="102">
        <v>0</v>
      </c>
      <c r="C19" s="102">
        <v>0</v>
      </c>
      <c r="D19" s="102"/>
      <c r="E19" s="102">
        <v>0</v>
      </c>
      <c r="F19" s="102">
        <v>0</v>
      </c>
      <c r="G19" s="102"/>
      <c r="H19" s="102">
        <v>1</v>
      </c>
      <c r="I19" s="102">
        <v>0</v>
      </c>
      <c r="J19" s="102">
        <v>1</v>
      </c>
    </row>
    <row r="20" spans="1:10" x14ac:dyDescent="0.2">
      <c r="A20" s="103" t="s">
        <v>733</v>
      </c>
      <c r="B20" s="102">
        <v>2</v>
      </c>
      <c r="C20" s="102">
        <v>0</v>
      </c>
      <c r="D20" s="102"/>
      <c r="E20" s="102">
        <v>1</v>
      </c>
      <c r="F20" s="102">
        <v>0</v>
      </c>
      <c r="G20" s="102"/>
      <c r="H20" s="102">
        <v>0</v>
      </c>
      <c r="I20" s="102">
        <v>0</v>
      </c>
      <c r="J20" s="102">
        <v>3</v>
      </c>
    </row>
    <row r="21" spans="1:10" x14ac:dyDescent="0.2">
      <c r="A21" s="103" t="s">
        <v>732</v>
      </c>
      <c r="B21" s="102">
        <v>0</v>
      </c>
      <c r="C21" s="102">
        <v>0</v>
      </c>
      <c r="D21" s="102"/>
      <c r="E21" s="102">
        <v>0</v>
      </c>
      <c r="F21" s="102">
        <v>0</v>
      </c>
      <c r="G21" s="102"/>
      <c r="H21" s="102">
        <v>1</v>
      </c>
      <c r="I21" s="102">
        <v>0</v>
      </c>
      <c r="J21" s="102">
        <v>1</v>
      </c>
    </row>
    <row r="22" spans="1:10" x14ac:dyDescent="0.2">
      <c r="A22" s="103" t="s">
        <v>731</v>
      </c>
      <c r="B22" s="102">
        <v>23</v>
      </c>
      <c r="C22" s="102">
        <v>1</v>
      </c>
      <c r="D22" s="102"/>
      <c r="E22" s="102">
        <v>16</v>
      </c>
      <c r="F22" s="102">
        <v>0</v>
      </c>
      <c r="G22" s="102"/>
      <c r="H22" s="102">
        <v>11</v>
      </c>
      <c r="I22" s="102">
        <v>0</v>
      </c>
      <c r="J22" s="102">
        <v>51</v>
      </c>
    </row>
    <row r="23" spans="1:10" x14ac:dyDescent="0.2">
      <c r="A23" s="103" t="s">
        <v>730</v>
      </c>
      <c r="B23" s="102">
        <v>1</v>
      </c>
      <c r="C23" s="102">
        <v>7</v>
      </c>
      <c r="D23" s="102"/>
      <c r="E23" s="102">
        <v>2</v>
      </c>
      <c r="F23" s="102">
        <v>8</v>
      </c>
      <c r="G23" s="102"/>
      <c r="H23" s="102">
        <v>1</v>
      </c>
      <c r="I23" s="102">
        <v>0</v>
      </c>
      <c r="J23" s="102">
        <v>19</v>
      </c>
    </row>
    <row r="24" spans="1:10" x14ac:dyDescent="0.2">
      <c r="A24" s="103" t="s">
        <v>729</v>
      </c>
      <c r="B24" s="102">
        <v>0</v>
      </c>
      <c r="C24" s="102">
        <v>28</v>
      </c>
      <c r="D24" s="102"/>
      <c r="E24" s="102">
        <v>3</v>
      </c>
      <c r="F24" s="102">
        <v>23</v>
      </c>
      <c r="G24" s="102"/>
      <c r="H24" s="102">
        <v>1</v>
      </c>
      <c r="I24" s="102">
        <v>2</v>
      </c>
      <c r="J24" s="102">
        <v>57</v>
      </c>
    </row>
    <row r="25" spans="1:10" x14ac:dyDescent="0.2">
      <c r="A25" s="103" t="s">
        <v>50</v>
      </c>
      <c r="B25" s="102">
        <v>0</v>
      </c>
      <c r="C25" s="102">
        <v>1</v>
      </c>
      <c r="D25" s="102"/>
      <c r="E25" s="102">
        <v>1</v>
      </c>
      <c r="F25" s="102">
        <v>1</v>
      </c>
      <c r="G25" s="102"/>
      <c r="H25" s="102">
        <v>0</v>
      </c>
      <c r="I25" s="102">
        <v>2</v>
      </c>
      <c r="J25" s="102">
        <v>5</v>
      </c>
    </row>
    <row r="26" spans="1:10" x14ac:dyDescent="0.2">
      <c r="A26" s="103" t="s">
        <v>728</v>
      </c>
      <c r="B26" s="102">
        <v>3</v>
      </c>
      <c r="C26" s="102">
        <v>0</v>
      </c>
      <c r="D26" s="102"/>
      <c r="E26" s="102">
        <v>0</v>
      </c>
      <c r="F26" s="102">
        <v>0</v>
      </c>
      <c r="G26" s="102"/>
      <c r="H26" s="102">
        <v>2</v>
      </c>
      <c r="I26" s="102">
        <v>0</v>
      </c>
      <c r="J26" s="102">
        <v>5</v>
      </c>
    </row>
    <row r="27" spans="1:10" x14ac:dyDescent="0.2">
      <c r="A27" s="103" t="s">
        <v>727</v>
      </c>
      <c r="B27" s="102">
        <v>3</v>
      </c>
      <c r="C27" s="102">
        <v>1</v>
      </c>
      <c r="D27" s="102"/>
      <c r="E27" s="102">
        <v>1</v>
      </c>
      <c r="F27" s="102">
        <v>0</v>
      </c>
      <c r="G27" s="102"/>
      <c r="H27" s="102">
        <v>0</v>
      </c>
      <c r="I27" s="102">
        <v>2</v>
      </c>
      <c r="J27" s="102">
        <v>7</v>
      </c>
    </row>
    <row r="28" spans="1:10" x14ac:dyDescent="0.2">
      <c r="A28" s="103" t="s">
        <v>726</v>
      </c>
      <c r="B28" s="102">
        <v>1</v>
      </c>
      <c r="C28" s="102">
        <v>0</v>
      </c>
      <c r="D28" s="102"/>
      <c r="E28" s="102">
        <v>2</v>
      </c>
      <c r="F28" s="102">
        <v>1</v>
      </c>
      <c r="G28" s="102"/>
      <c r="H28" s="102">
        <v>5</v>
      </c>
      <c r="I28" s="102">
        <v>0</v>
      </c>
      <c r="J28" s="102">
        <v>9</v>
      </c>
    </row>
    <row r="29" spans="1:10" x14ac:dyDescent="0.2">
      <c r="A29" s="103" t="s">
        <v>53</v>
      </c>
      <c r="B29" s="102">
        <v>0</v>
      </c>
      <c r="C29" s="102">
        <v>1</v>
      </c>
      <c r="D29" s="102"/>
      <c r="E29" s="102">
        <v>1</v>
      </c>
      <c r="F29" s="102">
        <v>1</v>
      </c>
      <c r="G29" s="102"/>
      <c r="H29" s="102">
        <v>0</v>
      </c>
      <c r="I29" s="102">
        <v>0</v>
      </c>
      <c r="J29" s="102">
        <v>3</v>
      </c>
    </row>
    <row r="30" spans="1:10" x14ac:dyDescent="0.2">
      <c r="A30" s="103" t="s">
        <v>58</v>
      </c>
      <c r="B30" s="102">
        <v>1</v>
      </c>
      <c r="C30" s="102">
        <v>0</v>
      </c>
      <c r="D30" s="102"/>
      <c r="E30" s="102">
        <v>0</v>
      </c>
      <c r="F30" s="102">
        <v>0</v>
      </c>
      <c r="G30" s="102"/>
      <c r="H30" s="102">
        <v>0</v>
      </c>
      <c r="I30" s="102">
        <v>0</v>
      </c>
      <c r="J30" s="102">
        <v>1</v>
      </c>
    </row>
    <row r="31" spans="1:10" x14ac:dyDescent="0.2">
      <c r="A31" s="103" t="s">
        <v>54</v>
      </c>
      <c r="B31" s="102">
        <v>3</v>
      </c>
      <c r="C31" s="102">
        <v>0</v>
      </c>
      <c r="D31" s="102"/>
      <c r="E31" s="102">
        <v>0</v>
      </c>
      <c r="F31" s="102">
        <v>0</v>
      </c>
      <c r="G31" s="102"/>
      <c r="H31" s="102">
        <v>5</v>
      </c>
      <c r="I31" s="102">
        <v>0</v>
      </c>
      <c r="J31" s="102">
        <v>8</v>
      </c>
    </row>
    <row r="32" spans="1:10" x14ac:dyDescent="0.2">
      <c r="A32" s="103" t="s">
        <v>725</v>
      </c>
      <c r="B32" s="102">
        <v>2</v>
      </c>
      <c r="C32" s="102">
        <v>0</v>
      </c>
      <c r="D32" s="102"/>
      <c r="E32" s="102">
        <v>5</v>
      </c>
      <c r="F32" s="102">
        <v>0</v>
      </c>
      <c r="G32" s="102"/>
      <c r="H32" s="102">
        <v>1</v>
      </c>
      <c r="I32" s="102">
        <v>0</v>
      </c>
      <c r="J32" s="102">
        <v>8</v>
      </c>
    </row>
    <row r="33" spans="1:10" x14ac:dyDescent="0.2">
      <c r="A33" s="103" t="s">
        <v>724</v>
      </c>
      <c r="B33" s="102">
        <v>2</v>
      </c>
      <c r="C33" s="102">
        <v>0</v>
      </c>
      <c r="D33" s="102"/>
      <c r="E33" s="102">
        <v>0</v>
      </c>
      <c r="F33" s="102">
        <v>1</v>
      </c>
      <c r="G33" s="102"/>
      <c r="H33" s="102">
        <v>2</v>
      </c>
      <c r="I33" s="102">
        <v>0</v>
      </c>
      <c r="J33" s="102">
        <v>5</v>
      </c>
    </row>
    <row r="34" spans="1:10" x14ac:dyDescent="0.2">
      <c r="A34" s="103" t="s">
        <v>56</v>
      </c>
      <c r="B34" s="102">
        <v>2</v>
      </c>
      <c r="C34" s="102">
        <v>1</v>
      </c>
      <c r="D34" s="102"/>
      <c r="E34" s="102">
        <v>2</v>
      </c>
      <c r="F34" s="102">
        <v>0</v>
      </c>
      <c r="G34" s="102"/>
      <c r="H34" s="102">
        <v>1</v>
      </c>
      <c r="I34" s="102">
        <v>0</v>
      </c>
      <c r="J34" s="102">
        <v>6</v>
      </c>
    </row>
    <row r="35" spans="1:10" x14ac:dyDescent="0.2">
      <c r="A35" s="103" t="s">
        <v>48</v>
      </c>
      <c r="B35" s="102">
        <v>4</v>
      </c>
      <c r="C35" s="102">
        <v>1</v>
      </c>
      <c r="D35" s="102"/>
      <c r="E35" s="102">
        <v>3</v>
      </c>
      <c r="F35" s="102">
        <v>4</v>
      </c>
      <c r="G35" s="102"/>
      <c r="H35" s="102">
        <v>1</v>
      </c>
      <c r="I35" s="102">
        <v>0</v>
      </c>
      <c r="J35" s="102">
        <v>13</v>
      </c>
    </row>
    <row r="36" spans="1:10" x14ac:dyDescent="0.2">
      <c r="A36" s="103" t="s">
        <v>723</v>
      </c>
      <c r="B36" s="102">
        <v>0</v>
      </c>
      <c r="C36" s="102">
        <v>0</v>
      </c>
      <c r="D36" s="102"/>
      <c r="E36" s="102">
        <v>0</v>
      </c>
      <c r="F36" s="102">
        <v>1</v>
      </c>
      <c r="G36" s="102"/>
      <c r="H36" s="102">
        <v>0</v>
      </c>
      <c r="I36" s="102">
        <v>1</v>
      </c>
      <c r="J36" s="102">
        <v>2</v>
      </c>
    </row>
    <row r="37" spans="1:10" x14ac:dyDescent="0.2">
      <c r="A37" s="103" t="s">
        <v>722</v>
      </c>
      <c r="B37" s="102">
        <v>0</v>
      </c>
      <c r="C37" s="102">
        <v>0</v>
      </c>
      <c r="D37" s="102"/>
      <c r="E37" s="102">
        <v>2</v>
      </c>
      <c r="F37" s="102">
        <v>0</v>
      </c>
      <c r="G37" s="102"/>
      <c r="H37" s="102">
        <v>2</v>
      </c>
      <c r="I37" s="102">
        <v>2</v>
      </c>
      <c r="J37" s="102">
        <v>6</v>
      </c>
    </row>
    <row r="38" spans="1:10" x14ac:dyDescent="0.2">
      <c r="A38" s="103" t="s">
        <v>721</v>
      </c>
      <c r="B38" s="102">
        <v>1</v>
      </c>
      <c r="C38" s="102">
        <v>0</v>
      </c>
      <c r="D38" s="102"/>
      <c r="E38" s="102">
        <v>0</v>
      </c>
      <c r="F38" s="102">
        <v>0</v>
      </c>
      <c r="G38" s="102"/>
      <c r="H38" s="102">
        <v>0</v>
      </c>
      <c r="I38" s="102">
        <v>0</v>
      </c>
      <c r="J38" s="102">
        <v>1</v>
      </c>
    </row>
    <row r="39" spans="1:10" x14ac:dyDescent="0.2">
      <c r="A39" s="3" t="s">
        <v>8</v>
      </c>
      <c r="B39" s="3">
        <v>60</v>
      </c>
      <c r="C39" s="3">
        <v>46</v>
      </c>
      <c r="D39" s="3"/>
      <c r="E39" s="3">
        <v>57</v>
      </c>
      <c r="F39" s="3">
        <v>48</v>
      </c>
      <c r="G39" s="3"/>
      <c r="H39" s="3">
        <v>48</v>
      </c>
      <c r="I39" s="3">
        <v>10</v>
      </c>
      <c r="J39" s="3">
        <v>269</v>
      </c>
    </row>
    <row r="40" spans="1:10" x14ac:dyDescent="0.2">
      <c r="A40" s="99" t="s">
        <v>688</v>
      </c>
      <c r="B40" s="99"/>
      <c r="C40" s="99"/>
      <c r="D40" s="99"/>
      <c r="E40" s="99"/>
      <c r="F40" s="99"/>
      <c r="G40" s="99"/>
      <c r="H40" s="99"/>
      <c r="I40" s="99"/>
      <c r="J40" s="99"/>
    </row>
  </sheetData>
  <mergeCells count="7">
    <mergeCell ref="A40:J40"/>
    <mergeCell ref="A1:J1"/>
    <mergeCell ref="B2:C2"/>
    <mergeCell ref="E2:F2"/>
    <mergeCell ref="H2:I2"/>
    <mergeCell ref="A2:A3"/>
    <mergeCell ref="J2:J3"/>
  </mergeCell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68C76-6321-41D6-8A6D-FE5A2E2FD029}">
  <dimension ref="A1:C9"/>
  <sheetViews>
    <sheetView showGridLines="0" workbookViewId="0">
      <selection activeCell="A16" sqref="A16"/>
    </sheetView>
  </sheetViews>
  <sheetFormatPr baseColWidth="10" defaultColWidth="11.5" defaultRowHeight="15" x14ac:dyDescent="0.2"/>
  <cols>
    <col min="1" max="1" width="86.83203125" style="10" customWidth="1"/>
    <col min="2" max="2" width="42.1640625" style="10" customWidth="1"/>
    <col min="3" max="16384" width="11.5" style="10"/>
  </cols>
  <sheetData>
    <row r="1" spans="1:3" customFormat="1" ht="16" x14ac:dyDescent="0.2">
      <c r="A1" s="72" t="s">
        <v>488</v>
      </c>
      <c r="B1" s="72"/>
      <c r="C1" s="2"/>
    </row>
    <row r="2" spans="1:3" x14ac:dyDescent="0.2">
      <c r="A2" s="24" t="s">
        <v>340</v>
      </c>
      <c r="B2" s="24" t="s">
        <v>489</v>
      </c>
    </row>
    <row r="3" spans="1:3" x14ac:dyDescent="0.2">
      <c r="A3" s="56">
        <v>2021</v>
      </c>
      <c r="B3" s="31">
        <v>3073.81</v>
      </c>
    </row>
    <row r="4" spans="1:3" x14ac:dyDescent="0.2">
      <c r="A4" s="56">
        <v>2022</v>
      </c>
      <c r="B4" s="31">
        <v>8195.41</v>
      </c>
    </row>
    <row r="5" spans="1:3" x14ac:dyDescent="0.2">
      <c r="A5" s="56">
        <v>2023</v>
      </c>
      <c r="B5" s="31">
        <v>18368.740000000002</v>
      </c>
    </row>
    <row r="6" spans="1:3" x14ac:dyDescent="0.2">
      <c r="A6" s="56">
        <v>2024</v>
      </c>
      <c r="B6" s="31">
        <v>34513.949999999997</v>
      </c>
    </row>
    <row r="7" spans="1:3" x14ac:dyDescent="0.2">
      <c r="A7" s="56">
        <v>2025</v>
      </c>
      <c r="B7" s="31">
        <v>3701.92</v>
      </c>
    </row>
    <row r="8" spans="1:3" x14ac:dyDescent="0.2">
      <c r="A8" s="9"/>
      <c r="B8" s="32"/>
    </row>
    <row r="9" spans="1:3" ht="14.5" customHeight="1" x14ac:dyDescent="0.2">
      <c r="A9" s="83" t="s">
        <v>490</v>
      </c>
      <c r="B9" s="83"/>
      <c r="C9" s="6"/>
    </row>
  </sheetData>
  <mergeCells count="2">
    <mergeCell ref="A1:B1"/>
    <mergeCell ref="A9:B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58401-C62D-4D4C-B392-FE778C912490}">
  <dimension ref="A1:D19"/>
  <sheetViews>
    <sheetView showGridLines="0" workbookViewId="0">
      <selection activeCell="A18" sqref="A18:C18"/>
    </sheetView>
  </sheetViews>
  <sheetFormatPr baseColWidth="10" defaultColWidth="11.5" defaultRowHeight="15" x14ac:dyDescent="0.2"/>
  <cols>
    <col min="1" max="1" width="87.83203125" style="10" customWidth="1"/>
    <col min="2" max="2" width="15.6640625" style="10" customWidth="1"/>
    <col min="3" max="3" width="28.1640625" style="10" customWidth="1"/>
    <col min="4" max="16384" width="11.5" style="10"/>
  </cols>
  <sheetData>
    <row r="1" spans="1:4" customFormat="1" ht="16" x14ac:dyDescent="0.2">
      <c r="A1" s="72" t="s">
        <v>491</v>
      </c>
      <c r="B1" s="72"/>
      <c r="C1" s="72"/>
      <c r="D1" s="2"/>
    </row>
    <row r="2" spans="1:4" x14ac:dyDescent="0.2">
      <c r="A2" s="24" t="s">
        <v>467</v>
      </c>
      <c r="B2" s="24" t="s">
        <v>492</v>
      </c>
      <c r="C2" s="24" t="s">
        <v>493</v>
      </c>
    </row>
    <row r="3" spans="1:4" x14ac:dyDescent="0.2">
      <c r="A3" s="10" t="s">
        <v>494</v>
      </c>
      <c r="B3" s="10">
        <v>40</v>
      </c>
      <c r="C3" s="10">
        <v>13</v>
      </c>
    </row>
    <row r="4" spans="1:4" x14ac:dyDescent="0.2">
      <c r="A4" s="10" t="s">
        <v>495</v>
      </c>
      <c r="B4" s="10">
        <v>17</v>
      </c>
      <c r="C4" s="10">
        <v>13</v>
      </c>
    </row>
    <row r="5" spans="1:4" x14ac:dyDescent="0.2">
      <c r="A5" s="10" t="s">
        <v>496</v>
      </c>
      <c r="B5" s="10">
        <v>43</v>
      </c>
      <c r="C5" s="10">
        <v>13</v>
      </c>
    </row>
    <row r="6" spans="1:4" x14ac:dyDescent="0.2">
      <c r="A6" s="10" t="s">
        <v>497</v>
      </c>
      <c r="B6" s="10">
        <v>14</v>
      </c>
      <c r="C6" s="10">
        <v>13</v>
      </c>
    </row>
    <row r="7" spans="1:4" x14ac:dyDescent="0.2">
      <c r="A7" s="10" t="s">
        <v>498</v>
      </c>
      <c r="B7" s="10">
        <v>28</v>
      </c>
      <c r="C7" s="10">
        <v>13</v>
      </c>
    </row>
    <row r="8" spans="1:4" x14ac:dyDescent="0.2">
      <c r="A8" s="10" t="s">
        <v>499</v>
      </c>
      <c r="B8" s="10">
        <v>31</v>
      </c>
      <c r="C8" s="10">
        <v>13</v>
      </c>
    </row>
    <row r="9" spans="1:4" x14ac:dyDescent="0.2">
      <c r="A9" s="10" t="s">
        <v>500</v>
      </c>
      <c r="B9" s="10">
        <v>24</v>
      </c>
      <c r="C9" s="10">
        <v>13</v>
      </c>
    </row>
    <row r="10" spans="1:4" x14ac:dyDescent="0.2">
      <c r="A10" s="10" t="s">
        <v>501</v>
      </c>
      <c r="B10" s="10">
        <v>23</v>
      </c>
      <c r="C10" s="10">
        <v>13</v>
      </c>
    </row>
    <row r="11" spans="1:4" x14ac:dyDescent="0.2">
      <c r="A11" s="10" t="s">
        <v>502</v>
      </c>
      <c r="B11" s="10">
        <v>3</v>
      </c>
      <c r="C11" s="10">
        <v>1</v>
      </c>
    </row>
    <row r="12" spans="1:4" x14ac:dyDescent="0.2">
      <c r="A12" s="10" t="s">
        <v>503</v>
      </c>
      <c r="B12" s="10">
        <v>55</v>
      </c>
      <c r="C12" s="10">
        <v>13</v>
      </c>
    </row>
    <row r="13" spans="1:4" x14ac:dyDescent="0.2">
      <c r="A13" s="10" t="s">
        <v>504</v>
      </c>
      <c r="B13" s="10">
        <v>37</v>
      </c>
      <c r="C13" s="10">
        <v>13</v>
      </c>
    </row>
    <row r="14" spans="1:4" x14ac:dyDescent="0.2">
      <c r="A14" s="10" t="s">
        <v>505</v>
      </c>
      <c r="B14" s="10">
        <v>40</v>
      </c>
      <c r="C14" s="10">
        <v>13</v>
      </c>
    </row>
    <row r="15" spans="1:4" x14ac:dyDescent="0.2">
      <c r="A15" s="10" t="s">
        <v>497</v>
      </c>
      <c r="B15" s="10">
        <v>15</v>
      </c>
      <c r="C15" s="10">
        <v>13</v>
      </c>
    </row>
    <row r="16" spans="1:4" x14ac:dyDescent="0.2">
      <c r="A16" s="10" t="s">
        <v>506</v>
      </c>
      <c r="B16" s="10">
        <v>1</v>
      </c>
      <c r="C16" s="10">
        <v>1</v>
      </c>
    </row>
    <row r="17" spans="1:3" x14ac:dyDescent="0.2">
      <c r="A17" s="9"/>
      <c r="B17" s="9"/>
      <c r="C17" s="9"/>
    </row>
    <row r="18" spans="1:3" s="6" customFormat="1" ht="12" x14ac:dyDescent="0.15">
      <c r="A18" s="78" t="s">
        <v>508</v>
      </c>
      <c r="B18" s="78"/>
      <c r="C18" s="78"/>
    </row>
    <row r="19" spans="1:3" x14ac:dyDescent="0.2">
      <c r="A19" s="70" t="s">
        <v>507</v>
      </c>
      <c r="B19" s="70"/>
      <c r="C19" s="70"/>
    </row>
  </sheetData>
  <mergeCells count="3">
    <mergeCell ref="A1:C1"/>
    <mergeCell ref="A18:C18"/>
    <mergeCell ref="A19:C1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016E-F815-4EE5-AC3A-641646C7FD9F}">
  <dimension ref="A1:F17"/>
  <sheetViews>
    <sheetView showGridLines="0" workbookViewId="0">
      <selection activeCell="A17" sqref="A17:E17"/>
    </sheetView>
  </sheetViews>
  <sheetFormatPr baseColWidth="10" defaultColWidth="11.5" defaultRowHeight="15" x14ac:dyDescent="0.2"/>
  <cols>
    <col min="1" max="1" width="35.83203125" style="10" customWidth="1"/>
    <col min="2" max="5" width="18.83203125" style="10" customWidth="1"/>
    <col min="6" max="16384" width="11.5" style="10"/>
  </cols>
  <sheetData>
    <row r="1" spans="1:6" customFormat="1" ht="16" x14ac:dyDescent="0.2">
      <c r="A1" s="72" t="s">
        <v>509</v>
      </c>
      <c r="B1" s="72"/>
      <c r="C1" s="72"/>
      <c r="D1" s="72"/>
      <c r="E1" s="72"/>
      <c r="F1" s="2"/>
    </row>
    <row r="2" spans="1:6" x14ac:dyDescent="0.2">
      <c r="A2" s="24" t="s">
        <v>510</v>
      </c>
      <c r="B2" s="24">
        <v>2022</v>
      </c>
      <c r="C2" s="24">
        <v>2023</v>
      </c>
      <c r="D2" s="24">
        <v>2024</v>
      </c>
      <c r="E2" s="24">
        <v>2025</v>
      </c>
    </row>
    <row r="3" spans="1:6" x14ac:dyDescent="0.2">
      <c r="A3" s="29" t="s">
        <v>414</v>
      </c>
      <c r="B3" s="10">
        <v>774</v>
      </c>
      <c r="C3" s="10">
        <v>610</v>
      </c>
      <c r="D3" s="10">
        <v>716</v>
      </c>
      <c r="E3" s="10">
        <v>744</v>
      </c>
    </row>
    <row r="4" spans="1:6" x14ac:dyDescent="0.2">
      <c r="A4" s="29" t="s">
        <v>417</v>
      </c>
      <c r="B4" s="16">
        <v>1645</v>
      </c>
      <c r="C4" s="16">
        <v>1080</v>
      </c>
      <c r="D4" s="16">
        <v>1889</v>
      </c>
      <c r="E4" s="16">
        <v>1580</v>
      </c>
    </row>
    <row r="5" spans="1:6" x14ac:dyDescent="0.2">
      <c r="A5" s="29" t="s">
        <v>232</v>
      </c>
      <c r="B5" s="16">
        <v>15538</v>
      </c>
      <c r="C5" s="16">
        <v>14780</v>
      </c>
      <c r="D5" s="16">
        <v>13232</v>
      </c>
      <c r="E5" s="16">
        <v>12427</v>
      </c>
    </row>
    <row r="6" spans="1:6" x14ac:dyDescent="0.2">
      <c r="A6" s="29" t="s">
        <v>415</v>
      </c>
      <c r="B6" s="16">
        <v>2134</v>
      </c>
      <c r="C6" s="16">
        <v>2307</v>
      </c>
      <c r="D6" s="16">
        <v>2661</v>
      </c>
      <c r="E6" s="16">
        <v>2459</v>
      </c>
    </row>
    <row r="7" spans="1:6" x14ac:dyDescent="0.2">
      <c r="A7" s="29" t="s">
        <v>413</v>
      </c>
      <c r="B7" s="16">
        <v>9185</v>
      </c>
      <c r="C7" s="16">
        <v>7633</v>
      </c>
      <c r="D7" s="16">
        <v>8947</v>
      </c>
      <c r="E7" s="16">
        <v>9722</v>
      </c>
    </row>
    <row r="8" spans="1:6" x14ac:dyDescent="0.2">
      <c r="A8" s="29" t="s">
        <v>410</v>
      </c>
      <c r="B8" s="16">
        <v>2896</v>
      </c>
      <c r="C8" s="16">
        <v>2501</v>
      </c>
      <c r="D8" s="16">
        <v>3961</v>
      </c>
      <c r="E8" s="16">
        <v>4193</v>
      </c>
    </row>
    <row r="9" spans="1:6" x14ac:dyDescent="0.2">
      <c r="A9" s="29" t="s">
        <v>418</v>
      </c>
      <c r="B9" s="10">
        <v>562</v>
      </c>
      <c r="C9" s="10">
        <v>539</v>
      </c>
      <c r="D9" s="16">
        <v>2014</v>
      </c>
      <c r="E9" s="16">
        <v>2078</v>
      </c>
    </row>
    <row r="10" spans="1:6" x14ac:dyDescent="0.2">
      <c r="A10" s="29" t="s">
        <v>416</v>
      </c>
      <c r="B10" s="16">
        <v>5588</v>
      </c>
      <c r="C10" s="16">
        <v>4654</v>
      </c>
      <c r="D10" s="16">
        <v>3808</v>
      </c>
      <c r="E10" s="16">
        <v>4043</v>
      </c>
    </row>
    <row r="11" spans="1:6" x14ac:dyDescent="0.2">
      <c r="A11" s="29" t="s">
        <v>419</v>
      </c>
      <c r="B11" s="16">
        <v>2103</v>
      </c>
      <c r="C11" s="16">
        <v>2024</v>
      </c>
      <c r="D11" s="16">
        <v>2951</v>
      </c>
      <c r="E11" s="16">
        <v>3145</v>
      </c>
    </row>
    <row r="12" spans="1:6" x14ac:dyDescent="0.2">
      <c r="A12" s="29" t="s">
        <v>411</v>
      </c>
      <c r="B12" s="16">
        <v>1493</v>
      </c>
      <c r="C12" s="16">
        <v>1523</v>
      </c>
      <c r="D12" s="16">
        <v>1396</v>
      </c>
      <c r="E12" s="16">
        <v>1435</v>
      </c>
    </row>
    <row r="13" spans="1:6" x14ac:dyDescent="0.2">
      <c r="A13" s="29" t="s">
        <v>421</v>
      </c>
      <c r="B13" s="10">
        <v>837</v>
      </c>
      <c r="C13" s="10">
        <v>343</v>
      </c>
      <c r="D13" s="16">
        <v>1354</v>
      </c>
      <c r="E13" s="16">
        <v>1266</v>
      </c>
    </row>
    <row r="14" spans="1:6" x14ac:dyDescent="0.2">
      <c r="A14" s="29" t="s">
        <v>412</v>
      </c>
      <c r="B14" s="10">
        <v>625</v>
      </c>
      <c r="C14" s="10">
        <v>707</v>
      </c>
      <c r="D14" s="10">
        <v>875</v>
      </c>
      <c r="E14" s="10">
        <v>760</v>
      </c>
    </row>
    <row r="15" spans="1:6" x14ac:dyDescent="0.2">
      <c r="A15" s="29" t="s">
        <v>420</v>
      </c>
      <c r="B15" s="10">
        <v>711</v>
      </c>
      <c r="C15" s="10">
        <v>522</v>
      </c>
      <c r="D15" s="10">
        <v>613</v>
      </c>
      <c r="E15" s="10">
        <v>768</v>
      </c>
    </row>
    <row r="16" spans="1:6" x14ac:dyDescent="0.2">
      <c r="A16" s="11" t="s">
        <v>8</v>
      </c>
      <c r="B16" s="17">
        <v>44091</v>
      </c>
      <c r="C16" s="17">
        <v>39223</v>
      </c>
      <c r="D16" s="17">
        <v>44417</v>
      </c>
      <c r="E16" s="17">
        <v>44620</v>
      </c>
    </row>
    <row r="17" spans="1:5" ht="27.5" customHeight="1" x14ac:dyDescent="0.2">
      <c r="A17" s="80" t="s">
        <v>490</v>
      </c>
      <c r="B17" s="80"/>
      <c r="C17" s="80"/>
      <c r="D17" s="80"/>
      <c r="E17" s="80"/>
    </row>
  </sheetData>
  <mergeCells count="2">
    <mergeCell ref="A1:E1"/>
    <mergeCell ref="A17:E1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F023-273D-416E-B5AB-A8673907124E}">
  <dimension ref="A1:M20"/>
  <sheetViews>
    <sheetView showGridLines="0" workbookViewId="0">
      <selection activeCell="J28" sqref="J28"/>
    </sheetView>
  </sheetViews>
  <sheetFormatPr baseColWidth="10" defaultColWidth="11.5" defaultRowHeight="15" x14ac:dyDescent="0.2"/>
  <cols>
    <col min="1" max="1" width="12" style="10" customWidth="1"/>
    <col min="2" max="2" width="12.6640625" style="10" customWidth="1"/>
    <col min="3" max="3" width="10.83203125" style="10" customWidth="1"/>
    <col min="4" max="4" width="10.6640625" style="10" customWidth="1"/>
    <col min="5" max="5" width="11.5" style="10"/>
    <col min="6" max="6" width="24.1640625" style="10" customWidth="1"/>
    <col min="7" max="7" width="11.1640625" style="10" customWidth="1"/>
    <col min="8" max="8" width="1.6640625" style="10" customWidth="1"/>
    <col min="9" max="9" width="17.1640625" style="10" customWidth="1"/>
    <col min="10" max="10" width="16.83203125" style="10" customWidth="1"/>
    <col min="11" max="11" width="21.1640625" style="10" customWidth="1"/>
    <col min="12" max="12" width="17.6640625" style="10" customWidth="1"/>
    <col min="13" max="16384" width="11.5" style="10"/>
  </cols>
  <sheetData>
    <row r="1" spans="1:13" customFormat="1" ht="16" x14ac:dyDescent="0.2">
      <c r="A1" s="2" t="s">
        <v>511</v>
      </c>
      <c r="B1" s="2"/>
      <c r="C1" s="2"/>
      <c r="D1" s="2"/>
      <c r="E1" s="2"/>
      <c r="F1" s="2"/>
      <c r="G1" s="2"/>
      <c r="H1" s="2"/>
      <c r="I1" s="2"/>
      <c r="J1" s="2"/>
      <c r="K1" s="2"/>
      <c r="L1" s="2"/>
      <c r="M1" s="2"/>
    </row>
    <row r="2" spans="1:13" ht="14.5" customHeight="1" x14ac:dyDescent="0.2">
      <c r="A2" s="84" t="s">
        <v>154</v>
      </c>
      <c r="B2" s="84" t="s">
        <v>517</v>
      </c>
      <c r="C2" s="84"/>
      <c r="D2" s="84"/>
      <c r="E2" s="84"/>
      <c r="F2" s="84"/>
      <c r="G2" s="84"/>
      <c r="H2" s="46"/>
      <c r="I2" s="84" t="s">
        <v>519</v>
      </c>
      <c r="J2" s="84"/>
      <c r="K2" s="84"/>
      <c r="L2" s="84"/>
    </row>
    <row r="3" spans="1:13" x14ac:dyDescent="0.2">
      <c r="A3" s="86"/>
      <c r="B3" s="85"/>
      <c r="C3" s="85"/>
      <c r="D3" s="85"/>
      <c r="E3" s="85"/>
      <c r="F3" s="85"/>
      <c r="G3" s="85"/>
      <c r="H3" s="48"/>
      <c r="I3" s="85"/>
      <c r="J3" s="85"/>
      <c r="K3" s="85"/>
      <c r="L3" s="85"/>
    </row>
    <row r="4" spans="1:13" ht="14.5" customHeight="1" x14ac:dyDescent="0.2">
      <c r="A4" s="86"/>
      <c r="B4" s="84" t="s">
        <v>513</v>
      </c>
      <c r="C4" s="73" t="s">
        <v>514</v>
      </c>
      <c r="D4" s="84" t="s">
        <v>515</v>
      </c>
      <c r="E4" s="73" t="s">
        <v>514</v>
      </c>
      <c r="F4" s="84" t="s">
        <v>518</v>
      </c>
      <c r="G4" s="73" t="s">
        <v>514</v>
      </c>
      <c r="H4" s="48"/>
      <c r="I4" s="84" t="s">
        <v>516</v>
      </c>
      <c r="J4" s="84" t="s">
        <v>514</v>
      </c>
      <c r="K4" s="73" t="s">
        <v>515</v>
      </c>
      <c r="L4" s="73" t="s">
        <v>514</v>
      </c>
      <c r="M4"/>
    </row>
    <row r="5" spans="1:13" x14ac:dyDescent="0.2">
      <c r="A5" s="85"/>
      <c r="B5" s="85"/>
      <c r="C5" s="74"/>
      <c r="D5" s="85"/>
      <c r="E5" s="74"/>
      <c r="F5" s="85"/>
      <c r="G5" s="74"/>
      <c r="H5" s="27"/>
      <c r="I5" s="85"/>
      <c r="J5" s="85"/>
      <c r="K5" s="74"/>
      <c r="L5" s="74"/>
      <c r="M5"/>
    </row>
    <row r="6" spans="1:13" x14ac:dyDescent="0.2">
      <c r="A6" s="8" t="s">
        <v>414</v>
      </c>
      <c r="B6">
        <v>10</v>
      </c>
      <c r="C6">
        <v>170</v>
      </c>
      <c r="D6">
        <v>7</v>
      </c>
      <c r="E6">
        <v>10</v>
      </c>
      <c r="F6">
        <v>7</v>
      </c>
      <c r="G6">
        <v>57</v>
      </c>
      <c r="H6"/>
      <c r="I6">
        <v>10</v>
      </c>
      <c r="J6">
        <v>211</v>
      </c>
      <c r="K6">
        <v>5</v>
      </c>
      <c r="L6">
        <v>7</v>
      </c>
      <c r="M6"/>
    </row>
    <row r="7" spans="1:13" x14ac:dyDescent="0.2">
      <c r="A7" s="8" t="s">
        <v>417</v>
      </c>
      <c r="B7">
        <v>19</v>
      </c>
      <c r="C7">
        <v>356</v>
      </c>
      <c r="D7">
        <v>3</v>
      </c>
      <c r="E7">
        <v>6</v>
      </c>
      <c r="F7">
        <v>7</v>
      </c>
      <c r="G7">
        <v>60</v>
      </c>
      <c r="H7"/>
      <c r="I7">
        <v>12</v>
      </c>
      <c r="J7">
        <v>333</v>
      </c>
      <c r="K7">
        <v>8</v>
      </c>
      <c r="L7">
        <v>14</v>
      </c>
      <c r="M7"/>
    </row>
    <row r="8" spans="1:13" x14ac:dyDescent="0.2">
      <c r="A8" s="8" t="s">
        <v>232</v>
      </c>
      <c r="B8">
        <v>40</v>
      </c>
      <c r="C8">
        <v>287</v>
      </c>
      <c r="D8">
        <v>2</v>
      </c>
      <c r="E8">
        <v>2</v>
      </c>
      <c r="F8">
        <v>12</v>
      </c>
      <c r="G8">
        <v>144</v>
      </c>
      <c r="H8"/>
      <c r="I8">
        <v>10</v>
      </c>
      <c r="J8">
        <v>302</v>
      </c>
      <c r="K8">
        <v>3</v>
      </c>
      <c r="L8">
        <v>5</v>
      </c>
      <c r="M8"/>
    </row>
    <row r="9" spans="1:13" x14ac:dyDescent="0.2">
      <c r="A9" s="8" t="s">
        <v>415</v>
      </c>
      <c r="B9">
        <v>14</v>
      </c>
      <c r="C9">
        <v>186</v>
      </c>
      <c r="D9">
        <v>8</v>
      </c>
      <c r="E9">
        <v>10</v>
      </c>
      <c r="F9">
        <v>9</v>
      </c>
      <c r="G9">
        <v>61</v>
      </c>
      <c r="H9"/>
      <c r="I9">
        <v>10</v>
      </c>
      <c r="J9">
        <v>330</v>
      </c>
      <c r="K9">
        <v>4</v>
      </c>
      <c r="L9">
        <v>6</v>
      </c>
      <c r="M9"/>
    </row>
    <row r="10" spans="1:13" x14ac:dyDescent="0.2">
      <c r="A10" s="8" t="s">
        <v>413</v>
      </c>
      <c r="B10">
        <v>22</v>
      </c>
      <c r="C10">
        <v>269</v>
      </c>
      <c r="D10">
        <v>5</v>
      </c>
      <c r="E10">
        <v>5</v>
      </c>
      <c r="F10">
        <v>12</v>
      </c>
      <c r="G10">
        <v>113</v>
      </c>
      <c r="H10"/>
      <c r="I10">
        <v>7</v>
      </c>
      <c r="J10">
        <v>200</v>
      </c>
      <c r="K10">
        <v>3</v>
      </c>
      <c r="L10">
        <v>4</v>
      </c>
      <c r="M10"/>
    </row>
    <row r="11" spans="1:13" x14ac:dyDescent="0.2">
      <c r="A11" s="8" t="s">
        <v>410</v>
      </c>
      <c r="B11">
        <v>22</v>
      </c>
      <c r="C11">
        <v>175</v>
      </c>
      <c r="D11">
        <v>5</v>
      </c>
      <c r="E11">
        <v>6</v>
      </c>
      <c r="F11">
        <v>7</v>
      </c>
      <c r="G11">
        <v>53</v>
      </c>
      <c r="H11"/>
      <c r="I11">
        <v>8</v>
      </c>
      <c r="J11">
        <v>199</v>
      </c>
      <c r="K11">
        <v>3</v>
      </c>
      <c r="L11">
        <v>7</v>
      </c>
      <c r="M11"/>
    </row>
    <row r="12" spans="1:13" x14ac:dyDescent="0.2">
      <c r="A12" s="8" t="s">
        <v>418</v>
      </c>
      <c r="B12">
        <v>3</v>
      </c>
      <c r="C12">
        <v>48</v>
      </c>
      <c r="D12">
        <v>2</v>
      </c>
      <c r="E12">
        <v>3</v>
      </c>
      <c r="F12">
        <v>4</v>
      </c>
      <c r="G12">
        <v>65</v>
      </c>
      <c r="H12"/>
      <c r="I12">
        <v>10</v>
      </c>
      <c r="J12">
        <v>168</v>
      </c>
      <c r="K12">
        <v>2</v>
      </c>
      <c r="L12">
        <v>5</v>
      </c>
      <c r="M12"/>
    </row>
    <row r="13" spans="1:13" x14ac:dyDescent="0.2">
      <c r="A13" s="8" t="s">
        <v>416</v>
      </c>
      <c r="B13">
        <v>18</v>
      </c>
      <c r="C13">
        <v>251</v>
      </c>
      <c r="D13">
        <v>6</v>
      </c>
      <c r="E13">
        <v>7</v>
      </c>
      <c r="F13">
        <v>8</v>
      </c>
      <c r="G13">
        <v>54</v>
      </c>
      <c r="H13"/>
      <c r="I13">
        <v>10</v>
      </c>
      <c r="J13">
        <v>254</v>
      </c>
      <c r="K13">
        <v>7</v>
      </c>
      <c r="L13">
        <v>13</v>
      </c>
      <c r="M13"/>
    </row>
    <row r="14" spans="1:13" x14ac:dyDescent="0.2">
      <c r="A14" s="8" t="s">
        <v>419</v>
      </c>
      <c r="B14">
        <v>8</v>
      </c>
      <c r="C14">
        <v>244</v>
      </c>
      <c r="D14">
        <v>4</v>
      </c>
      <c r="E14">
        <v>6</v>
      </c>
      <c r="F14">
        <v>7</v>
      </c>
      <c r="G14">
        <v>79</v>
      </c>
      <c r="H14"/>
      <c r="I14">
        <v>8</v>
      </c>
      <c r="J14">
        <v>289</v>
      </c>
      <c r="K14">
        <v>4</v>
      </c>
      <c r="L14">
        <v>5</v>
      </c>
      <c r="M14"/>
    </row>
    <row r="15" spans="1:13" x14ac:dyDescent="0.2">
      <c r="A15" s="8" t="s">
        <v>411</v>
      </c>
      <c r="B15">
        <v>21</v>
      </c>
      <c r="C15">
        <v>190</v>
      </c>
      <c r="D15">
        <v>6</v>
      </c>
      <c r="E15">
        <v>7</v>
      </c>
      <c r="F15">
        <v>6</v>
      </c>
      <c r="G15">
        <v>44</v>
      </c>
      <c r="H15"/>
      <c r="I15">
        <v>6</v>
      </c>
      <c r="J15">
        <v>124</v>
      </c>
      <c r="K15">
        <v>4</v>
      </c>
      <c r="L15">
        <v>7</v>
      </c>
      <c r="M15"/>
    </row>
    <row r="16" spans="1:13" x14ac:dyDescent="0.2">
      <c r="A16" s="8" t="s">
        <v>421</v>
      </c>
      <c r="B16">
        <v>4</v>
      </c>
      <c r="C16">
        <v>42</v>
      </c>
      <c r="D16">
        <v>5</v>
      </c>
      <c r="E16">
        <v>9</v>
      </c>
      <c r="F16">
        <v>5</v>
      </c>
      <c r="G16">
        <v>19</v>
      </c>
      <c r="H16"/>
      <c r="I16">
        <v>6</v>
      </c>
      <c r="J16">
        <v>66</v>
      </c>
      <c r="K16">
        <v>5</v>
      </c>
      <c r="L16">
        <v>7</v>
      </c>
      <c r="M16"/>
    </row>
    <row r="17" spans="1:13" x14ac:dyDescent="0.2">
      <c r="A17" s="8" t="s">
        <v>412</v>
      </c>
      <c r="B17">
        <v>3</v>
      </c>
      <c r="C17">
        <v>54</v>
      </c>
      <c r="D17">
        <v>1</v>
      </c>
      <c r="E17">
        <v>1</v>
      </c>
      <c r="F17">
        <v>2</v>
      </c>
      <c r="G17">
        <v>10</v>
      </c>
      <c r="H17"/>
      <c r="I17">
        <v>10</v>
      </c>
      <c r="J17">
        <v>180</v>
      </c>
      <c r="K17">
        <v>5</v>
      </c>
      <c r="L17">
        <v>11</v>
      </c>
      <c r="M17"/>
    </row>
    <row r="18" spans="1:13" x14ac:dyDescent="0.2">
      <c r="A18" s="8" t="s">
        <v>420</v>
      </c>
      <c r="B18">
        <v>8</v>
      </c>
      <c r="C18">
        <v>115</v>
      </c>
      <c r="D18">
        <v>6</v>
      </c>
      <c r="E18">
        <v>12</v>
      </c>
      <c r="F18">
        <v>6</v>
      </c>
      <c r="G18">
        <v>59</v>
      </c>
      <c r="H18"/>
      <c r="I18">
        <v>9</v>
      </c>
      <c r="J18">
        <v>233</v>
      </c>
      <c r="K18">
        <v>7</v>
      </c>
      <c r="L18">
        <v>12</v>
      </c>
      <c r="M18"/>
    </row>
    <row r="19" spans="1:13" x14ac:dyDescent="0.2">
      <c r="A19" s="11" t="s">
        <v>335</v>
      </c>
      <c r="B19" s="11">
        <v>192</v>
      </c>
      <c r="C19" s="17">
        <v>2387</v>
      </c>
      <c r="D19" s="11">
        <v>60</v>
      </c>
      <c r="E19" s="11">
        <v>84</v>
      </c>
      <c r="F19" s="11">
        <v>92</v>
      </c>
      <c r="G19" s="11">
        <v>818</v>
      </c>
      <c r="H19" s="1"/>
      <c r="I19" s="11">
        <v>116</v>
      </c>
      <c r="J19" s="17">
        <v>2889</v>
      </c>
      <c r="K19" s="11">
        <v>60</v>
      </c>
      <c r="L19" s="11">
        <v>103</v>
      </c>
      <c r="M19"/>
    </row>
    <row r="20" spans="1:13" x14ac:dyDescent="0.2">
      <c r="A20" s="70" t="s">
        <v>512</v>
      </c>
      <c r="B20" s="70"/>
      <c r="C20" s="70"/>
      <c r="D20" s="70"/>
      <c r="E20" s="70"/>
      <c r="F20" s="70"/>
      <c r="G20" s="70"/>
      <c r="H20" s="70"/>
      <c r="I20" s="70"/>
      <c r="J20" s="70"/>
      <c r="K20" s="70"/>
      <c r="L20" s="70"/>
      <c r="M20" s="33"/>
    </row>
  </sheetData>
  <mergeCells count="14">
    <mergeCell ref="I2:L3"/>
    <mergeCell ref="A20:L20"/>
    <mergeCell ref="A2:A5"/>
    <mergeCell ref="B4:B5"/>
    <mergeCell ref="C4:C5"/>
    <mergeCell ref="D4:D5"/>
    <mergeCell ref="E4:E5"/>
    <mergeCell ref="F4:F5"/>
    <mergeCell ref="G4:G5"/>
    <mergeCell ref="I4:I5"/>
    <mergeCell ref="J4:J5"/>
    <mergeCell ref="K4:K5"/>
    <mergeCell ref="L4:L5"/>
    <mergeCell ref="B2:G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3514-538E-4609-86CB-3E44FC047A1F}">
  <dimension ref="A1:D9"/>
  <sheetViews>
    <sheetView showGridLines="0" workbookViewId="0">
      <selection activeCell="A14" sqref="A14"/>
    </sheetView>
  </sheetViews>
  <sheetFormatPr baseColWidth="10" defaultColWidth="11.5" defaultRowHeight="15" x14ac:dyDescent="0.2"/>
  <cols>
    <col min="1" max="1" width="64.1640625" style="10" customWidth="1"/>
    <col min="2" max="2" width="28.83203125" style="10" customWidth="1"/>
    <col min="3" max="3" width="23.6640625" style="10" customWidth="1"/>
    <col min="4" max="16384" width="11.5" style="10"/>
  </cols>
  <sheetData>
    <row r="1" spans="1:4" customFormat="1" ht="16" x14ac:dyDescent="0.2">
      <c r="A1" s="72" t="s">
        <v>520</v>
      </c>
      <c r="B1" s="72"/>
      <c r="C1" s="72"/>
      <c r="D1" s="2"/>
    </row>
    <row r="2" spans="1:4" x14ac:dyDescent="0.2">
      <c r="A2" s="24" t="s">
        <v>510</v>
      </c>
      <c r="B2" s="24" t="s">
        <v>516</v>
      </c>
      <c r="C2" s="24" t="s">
        <v>514</v>
      </c>
    </row>
    <row r="3" spans="1:4" x14ac:dyDescent="0.2">
      <c r="A3" s="10" t="s">
        <v>232</v>
      </c>
      <c r="B3" s="10">
        <v>20</v>
      </c>
      <c r="C3" s="10">
        <v>622</v>
      </c>
    </row>
    <row r="4" spans="1:4" x14ac:dyDescent="0.2">
      <c r="A4" s="29" t="s">
        <v>418</v>
      </c>
      <c r="B4" s="10">
        <v>11</v>
      </c>
      <c r="C4" s="10">
        <v>215</v>
      </c>
    </row>
    <row r="5" spans="1:4" x14ac:dyDescent="0.2">
      <c r="A5" s="29" t="s">
        <v>419</v>
      </c>
      <c r="B5" s="10">
        <v>9</v>
      </c>
      <c r="C5" s="10">
        <v>313</v>
      </c>
    </row>
    <row r="6" spans="1:4" x14ac:dyDescent="0.2">
      <c r="A6" s="29" t="s">
        <v>412</v>
      </c>
      <c r="B6" s="10">
        <v>11</v>
      </c>
      <c r="C6" s="10">
        <v>238</v>
      </c>
    </row>
    <row r="7" spans="1:4" x14ac:dyDescent="0.2">
      <c r="A7" s="29" t="s">
        <v>420</v>
      </c>
      <c r="B7" s="10">
        <v>6</v>
      </c>
      <c r="C7" s="10">
        <v>176</v>
      </c>
    </row>
    <row r="8" spans="1:4" x14ac:dyDescent="0.2">
      <c r="A8" s="11" t="s">
        <v>335</v>
      </c>
      <c r="B8" s="11">
        <v>57</v>
      </c>
      <c r="C8" s="17">
        <v>1564</v>
      </c>
    </row>
    <row r="9" spans="1:4" x14ac:dyDescent="0.2">
      <c r="A9" s="78" t="s">
        <v>512</v>
      </c>
      <c r="B9" s="78"/>
      <c r="C9" s="78"/>
    </row>
  </sheetData>
  <mergeCells count="2">
    <mergeCell ref="A1:C1"/>
    <mergeCell ref="A9:C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4466-3DC5-4CE2-86D4-78F7A77A84A1}">
  <dimension ref="A1:C79"/>
  <sheetViews>
    <sheetView showGridLines="0" zoomScale="85" zoomScaleNormal="85" workbookViewId="0">
      <selection activeCell="B35" sqref="B35:C36"/>
    </sheetView>
  </sheetViews>
  <sheetFormatPr baseColWidth="10" defaultRowHeight="15" x14ac:dyDescent="0.2"/>
  <cols>
    <col min="1" max="1" width="39.1640625" customWidth="1"/>
    <col min="2" max="2" width="166.33203125" bestFit="1" customWidth="1"/>
    <col min="3" max="3" width="16.5" customWidth="1"/>
  </cols>
  <sheetData>
    <row r="1" spans="1:3" ht="16" x14ac:dyDescent="0.2">
      <c r="A1" s="72" t="s">
        <v>155</v>
      </c>
      <c r="B1" s="72"/>
      <c r="C1" s="72"/>
    </row>
    <row r="2" spans="1:3" s="10" customFormat="1" x14ac:dyDescent="0.2">
      <c r="A2" s="24" t="s">
        <v>14</v>
      </c>
      <c r="B2" s="24" t="s">
        <v>157</v>
      </c>
      <c r="C2" s="24" t="s">
        <v>42</v>
      </c>
    </row>
    <row r="3" spans="1:3" s="10" customFormat="1" x14ac:dyDescent="0.2">
      <c r="A3" s="1" t="s">
        <v>158</v>
      </c>
      <c r="C3" s="18">
        <v>1067054776</v>
      </c>
    </row>
    <row r="4" spans="1:3" s="10" customFormat="1" x14ac:dyDescent="0.2">
      <c r="B4" s="20" t="s">
        <v>159</v>
      </c>
      <c r="C4" s="18">
        <v>15391911</v>
      </c>
    </row>
    <row r="5" spans="1:3" s="10" customFormat="1" x14ac:dyDescent="0.2">
      <c r="B5" s="15" t="s">
        <v>160</v>
      </c>
      <c r="C5" s="16">
        <v>152884</v>
      </c>
    </row>
    <row r="6" spans="1:3" s="10" customFormat="1" x14ac:dyDescent="0.2">
      <c r="B6" s="15" t="s">
        <v>161</v>
      </c>
      <c r="C6" s="16">
        <v>7356235</v>
      </c>
    </row>
    <row r="7" spans="1:3" s="10" customFormat="1" x14ac:dyDescent="0.2">
      <c r="B7" s="15" t="s">
        <v>162</v>
      </c>
      <c r="C7" s="16">
        <v>7882792</v>
      </c>
    </row>
    <row r="8" spans="1:3" s="10" customFormat="1" x14ac:dyDescent="0.2">
      <c r="B8" s="20" t="s">
        <v>163</v>
      </c>
      <c r="C8" s="18">
        <v>12436753</v>
      </c>
    </row>
    <row r="9" spans="1:3" s="10" customFormat="1" x14ac:dyDescent="0.2">
      <c r="B9" s="15" t="s">
        <v>164</v>
      </c>
      <c r="C9" s="16">
        <v>1528114</v>
      </c>
    </row>
    <row r="10" spans="1:3" s="10" customFormat="1" x14ac:dyDescent="0.2">
      <c r="B10" s="15" t="s">
        <v>165</v>
      </c>
      <c r="C10" s="16">
        <v>4496880</v>
      </c>
    </row>
    <row r="11" spans="1:3" s="10" customFormat="1" x14ac:dyDescent="0.2">
      <c r="B11" s="15" t="s">
        <v>166</v>
      </c>
      <c r="C11" s="16">
        <v>6411759</v>
      </c>
    </row>
    <row r="12" spans="1:3" s="10" customFormat="1" x14ac:dyDescent="0.2">
      <c r="B12" s="20" t="s">
        <v>167</v>
      </c>
      <c r="C12" s="18">
        <v>777646297</v>
      </c>
    </row>
    <row r="13" spans="1:3" s="10" customFormat="1" x14ac:dyDescent="0.2">
      <c r="B13" s="15" t="s">
        <v>168</v>
      </c>
      <c r="C13" s="16">
        <v>777646297</v>
      </c>
    </row>
    <row r="14" spans="1:3" s="10" customFormat="1" x14ac:dyDescent="0.2">
      <c r="B14" s="20" t="s">
        <v>169</v>
      </c>
      <c r="C14" s="18">
        <v>5036215</v>
      </c>
    </row>
    <row r="15" spans="1:3" s="10" customFormat="1" x14ac:dyDescent="0.2">
      <c r="B15" s="20" t="s">
        <v>170</v>
      </c>
      <c r="C15" s="18">
        <v>256543600</v>
      </c>
    </row>
    <row r="16" spans="1:3" s="10" customFormat="1" x14ac:dyDescent="0.2">
      <c r="B16" s="15" t="s">
        <v>171</v>
      </c>
      <c r="C16" s="16">
        <v>256543600</v>
      </c>
    </row>
    <row r="17" spans="1:3" s="10" customFormat="1" x14ac:dyDescent="0.2">
      <c r="A17" s="1" t="s">
        <v>172</v>
      </c>
      <c r="C17" s="18">
        <v>311599843</v>
      </c>
    </row>
    <row r="18" spans="1:3" s="10" customFormat="1" x14ac:dyDescent="0.2">
      <c r="B18" s="20" t="s">
        <v>173</v>
      </c>
      <c r="C18" s="18">
        <v>179450452</v>
      </c>
    </row>
    <row r="19" spans="1:3" s="10" customFormat="1" x14ac:dyDescent="0.2">
      <c r="B19" s="15" t="s">
        <v>174</v>
      </c>
      <c r="C19" s="16">
        <v>179450452</v>
      </c>
    </row>
    <row r="20" spans="1:3" s="10" customFormat="1" x14ac:dyDescent="0.2">
      <c r="B20" s="20" t="s">
        <v>175</v>
      </c>
      <c r="C20" s="18">
        <v>128120143</v>
      </c>
    </row>
    <row r="21" spans="1:3" s="10" customFormat="1" x14ac:dyDescent="0.2">
      <c r="B21" s="15" t="s">
        <v>176</v>
      </c>
      <c r="C21" s="16">
        <v>14573471</v>
      </c>
    </row>
    <row r="22" spans="1:3" s="10" customFormat="1" x14ac:dyDescent="0.2">
      <c r="B22" s="15" t="s">
        <v>177</v>
      </c>
      <c r="C22" s="16">
        <v>12212484</v>
      </c>
    </row>
    <row r="23" spans="1:3" s="10" customFormat="1" x14ac:dyDescent="0.2">
      <c r="B23" s="15" t="s">
        <v>178</v>
      </c>
      <c r="C23" s="16">
        <v>3229577</v>
      </c>
    </row>
    <row r="24" spans="1:3" s="10" customFormat="1" x14ac:dyDescent="0.2">
      <c r="B24" s="15" t="s">
        <v>179</v>
      </c>
      <c r="C24" s="16">
        <v>2955304</v>
      </c>
    </row>
    <row r="25" spans="1:3" s="10" customFormat="1" x14ac:dyDescent="0.2">
      <c r="B25" s="15" t="s">
        <v>180</v>
      </c>
      <c r="C25" s="16">
        <v>52951334</v>
      </c>
    </row>
    <row r="26" spans="1:3" s="10" customFormat="1" x14ac:dyDescent="0.2">
      <c r="B26" s="15" t="s">
        <v>181</v>
      </c>
      <c r="C26" s="16">
        <v>508531</v>
      </c>
    </row>
    <row r="27" spans="1:3" s="10" customFormat="1" x14ac:dyDescent="0.2">
      <c r="B27" s="15" t="s">
        <v>182</v>
      </c>
      <c r="C27" s="16">
        <v>29439394</v>
      </c>
    </row>
    <row r="28" spans="1:3" s="10" customFormat="1" x14ac:dyDescent="0.2">
      <c r="B28" s="15" t="s">
        <v>183</v>
      </c>
      <c r="C28" s="16">
        <v>4570109</v>
      </c>
    </row>
    <row r="29" spans="1:3" s="10" customFormat="1" x14ac:dyDescent="0.2">
      <c r="B29" s="15" t="s">
        <v>184</v>
      </c>
      <c r="C29" s="16">
        <v>6056816</v>
      </c>
    </row>
    <row r="30" spans="1:3" s="10" customFormat="1" x14ac:dyDescent="0.2">
      <c r="B30" s="15" t="s">
        <v>185</v>
      </c>
      <c r="C30" s="16">
        <v>1623123</v>
      </c>
    </row>
    <row r="31" spans="1:3" s="10" customFormat="1" x14ac:dyDescent="0.2">
      <c r="B31" s="20" t="s">
        <v>186</v>
      </c>
      <c r="C31" s="18">
        <v>4029248</v>
      </c>
    </row>
    <row r="32" spans="1:3" s="10" customFormat="1" x14ac:dyDescent="0.2">
      <c r="A32" s="1" t="s">
        <v>187</v>
      </c>
      <c r="C32" s="18">
        <v>308701102</v>
      </c>
    </row>
    <row r="33" spans="1:3" s="10" customFormat="1" x14ac:dyDescent="0.2">
      <c r="B33" s="20" t="s">
        <v>187</v>
      </c>
      <c r="C33" s="18">
        <v>308701102</v>
      </c>
    </row>
    <row r="34" spans="1:3" s="10" customFormat="1" x14ac:dyDescent="0.2">
      <c r="B34" s="15" t="s">
        <v>188</v>
      </c>
      <c r="C34" s="16">
        <v>308701102</v>
      </c>
    </row>
    <row r="35" spans="1:3" s="10" customFormat="1" x14ac:dyDescent="0.2">
      <c r="B35" s="15" t="s">
        <v>189</v>
      </c>
      <c r="C35" s="10">
        <v>0</v>
      </c>
    </row>
    <row r="36" spans="1:3" s="10" customFormat="1" x14ac:dyDescent="0.2">
      <c r="B36" s="15" t="s">
        <v>190</v>
      </c>
      <c r="C36" s="10">
        <v>0</v>
      </c>
    </row>
    <row r="37" spans="1:3" s="10" customFormat="1" x14ac:dyDescent="0.2">
      <c r="A37" s="1" t="s">
        <v>191</v>
      </c>
      <c r="C37" s="18">
        <v>67824962</v>
      </c>
    </row>
    <row r="38" spans="1:3" s="10" customFormat="1" x14ac:dyDescent="0.2">
      <c r="B38" s="20" t="s">
        <v>191</v>
      </c>
      <c r="C38" s="18">
        <v>67824187</v>
      </c>
    </row>
    <row r="39" spans="1:3" s="10" customFormat="1" x14ac:dyDescent="0.2">
      <c r="B39" s="15" t="s">
        <v>192</v>
      </c>
      <c r="C39" s="16">
        <v>5787798</v>
      </c>
    </row>
    <row r="40" spans="1:3" s="10" customFormat="1" x14ac:dyDescent="0.2">
      <c r="B40" s="15" t="s">
        <v>193</v>
      </c>
      <c r="C40" s="16">
        <v>196138</v>
      </c>
    </row>
    <row r="41" spans="1:3" s="10" customFormat="1" x14ac:dyDescent="0.2">
      <c r="B41" s="15" t="s">
        <v>194</v>
      </c>
      <c r="C41" s="16">
        <v>37708557</v>
      </c>
    </row>
    <row r="42" spans="1:3" s="10" customFormat="1" x14ac:dyDescent="0.2">
      <c r="B42" s="15" t="s">
        <v>195</v>
      </c>
      <c r="C42" s="16">
        <v>4829445</v>
      </c>
    </row>
    <row r="43" spans="1:3" s="10" customFormat="1" x14ac:dyDescent="0.2">
      <c r="B43" s="15" t="s">
        <v>196</v>
      </c>
      <c r="C43" s="16">
        <v>19302249</v>
      </c>
    </row>
    <row r="44" spans="1:3" s="10" customFormat="1" x14ac:dyDescent="0.2">
      <c r="B44" s="20" t="s">
        <v>197</v>
      </c>
      <c r="C44" s="1">
        <v>775</v>
      </c>
    </row>
    <row r="45" spans="1:3" s="10" customFormat="1" x14ac:dyDescent="0.2">
      <c r="A45" s="1" t="s">
        <v>225</v>
      </c>
      <c r="B45" s="19"/>
      <c r="C45" s="21">
        <v>1755180683</v>
      </c>
    </row>
    <row r="46" spans="1:3" s="10" customFormat="1" x14ac:dyDescent="0.2">
      <c r="A46" s="1" t="s">
        <v>198</v>
      </c>
      <c r="C46" s="18">
        <v>4666522332</v>
      </c>
    </row>
    <row r="47" spans="1:3" s="10" customFormat="1" x14ac:dyDescent="0.2">
      <c r="B47" s="15" t="s">
        <v>199</v>
      </c>
      <c r="C47" s="16">
        <v>3289567683</v>
      </c>
    </row>
    <row r="48" spans="1:3" s="10" customFormat="1" x14ac:dyDescent="0.2">
      <c r="B48" s="15" t="s">
        <v>200</v>
      </c>
      <c r="C48" s="16">
        <v>208581866</v>
      </c>
    </row>
    <row r="49" spans="1:3" s="10" customFormat="1" x14ac:dyDescent="0.2">
      <c r="B49" s="15" t="s">
        <v>201</v>
      </c>
      <c r="C49" s="16">
        <v>155946875</v>
      </c>
    </row>
    <row r="50" spans="1:3" s="10" customFormat="1" x14ac:dyDescent="0.2">
      <c r="B50" s="15" t="s">
        <v>202</v>
      </c>
      <c r="C50" s="16">
        <v>483166755</v>
      </c>
    </row>
    <row r="51" spans="1:3" s="10" customFormat="1" x14ac:dyDescent="0.2">
      <c r="B51" s="15" t="s">
        <v>203</v>
      </c>
      <c r="C51" s="16">
        <v>53799275</v>
      </c>
    </row>
    <row r="52" spans="1:3" s="10" customFormat="1" x14ac:dyDescent="0.2">
      <c r="B52" s="15" t="s">
        <v>204</v>
      </c>
      <c r="C52" s="16">
        <v>124275262</v>
      </c>
    </row>
    <row r="53" spans="1:3" s="10" customFormat="1" x14ac:dyDescent="0.2">
      <c r="B53" s="15" t="s">
        <v>205</v>
      </c>
      <c r="C53" s="16">
        <v>351184616</v>
      </c>
    </row>
    <row r="54" spans="1:3" s="10" customFormat="1" x14ac:dyDescent="0.2">
      <c r="B54" s="15" t="s">
        <v>206</v>
      </c>
    </row>
    <row r="55" spans="1:3" s="10" customFormat="1" x14ac:dyDescent="0.2">
      <c r="A55" s="1" t="s">
        <v>207</v>
      </c>
      <c r="C55" s="18">
        <v>5653833902</v>
      </c>
    </row>
    <row r="56" spans="1:3" s="10" customFormat="1" x14ac:dyDescent="0.2">
      <c r="B56" s="15" t="s">
        <v>208</v>
      </c>
      <c r="C56" s="16">
        <v>3515080731</v>
      </c>
    </row>
    <row r="57" spans="1:3" s="10" customFormat="1" x14ac:dyDescent="0.2">
      <c r="B57" s="15" t="s">
        <v>209</v>
      </c>
      <c r="C57" s="16">
        <v>589068473</v>
      </c>
    </row>
    <row r="58" spans="1:3" s="10" customFormat="1" x14ac:dyDescent="0.2">
      <c r="B58" s="15" t="s">
        <v>210</v>
      </c>
      <c r="C58" s="16">
        <v>528327295</v>
      </c>
    </row>
    <row r="59" spans="1:3" s="10" customFormat="1" x14ac:dyDescent="0.2">
      <c r="B59" s="15" t="s">
        <v>211</v>
      </c>
      <c r="C59" s="16">
        <v>447317281</v>
      </c>
    </row>
    <row r="60" spans="1:3" s="10" customFormat="1" x14ac:dyDescent="0.2">
      <c r="B60" s="15" t="s">
        <v>212</v>
      </c>
      <c r="C60" s="16">
        <v>238763086</v>
      </c>
    </row>
    <row r="61" spans="1:3" s="10" customFormat="1" x14ac:dyDescent="0.2">
      <c r="B61" s="15" t="s">
        <v>213</v>
      </c>
      <c r="C61" s="16">
        <v>79845462</v>
      </c>
    </row>
    <row r="62" spans="1:3" s="10" customFormat="1" x14ac:dyDescent="0.2">
      <c r="B62" s="15" t="s">
        <v>214</v>
      </c>
      <c r="C62" s="16">
        <v>93945740</v>
      </c>
    </row>
    <row r="63" spans="1:3" s="10" customFormat="1" x14ac:dyDescent="0.2">
      <c r="B63" s="15" t="s">
        <v>215</v>
      </c>
      <c r="C63" s="16">
        <v>161485834</v>
      </c>
    </row>
    <row r="64" spans="1:3" s="10" customFormat="1" x14ac:dyDescent="0.2">
      <c r="A64" s="1" t="s">
        <v>216</v>
      </c>
      <c r="C64" s="18">
        <v>1342943285</v>
      </c>
    </row>
    <row r="65" spans="1:3" s="10" customFormat="1" x14ac:dyDescent="0.2">
      <c r="B65" s="1" t="s">
        <v>217</v>
      </c>
      <c r="C65" s="18">
        <v>1342687356</v>
      </c>
    </row>
    <row r="66" spans="1:3" s="10" customFormat="1" x14ac:dyDescent="0.2">
      <c r="B66" s="15" t="s">
        <v>218</v>
      </c>
      <c r="C66" s="16">
        <v>1342687356</v>
      </c>
    </row>
    <row r="67" spans="1:3" s="10" customFormat="1" x14ac:dyDescent="0.2">
      <c r="B67" s="15" t="s">
        <v>219</v>
      </c>
      <c r="C67" s="10">
        <v>0</v>
      </c>
    </row>
    <row r="68" spans="1:3" s="10" customFormat="1" x14ac:dyDescent="0.2">
      <c r="B68" s="20" t="s">
        <v>220</v>
      </c>
      <c r="C68" s="18">
        <v>255929</v>
      </c>
    </row>
    <row r="69" spans="1:3" s="10" customFormat="1" x14ac:dyDescent="0.2">
      <c r="A69" s="1" t="s">
        <v>221</v>
      </c>
      <c r="C69" s="18">
        <v>82460103</v>
      </c>
    </row>
    <row r="70" spans="1:3" s="10" customFormat="1" x14ac:dyDescent="0.2">
      <c r="B70" s="15" t="s">
        <v>222</v>
      </c>
      <c r="C70" s="16">
        <v>82460103</v>
      </c>
    </row>
    <row r="71" spans="1:3" s="10" customFormat="1" x14ac:dyDescent="0.2">
      <c r="A71" s="1" t="s">
        <v>223</v>
      </c>
      <c r="C71" s="18">
        <v>319102461</v>
      </c>
    </row>
    <row r="72" spans="1:3" s="10" customFormat="1" x14ac:dyDescent="0.2">
      <c r="B72" s="15" t="s">
        <v>224</v>
      </c>
      <c r="C72" s="16">
        <v>319102461</v>
      </c>
    </row>
    <row r="73" spans="1:3" s="10" customFormat="1" x14ac:dyDescent="0.2">
      <c r="A73" s="1" t="s">
        <v>226</v>
      </c>
      <c r="B73" s="1"/>
      <c r="C73" s="18">
        <v>12064862083</v>
      </c>
    </row>
    <row r="74" spans="1:3" s="10" customFormat="1" x14ac:dyDescent="0.2">
      <c r="A74" s="11" t="s">
        <v>227</v>
      </c>
      <c r="B74" s="11"/>
      <c r="C74" s="17">
        <v>13820042766</v>
      </c>
    </row>
    <row r="75" spans="1:3" s="10" customFormat="1" x14ac:dyDescent="0.2">
      <c r="A75" s="78" t="s">
        <v>13</v>
      </c>
      <c r="B75" s="78"/>
      <c r="C75" s="78"/>
    </row>
    <row r="76" spans="1:3" s="10" customFormat="1" x14ac:dyDescent="0.2"/>
    <row r="77" spans="1:3" s="10" customFormat="1" x14ac:dyDescent="0.2"/>
    <row r="78" spans="1:3" s="10" customFormat="1" x14ac:dyDescent="0.2"/>
    <row r="79" spans="1:3" s="10" customFormat="1" x14ac:dyDescent="0.2"/>
  </sheetData>
  <mergeCells count="2">
    <mergeCell ref="A1:C1"/>
    <mergeCell ref="A75:C7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3FDD-CB32-47D3-A611-B1817E8A1804}">
  <sheetPr>
    <tabColor rgb="FFFFFF00"/>
  </sheetPr>
  <dimension ref="A1:M56"/>
  <sheetViews>
    <sheetView showGridLines="0" workbookViewId="0">
      <selection activeCell="A16" sqref="A16"/>
    </sheetView>
  </sheetViews>
  <sheetFormatPr baseColWidth="10" defaultRowHeight="15" x14ac:dyDescent="0.2"/>
  <cols>
    <col min="1" max="1" width="75.1640625" customWidth="1"/>
    <col min="2" max="2" width="18.83203125" customWidth="1"/>
  </cols>
  <sheetData>
    <row r="1" spans="1:13" ht="16" x14ac:dyDescent="0.2">
      <c r="A1" s="72" t="s">
        <v>156</v>
      </c>
      <c r="B1" s="72"/>
      <c r="C1" s="2"/>
    </row>
    <row r="2" spans="1:13" x14ac:dyDescent="0.2">
      <c r="A2" s="24" t="s">
        <v>154</v>
      </c>
      <c r="B2" s="24" t="s">
        <v>42</v>
      </c>
      <c r="C2" s="10"/>
      <c r="D2" s="10"/>
      <c r="E2" s="10"/>
      <c r="F2" s="10"/>
      <c r="G2" s="10"/>
      <c r="H2" s="10"/>
      <c r="I2" s="10"/>
      <c r="J2" s="10"/>
      <c r="K2" s="10"/>
      <c r="L2" s="10"/>
      <c r="M2" s="10"/>
    </row>
    <row r="3" spans="1:13" x14ac:dyDescent="0.2">
      <c r="A3" s="10" t="s">
        <v>417</v>
      </c>
      <c r="B3" s="16">
        <v>1000</v>
      </c>
      <c r="C3" s="10"/>
      <c r="D3" s="10"/>
      <c r="E3" s="10"/>
      <c r="F3" s="10"/>
      <c r="G3" s="10"/>
      <c r="H3" s="10"/>
      <c r="I3" s="10"/>
      <c r="J3" s="10"/>
      <c r="K3" s="10"/>
      <c r="L3" s="10"/>
      <c r="M3" s="10"/>
    </row>
    <row r="4" spans="1:13" x14ac:dyDescent="0.2">
      <c r="A4" s="10" t="s">
        <v>415</v>
      </c>
      <c r="B4" s="16">
        <v>1000</v>
      </c>
      <c r="C4" s="45"/>
      <c r="D4" s="10"/>
      <c r="E4" s="10"/>
      <c r="F4" s="10"/>
      <c r="G4" s="10"/>
      <c r="H4" s="10"/>
      <c r="I4" s="10"/>
      <c r="J4" s="10"/>
      <c r="K4" s="10"/>
      <c r="L4" s="10"/>
      <c r="M4" s="10"/>
    </row>
    <row r="5" spans="1:13" x14ac:dyDescent="0.2">
      <c r="A5" s="11" t="s">
        <v>335</v>
      </c>
      <c r="B5" s="17">
        <v>2000</v>
      </c>
      <c r="C5" s="10"/>
      <c r="D5" s="10"/>
      <c r="E5" s="10"/>
      <c r="F5" s="10"/>
      <c r="G5" s="10"/>
      <c r="H5" s="10"/>
      <c r="I5" s="10"/>
      <c r="J5" s="10"/>
      <c r="K5" s="10"/>
      <c r="L5" s="10"/>
      <c r="M5" s="10"/>
    </row>
    <row r="6" spans="1:13" x14ac:dyDescent="0.2">
      <c r="A6" s="78" t="s">
        <v>13</v>
      </c>
      <c r="B6" s="78"/>
      <c r="C6" s="10"/>
      <c r="D6" s="10"/>
      <c r="E6" s="10"/>
      <c r="F6" s="10"/>
      <c r="G6" s="10"/>
      <c r="H6" s="10"/>
      <c r="I6" s="10"/>
      <c r="J6" s="10"/>
      <c r="K6" s="10"/>
      <c r="L6" s="10"/>
      <c r="M6" s="10"/>
    </row>
    <row r="7" spans="1:13" x14ac:dyDescent="0.2">
      <c r="A7" s="10"/>
      <c r="B7" s="10"/>
      <c r="C7" s="10"/>
      <c r="D7" s="10"/>
      <c r="E7" s="10"/>
      <c r="F7" s="10"/>
      <c r="G7" s="10"/>
      <c r="H7" s="10"/>
      <c r="I7" s="10"/>
      <c r="J7" s="10"/>
      <c r="K7" s="10"/>
      <c r="L7" s="10"/>
      <c r="M7" s="10"/>
    </row>
    <row r="8" spans="1:13" x14ac:dyDescent="0.2">
      <c r="A8" s="10"/>
      <c r="B8" s="10"/>
      <c r="C8" s="10"/>
      <c r="D8" s="10"/>
      <c r="E8" s="10"/>
      <c r="F8" s="10"/>
      <c r="G8" s="10"/>
      <c r="H8" s="10"/>
      <c r="I8" s="10"/>
      <c r="J8" s="10"/>
      <c r="K8" s="10"/>
      <c r="L8" s="10"/>
      <c r="M8" s="10"/>
    </row>
    <row r="9" spans="1:13" x14ac:dyDescent="0.2">
      <c r="A9" s="10"/>
      <c r="B9" s="10"/>
      <c r="C9" s="10"/>
      <c r="D9" s="10"/>
      <c r="E9" s="10"/>
      <c r="F9" s="10"/>
      <c r="G9" s="10"/>
      <c r="H9" s="10"/>
      <c r="I9" s="10"/>
      <c r="J9" s="10"/>
      <c r="K9" s="10"/>
      <c r="L9" s="10"/>
      <c r="M9" s="10"/>
    </row>
    <row r="10" spans="1:13" x14ac:dyDescent="0.2">
      <c r="A10" s="10"/>
      <c r="B10" s="10"/>
      <c r="C10" s="10"/>
      <c r="D10" s="10"/>
      <c r="E10" s="10"/>
      <c r="F10" s="10"/>
      <c r="G10" s="10"/>
      <c r="H10" s="10"/>
      <c r="I10" s="10"/>
      <c r="J10" s="10"/>
      <c r="K10" s="10"/>
      <c r="L10" s="10"/>
      <c r="M10" s="10"/>
    </row>
    <row r="11" spans="1:13" x14ac:dyDescent="0.2">
      <c r="A11" s="10"/>
      <c r="B11" s="10"/>
      <c r="C11" s="10"/>
      <c r="D11" s="10"/>
      <c r="E11" s="10"/>
      <c r="F11" s="10"/>
      <c r="G11" s="10"/>
      <c r="H11" s="10"/>
      <c r="I11" s="10"/>
      <c r="J11" s="10"/>
      <c r="K11" s="10"/>
      <c r="L11" s="10"/>
      <c r="M11" s="10"/>
    </row>
    <row r="12" spans="1:13" x14ac:dyDescent="0.2">
      <c r="A12" s="10"/>
      <c r="B12" s="10"/>
      <c r="C12" s="10"/>
      <c r="D12" s="10"/>
      <c r="E12" s="10"/>
      <c r="F12" s="10"/>
      <c r="G12" s="10"/>
      <c r="H12" s="10"/>
      <c r="I12" s="10"/>
      <c r="J12" s="10"/>
      <c r="K12" s="10"/>
      <c r="L12" s="10"/>
      <c r="M12" s="10"/>
    </row>
    <row r="13" spans="1:13" x14ac:dyDescent="0.2">
      <c r="A13" s="10"/>
      <c r="B13" s="10"/>
      <c r="C13" s="10"/>
      <c r="D13" s="10"/>
      <c r="E13" s="10"/>
      <c r="F13" s="10"/>
      <c r="G13" s="10"/>
      <c r="H13" s="10"/>
      <c r="I13" s="10"/>
      <c r="J13" s="10"/>
      <c r="K13" s="10"/>
      <c r="L13" s="10"/>
      <c r="M13" s="10"/>
    </row>
    <row r="14" spans="1:13" x14ac:dyDescent="0.2">
      <c r="A14" s="10"/>
      <c r="B14" s="10"/>
      <c r="C14" s="10"/>
      <c r="D14" s="10"/>
      <c r="E14" s="10"/>
      <c r="F14" s="10"/>
      <c r="G14" s="10"/>
      <c r="H14" s="10"/>
      <c r="I14" s="10"/>
      <c r="J14" s="10"/>
      <c r="K14" s="10"/>
      <c r="L14" s="10"/>
      <c r="M14" s="10"/>
    </row>
    <row r="15" spans="1:13" x14ac:dyDescent="0.2">
      <c r="A15" s="10"/>
      <c r="B15" s="10"/>
      <c r="C15" s="10"/>
      <c r="D15" s="10"/>
      <c r="E15" s="10"/>
      <c r="F15" s="10"/>
      <c r="G15" s="10"/>
      <c r="H15" s="10"/>
      <c r="I15" s="10"/>
      <c r="J15" s="10"/>
      <c r="K15" s="10"/>
      <c r="L15" s="10"/>
      <c r="M15" s="10"/>
    </row>
    <row r="16" spans="1:13" x14ac:dyDescent="0.2">
      <c r="A16" s="10"/>
      <c r="B16" s="10"/>
      <c r="C16" s="10"/>
      <c r="D16" s="10"/>
      <c r="E16" s="10"/>
      <c r="F16" s="10"/>
      <c r="G16" s="10"/>
      <c r="H16" s="10"/>
      <c r="I16" s="10"/>
      <c r="J16" s="10"/>
      <c r="K16" s="10"/>
      <c r="L16" s="10"/>
      <c r="M16" s="10"/>
    </row>
    <row r="17" spans="1:13" x14ac:dyDescent="0.2">
      <c r="A17" s="10"/>
      <c r="B17" s="10"/>
      <c r="C17" s="10"/>
      <c r="D17" s="10"/>
      <c r="E17" s="10"/>
      <c r="F17" s="10"/>
      <c r="G17" s="10"/>
      <c r="H17" s="10"/>
      <c r="I17" s="10"/>
      <c r="J17" s="10"/>
      <c r="K17" s="10"/>
      <c r="L17" s="10"/>
      <c r="M17" s="10"/>
    </row>
    <row r="18" spans="1:13" x14ac:dyDescent="0.2">
      <c r="A18" s="10"/>
      <c r="B18" s="10"/>
      <c r="C18" s="10"/>
      <c r="D18" s="10"/>
      <c r="E18" s="10"/>
      <c r="F18" s="10"/>
      <c r="G18" s="10"/>
      <c r="H18" s="10"/>
      <c r="I18" s="10"/>
      <c r="J18" s="10"/>
      <c r="K18" s="10"/>
      <c r="L18" s="10"/>
      <c r="M18" s="10"/>
    </row>
    <row r="19" spans="1:13" x14ac:dyDescent="0.2">
      <c r="A19" s="10"/>
      <c r="B19" s="10"/>
      <c r="C19" s="10"/>
      <c r="D19" s="10"/>
      <c r="E19" s="10"/>
      <c r="F19" s="10"/>
      <c r="G19" s="10"/>
      <c r="H19" s="10"/>
      <c r="I19" s="10"/>
      <c r="J19" s="10"/>
      <c r="K19" s="10"/>
      <c r="L19" s="10"/>
      <c r="M19" s="10"/>
    </row>
    <row r="20" spans="1:13" x14ac:dyDescent="0.2">
      <c r="A20" s="10"/>
      <c r="B20" s="10"/>
      <c r="C20" s="10"/>
      <c r="D20" s="10"/>
      <c r="E20" s="10"/>
      <c r="F20" s="10"/>
      <c r="G20" s="10"/>
      <c r="H20" s="10"/>
      <c r="I20" s="10"/>
      <c r="J20" s="10"/>
      <c r="K20" s="10"/>
      <c r="L20" s="10"/>
      <c r="M20" s="10"/>
    </row>
    <row r="21" spans="1:13" x14ac:dyDescent="0.2">
      <c r="A21" s="10"/>
      <c r="B21" s="10"/>
      <c r="C21" s="10"/>
      <c r="D21" s="10"/>
      <c r="E21" s="10"/>
      <c r="F21" s="10"/>
      <c r="G21" s="10"/>
      <c r="H21" s="10"/>
      <c r="I21" s="10"/>
      <c r="J21" s="10"/>
      <c r="K21" s="10"/>
      <c r="L21" s="10"/>
      <c r="M21" s="10"/>
    </row>
    <row r="22" spans="1:13" x14ac:dyDescent="0.2">
      <c r="A22" s="10"/>
      <c r="B22" s="10"/>
      <c r="C22" s="10"/>
      <c r="D22" s="10"/>
      <c r="E22" s="10"/>
      <c r="F22" s="10"/>
      <c r="G22" s="10"/>
      <c r="H22" s="10"/>
      <c r="I22" s="10"/>
      <c r="J22" s="10"/>
      <c r="K22" s="10"/>
      <c r="L22" s="10"/>
      <c r="M22" s="10"/>
    </row>
    <row r="23" spans="1:13" x14ac:dyDescent="0.2">
      <c r="A23" s="10"/>
      <c r="B23" s="10"/>
      <c r="C23" s="10"/>
      <c r="D23" s="10"/>
      <c r="E23" s="10"/>
      <c r="F23" s="10"/>
      <c r="G23" s="10"/>
      <c r="H23" s="10"/>
      <c r="I23" s="10"/>
      <c r="J23" s="10"/>
      <c r="K23" s="10"/>
      <c r="L23" s="10"/>
      <c r="M23" s="10"/>
    </row>
    <row r="24" spans="1:13" x14ac:dyDescent="0.2">
      <c r="A24" s="10"/>
      <c r="B24" s="10"/>
      <c r="C24" s="10"/>
      <c r="D24" s="10"/>
      <c r="E24" s="10"/>
      <c r="F24" s="10"/>
      <c r="G24" s="10"/>
      <c r="H24" s="10"/>
      <c r="I24" s="10"/>
      <c r="J24" s="10"/>
      <c r="K24" s="10"/>
      <c r="L24" s="10"/>
      <c r="M24" s="10"/>
    </row>
    <row r="25" spans="1:13" x14ac:dyDescent="0.2">
      <c r="A25" s="10"/>
      <c r="B25" s="10"/>
      <c r="C25" s="10"/>
      <c r="D25" s="10"/>
      <c r="E25" s="10"/>
      <c r="F25" s="10"/>
      <c r="G25" s="10"/>
      <c r="H25" s="10"/>
      <c r="I25" s="10"/>
      <c r="J25" s="10"/>
      <c r="K25" s="10"/>
      <c r="L25" s="10"/>
      <c r="M25" s="10"/>
    </row>
    <row r="26" spans="1:13" x14ac:dyDescent="0.2">
      <c r="A26" s="10"/>
      <c r="B26" s="10"/>
      <c r="C26" s="10"/>
      <c r="D26" s="10"/>
      <c r="E26" s="10"/>
      <c r="F26" s="10"/>
      <c r="G26" s="10"/>
      <c r="H26" s="10"/>
      <c r="I26" s="10"/>
      <c r="J26" s="10"/>
      <c r="K26" s="10"/>
      <c r="L26" s="10"/>
      <c r="M26" s="10"/>
    </row>
    <row r="27" spans="1:13" x14ac:dyDescent="0.2">
      <c r="A27" s="10"/>
      <c r="B27" s="10"/>
      <c r="C27" s="10"/>
      <c r="D27" s="10"/>
      <c r="E27" s="10"/>
      <c r="F27" s="10"/>
      <c r="G27" s="10"/>
      <c r="H27" s="10"/>
      <c r="I27" s="10"/>
      <c r="J27" s="10"/>
      <c r="K27" s="10"/>
      <c r="L27" s="10"/>
      <c r="M27" s="10"/>
    </row>
    <row r="28" spans="1:13" x14ac:dyDescent="0.2">
      <c r="A28" s="10"/>
      <c r="B28" s="10"/>
      <c r="C28" s="10"/>
      <c r="D28" s="10"/>
      <c r="E28" s="10"/>
      <c r="F28" s="10"/>
      <c r="G28" s="10"/>
      <c r="H28" s="10"/>
      <c r="I28" s="10"/>
      <c r="J28" s="10"/>
      <c r="K28" s="10"/>
      <c r="L28" s="10"/>
      <c r="M28" s="10"/>
    </row>
    <row r="29" spans="1:13" x14ac:dyDescent="0.2">
      <c r="A29" s="10"/>
      <c r="B29" s="10"/>
      <c r="C29" s="10"/>
      <c r="D29" s="10"/>
      <c r="E29" s="10"/>
      <c r="F29" s="10"/>
      <c r="G29" s="10"/>
      <c r="H29" s="10"/>
      <c r="I29" s="10"/>
      <c r="J29" s="10"/>
      <c r="K29" s="10"/>
      <c r="L29" s="10"/>
      <c r="M29" s="10"/>
    </row>
    <row r="30" spans="1:13" x14ac:dyDescent="0.2">
      <c r="A30" s="10"/>
      <c r="B30" s="10"/>
      <c r="C30" s="10"/>
      <c r="D30" s="10"/>
      <c r="E30" s="10"/>
      <c r="F30" s="10"/>
      <c r="G30" s="10"/>
      <c r="H30" s="10"/>
      <c r="I30" s="10"/>
      <c r="J30" s="10"/>
      <c r="K30" s="10"/>
      <c r="L30" s="10"/>
      <c r="M30" s="10"/>
    </row>
    <row r="31" spans="1:13" x14ac:dyDescent="0.2">
      <c r="A31" s="10"/>
      <c r="B31" s="10"/>
      <c r="C31" s="10"/>
      <c r="D31" s="10"/>
      <c r="E31" s="10"/>
      <c r="F31" s="10"/>
      <c r="G31" s="10"/>
      <c r="H31" s="10"/>
      <c r="I31" s="10"/>
      <c r="J31" s="10"/>
      <c r="K31" s="10"/>
      <c r="L31" s="10"/>
      <c r="M31" s="10"/>
    </row>
    <row r="32" spans="1:13" x14ac:dyDescent="0.2">
      <c r="A32" s="10"/>
      <c r="B32" s="10"/>
      <c r="C32" s="10"/>
      <c r="D32" s="10"/>
      <c r="E32" s="10"/>
      <c r="F32" s="10"/>
      <c r="G32" s="10"/>
      <c r="H32" s="10"/>
      <c r="I32" s="10"/>
      <c r="J32" s="10"/>
      <c r="K32" s="10"/>
      <c r="L32" s="10"/>
      <c r="M32" s="10"/>
    </row>
    <row r="33" spans="1:13" x14ac:dyDescent="0.2">
      <c r="A33" s="10"/>
      <c r="B33" s="10"/>
      <c r="C33" s="10"/>
      <c r="D33" s="10"/>
      <c r="E33" s="10"/>
      <c r="F33" s="10"/>
      <c r="G33" s="10"/>
      <c r="H33" s="10"/>
      <c r="I33" s="10"/>
      <c r="J33" s="10"/>
      <c r="K33" s="10"/>
      <c r="L33" s="10"/>
      <c r="M33" s="10"/>
    </row>
    <row r="34" spans="1:13" x14ac:dyDescent="0.2">
      <c r="A34" s="10"/>
      <c r="B34" s="10"/>
      <c r="C34" s="10"/>
      <c r="D34" s="10"/>
      <c r="E34" s="10"/>
      <c r="F34" s="10"/>
      <c r="G34" s="10"/>
      <c r="H34" s="10"/>
      <c r="I34" s="10"/>
      <c r="J34" s="10"/>
      <c r="K34" s="10"/>
      <c r="L34" s="10"/>
      <c r="M34" s="10"/>
    </row>
    <row r="35" spans="1:13" x14ac:dyDescent="0.2">
      <c r="A35" s="10"/>
      <c r="B35" s="10"/>
      <c r="C35" s="10"/>
      <c r="D35" s="10"/>
      <c r="E35" s="10"/>
      <c r="F35" s="10"/>
      <c r="G35" s="10"/>
      <c r="H35" s="10"/>
      <c r="I35" s="10"/>
      <c r="J35" s="10"/>
      <c r="K35" s="10"/>
      <c r="L35" s="10"/>
      <c r="M35" s="10"/>
    </row>
    <row r="36" spans="1:13" x14ac:dyDescent="0.2">
      <c r="A36" s="10"/>
      <c r="B36" s="10"/>
      <c r="C36" s="10"/>
      <c r="D36" s="10"/>
      <c r="E36" s="10"/>
      <c r="F36" s="10"/>
      <c r="G36" s="10"/>
      <c r="H36" s="10"/>
      <c r="I36" s="10"/>
      <c r="J36" s="10"/>
      <c r="K36" s="10"/>
      <c r="L36" s="10"/>
      <c r="M36" s="10"/>
    </row>
    <row r="37" spans="1:13" x14ac:dyDescent="0.2">
      <c r="A37" s="10"/>
      <c r="B37" s="10"/>
      <c r="C37" s="10"/>
      <c r="D37" s="10"/>
      <c r="E37" s="10"/>
      <c r="F37" s="10"/>
      <c r="G37" s="10"/>
      <c r="H37" s="10"/>
      <c r="I37" s="10"/>
      <c r="J37" s="10"/>
      <c r="K37" s="10"/>
      <c r="L37" s="10"/>
      <c r="M37" s="10"/>
    </row>
    <row r="38" spans="1:13" x14ac:dyDescent="0.2">
      <c r="A38" s="10"/>
      <c r="B38" s="10"/>
      <c r="C38" s="10"/>
      <c r="D38" s="10"/>
      <c r="E38" s="10"/>
      <c r="F38" s="10"/>
      <c r="G38" s="10"/>
      <c r="H38" s="10"/>
      <c r="I38" s="10"/>
      <c r="J38" s="10"/>
      <c r="K38" s="10"/>
      <c r="L38" s="10"/>
      <c r="M38" s="10"/>
    </row>
    <row r="39" spans="1:13" x14ac:dyDescent="0.2">
      <c r="A39" s="10"/>
      <c r="B39" s="10"/>
      <c r="C39" s="10"/>
      <c r="D39" s="10"/>
      <c r="E39" s="10"/>
      <c r="F39" s="10"/>
      <c r="G39" s="10"/>
      <c r="H39" s="10"/>
      <c r="I39" s="10"/>
      <c r="J39" s="10"/>
      <c r="K39" s="10"/>
      <c r="L39" s="10"/>
      <c r="M39" s="10"/>
    </row>
    <row r="40" spans="1:13" x14ac:dyDescent="0.2">
      <c r="A40" s="10"/>
      <c r="B40" s="10"/>
      <c r="C40" s="10"/>
      <c r="D40" s="10"/>
      <c r="E40" s="10"/>
      <c r="F40" s="10"/>
      <c r="G40" s="10"/>
      <c r="H40" s="10"/>
      <c r="I40" s="10"/>
      <c r="J40" s="10"/>
      <c r="K40" s="10"/>
      <c r="L40" s="10"/>
      <c r="M40" s="10"/>
    </row>
    <row r="41" spans="1:13" x14ac:dyDescent="0.2">
      <c r="A41" s="10"/>
      <c r="B41" s="10"/>
      <c r="C41" s="10"/>
      <c r="D41" s="10"/>
      <c r="E41" s="10"/>
      <c r="F41" s="10"/>
      <c r="G41" s="10"/>
      <c r="H41" s="10"/>
      <c r="I41" s="10"/>
      <c r="J41" s="10"/>
      <c r="K41" s="10"/>
      <c r="L41" s="10"/>
      <c r="M41" s="10"/>
    </row>
    <row r="42" spans="1:13" x14ac:dyDescent="0.2">
      <c r="A42" s="10"/>
      <c r="B42" s="10"/>
      <c r="C42" s="10"/>
      <c r="D42" s="10"/>
      <c r="E42" s="10"/>
      <c r="F42" s="10"/>
      <c r="G42" s="10"/>
      <c r="H42" s="10"/>
      <c r="I42" s="10"/>
      <c r="J42" s="10"/>
      <c r="K42" s="10"/>
      <c r="L42" s="10"/>
      <c r="M42" s="10"/>
    </row>
    <row r="43" spans="1:13" x14ac:dyDescent="0.2">
      <c r="A43" s="10"/>
      <c r="B43" s="10"/>
      <c r="C43" s="10"/>
      <c r="D43" s="10"/>
      <c r="E43" s="10"/>
      <c r="F43" s="10"/>
      <c r="G43" s="10"/>
      <c r="H43" s="10"/>
      <c r="I43" s="10"/>
      <c r="J43" s="10"/>
      <c r="K43" s="10"/>
      <c r="L43" s="10"/>
      <c r="M43" s="10"/>
    </row>
    <row r="44" spans="1:13" x14ac:dyDescent="0.2">
      <c r="A44" s="10"/>
      <c r="B44" s="10"/>
      <c r="C44" s="10"/>
      <c r="D44" s="10"/>
      <c r="E44" s="10"/>
      <c r="F44" s="10"/>
      <c r="G44" s="10"/>
      <c r="H44" s="10"/>
      <c r="I44" s="10"/>
      <c r="J44" s="10"/>
      <c r="K44" s="10"/>
      <c r="L44" s="10"/>
      <c r="M44" s="10"/>
    </row>
    <row r="45" spans="1:13" x14ac:dyDescent="0.2">
      <c r="A45" s="10"/>
      <c r="B45" s="10"/>
      <c r="C45" s="10"/>
      <c r="D45" s="10"/>
      <c r="E45" s="10"/>
      <c r="F45" s="10"/>
      <c r="G45" s="10"/>
      <c r="H45" s="10"/>
      <c r="I45" s="10"/>
      <c r="J45" s="10"/>
      <c r="K45" s="10"/>
      <c r="L45" s="10"/>
      <c r="M45" s="10"/>
    </row>
    <row r="46" spans="1:13" x14ac:dyDescent="0.2">
      <c r="A46" s="10"/>
      <c r="B46" s="10"/>
      <c r="C46" s="10"/>
      <c r="D46" s="10"/>
      <c r="E46" s="10"/>
      <c r="F46" s="10"/>
      <c r="G46" s="10"/>
      <c r="H46" s="10"/>
      <c r="I46" s="10"/>
      <c r="J46" s="10"/>
      <c r="K46" s="10"/>
      <c r="L46" s="10"/>
      <c r="M46" s="10"/>
    </row>
    <row r="47" spans="1:13" x14ac:dyDescent="0.2">
      <c r="A47" s="10"/>
      <c r="B47" s="10"/>
      <c r="C47" s="10"/>
      <c r="D47" s="10"/>
      <c r="E47" s="10"/>
      <c r="F47" s="10"/>
      <c r="G47" s="10"/>
      <c r="H47" s="10"/>
      <c r="I47" s="10"/>
      <c r="J47" s="10"/>
      <c r="K47" s="10"/>
      <c r="L47" s="10"/>
      <c r="M47" s="10"/>
    </row>
    <row r="48" spans="1:13" x14ac:dyDescent="0.2">
      <c r="A48" s="10"/>
      <c r="B48" s="10"/>
      <c r="C48" s="10"/>
      <c r="D48" s="10"/>
      <c r="E48" s="10"/>
      <c r="F48" s="10"/>
      <c r="G48" s="10"/>
      <c r="H48" s="10"/>
      <c r="I48" s="10"/>
      <c r="J48" s="10"/>
      <c r="K48" s="10"/>
      <c r="L48" s="10"/>
      <c r="M48" s="10"/>
    </row>
    <row r="49" spans="1:13" x14ac:dyDescent="0.2">
      <c r="A49" s="10"/>
      <c r="B49" s="10"/>
      <c r="C49" s="10"/>
      <c r="D49" s="10"/>
      <c r="E49" s="10"/>
      <c r="F49" s="10"/>
      <c r="G49" s="10"/>
      <c r="H49" s="10"/>
      <c r="I49" s="10"/>
      <c r="J49" s="10"/>
      <c r="K49" s="10"/>
      <c r="L49" s="10"/>
      <c r="M49" s="10"/>
    </row>
    <row r="50" spans="1:13" x14ac:dyDescent="0.2">
      <c r="A50" s="10"/>
      <c r="B50" s="10"/>
      <c r="C50" s="10"/>
      <c r="D50" s="10"/>
      <c r="E50" s="10"/>
      <c r="F50" s="10"/>
      <c r="G50" s="10"/>
      <c r="H50" s="10"/>
      <c r="I50" s="10"/>
      <c r="J50" s="10"/>
      <c r="K50" s="10"/>
      <c r="L50" s="10"/>
      <c r="M50" s="10"/>
    </row>
    <row r="51" spans="1:13" x14ac:dyDescent="0.2">
      <c r="A51" s="10"/>
      <c r="B51" s="10"/>
      <c r="C51" s="10"/>
      <c r="D51" s="10"/>
      <c r="E51" s="10"/>
      <c r="F51" s="10"/>
      <c r="G51" s="10"/>
      <c r="H51" s="10"/>
      <c r="I51" s="10"/>
      <c r="J51" s="10"/>
      <c r="K51" s="10"/>
      <c r="L51" s="10"/>
      <c r="M51" s="10"/>
    </row>
    <row r="52" spans="1:13" x14ac:dyDescent="0.2">
      <c r="A52" s="10"/>
      <c r="B52" s="10"/>
      <c r="C52" s="10"/>
      <c r="D52" s="10"/>
      <c r="E52" s="10"/>
      <c r="F52" s="10"/>
      <c r="G52" s="10"/>
      <c r="H52" s="10"/>
      <c r="I52" s="10"/>
      <c r="J52" s="10"/>
      <c r="K52" s="10"/>
      <c r="L52" s="10"/>
      <c r="M52" s="10"/>
    </row>
    <row r="53" spans="1:13" x14ac:dyDescent="0.2">
      <c r="A53" s="10"/>
      <c r="B53" s="10"/>
      <c r="C53" s="10"/>
      <c r="D53" s="10"/>
      <c r="E53" s="10"/>
      <c r="F53" s="10"/>
      <c r="G53" s="10"/>
      <c r="H53" s="10"/>
      <c r="I53" s="10"/>
      <c r="J53" s="10"/>
      <c r="K53" s="10"/>
      <c r="L53" s="10"/>
      <c r="M53" s="10"/>
    </row>
    <row r="54" spans="1:13" x14ac:dyDescent="0.2">
      <c r="A54" s="10"/>
      <c r="B54" s="10"/>
      <c r="C54" s="10"/>
      <c r="D54" s="10"/>
      <c r="E54" s="10"/>
      <c r="F54" s="10"/>
      <c r="G54" s="10"/>
      <c r="H54" s="10"/>
      <c r="I54" s="10"/>
      <c r="J54" s="10"/>
      <c r="K54" s="10"/>
      <c r="L54" s="10"/>
      <c r="M54" s="10"/>
    </row>
    <row r="55" spans="1:13" x14ac:dyDescent="0.2">
      <c r="A55" s="10"/>
      <c r="B55" s="10"/>
      <c r="C55" s="10"/>
      <c r="D55" s="10"/>
      <c r="E55" s="10"/>
      <c r="F55" s="10"/>
      <c r="G55" s="10"/>
      <c r="H55" s="10"/>
      <c r="I55" s="10"/>
      <c r="J55" s="10"/>
      <c r="K55" s="10"/>
      <c r="L55" s="10"/>
      <c r="M55" s="10"/>
    </row>
    <row r="56" spans="1:13" x14ac:dyDescent="0.2">
      <c r="A56" s="10"/>
      <c r="B56" s="10"/>
      <c r="C56" s="10"/>
      <c r="D56" s="10"/>
      <c r="E56" s="10"/>
      <c r="F56" s="10"/>
      <c r="G56" s="10"/>
      <c r="H56" s="10"/>
      <c r="I56" s="10"/>
      <c r="J56" s="10"/>
      <c r="K56" s="10"/>
      <c r="L56" s="10"/>
      <c r="M56" s="10"/>
    </row>
  </sheetData>
  <mergeCells count="2">
    <mergeCell ref="A1:B1"/>
    <mergeCell ref="A6:B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8DE97-71F5-42EB-833E-6C2BE151CC77}">
  <dimension ref="A1:C116"/>
  <sheetViews>
    <sheetView showGridLines="0" workbookViewId="0">
      <selection activeCell="B4" sqref="B4:B13"/>
    </sheetView>
  </sheetViews>
  <sheetFormatPr baseColWidth="10" defaultRowHeight="15" x14ac:dyDescent="0.2"/>
  <cols>
    <col min="1" max="1" width="112.5" bestFit="1" customWidth="1"/>
    <col min="2" max="2" width="18" customWidth="1"/>
  </cols>
  <sheetData>
    <row r="1" spans="1:3" ht="16" x14ac:dyDescent="0.2">
      <c r="A1" s="72" t="s">
        <v>635</v>
      </c>
      <c r="B1" s="72"/>
      <c r="C1" s="2"/>
    </row>
    <row r="2" spans="1:3" s="10" customFormat="1" x14ac:dyDescent="0.2">
      <c r="A2" s="24" t="s">
        <v>41</v>
      </c>
      <c r="B2" s="24" t="s">
        <v>42</v>
      </c>
    </row>
    <row r="3" spans="1:3" s="10" customFormat="1" x14ac:dyDescent="0.2">
      <c r="A3" s="1" t="s">
        <v>129</v>
      </c>
      <c r="B3" s="18">
        <v>7096904860</v>
      </c>
    </row>
    <row r="4" spans="1:3" s="10" customFormat="1" x14ac:dyDescent="0.2">
      <c r="A4" s="15" t="s">
        <v>130</v>
      </c>
      <c r="B4" s="16">
        <v>2114490041</v>
      </c>
    </row>
    <row r="5" spans="1:3" s="10" customFormat="1" x14ac:dyDescent="0.2">
      <c r="A5" s="14" t="s">
        <v>131</v>
      </c>
      <c r="B5" s="16">
        <v>1360992016</v>
      </c>
    </row>
    <row r="6" spans="1:3" s="10" customFormat="1" x14ac:dyDescent="0.2">
      <c r="A6" s="14" t="s">
        <v>132</v>
      </c>
      <c r="B6" s="16">
        <v>212262225</v>
      </c>
    </row>
    <row r="7" spans="1:3" s="10" customFormat="1" x14ac:dyDescent="0.2">
      <c r="A7" s="14" t="s">
        <v>133</v>
      </c>
      <c r="B7" s="16">
        <v>541235800</v>
      </c>
    </row>
    <row r="8" spans="1:3" s="10" customFormat="1" x14ac:dyDescent="0.2">
      <c r="A8" s="15" t="s">
        <v>134</v>
      </c>
      <c r="B8" s="16">
        <v>2834767635</v>
      </c>
    </row>
    <row r="9" spans="1:3" s="10" customFormat="1" x14ac:dyDescent="0.2">
      <c r="A9" s="15" t="s">
        <v>135</v>
      </c>
      <c r="B9" s="16">
        <v>28514988</v>
      </c>
    </row>
    <row r="10" spans="1:3" s="10" customFormat="1" x14ac:dyDescent="0.2">
      <c r="A10" s="15" t="s">
        <v>136</v>
      </c>
      <c r="B10" s="16">
        <v>279602003</v>
      </c>
    </row>
    <row r="11" spans="1:3" s="10" customFormat="1" x14ac:dyDescent="0.2">
      <c r="A11" s="15" t="s">
        <v>137</v>
      </c>
      <c r="B11" s="16">
        <v>6834810</v>
      </c>
    </row>
    <row r="12" spans="1:3" s="10" customFormat="1" x14ac:dyDescent="0.2">
      <c r="A12" s="15" t="s">
        <v>138</v>
      </c>
      <c r="B12" s="16">
        <v>1685257746</v>
      </c>
    </row>
    <row r="13" spans="1:3" s="10" customFormat="1" x14ac:dyDescent="0.2">
      <c r="A13" s="15" t="s">
        <v>139</v>
      </c>
      <c r="B13" s="16">
        <v>147437637</v>
      </c>
    </row>
    <row r="14" spans="1:3" s="10" customFormat="1" x14ac:dyDescent="0.2">
      <c r="A14" s="1" t="s">
        <v>140</v>
      </c>
      <c r="B14" s="18">
        <v>7815320604</v>
      </c>
    </row>
    <row r="15" spans="1:3" s="10" customFormat="1" x14ac:dyDescent="0.2">
      <c r="A15" s="15" t="s">
        <v>141</v>
      </c>
      <c r="B15" s="16">
        <v>3524598340</v>
      </c>
    </row>
    <row r="16" spans="1:3" s="10" customFormat="1" x14ac:dyDescent="0.2">
      <c r="A16" s="15" t="s">
        <v>142</v>
      </c>
      <c r="B16" s="16">
        <v>589068474</v>
      </c>
    </row>
    <row r="17" spans="1:3" s="10" customFormat="1" x14ac:dyDescent="0.2">
      <c r="A17" s="15" t="s">
        <v>143</v>
      </c>
      <c r="B17" s="16">
        <v>626248193</v>
      </c>
    </row>
    <row r="18" spans="1:3" s="10" customFormat="1" x14ac:dyDescent="0.2">
      <c r="A18" s="15" t="s">
        <v>144</v>
      </c>
      <c r="B18" s="16">
        <v>447317281</v>
      </c>
    </row>
    <row r="19" spans="1:3" s="10" customFormat="1" x14ac:dyDescent="0.2">
      <c r="A19" s="15" t="s">
        <v>145</v>
      </c>
      <c r="B19" s="16">
        <v>313521193</v>
      </c>
    </row>
    <row r="20" spans="1:3" s="10" customFormat="1" x14ac:dyDescent="0.2">
      <c r="A20" s="15" t="s">
        <v>146</v>
      </c>
      <c r="B20" s="16">
        <v>79845462</v>
      </c>
    </row>
    <row r="21" spans="1:3" s="10" customFormat="1" x14ac:dyDescent="0.2">
      <c r="A21" s="15" t="s">
        <v>147</v>
      </c>
      <c r="B21" s="16">
        <v>171913091</v>
      </c>
    </row>
    <row r="22" spans="1:3" s="10" customFormat="1" x14ac:dyDescent="0.2">
      <c r="A22" s="15" t="s">
        <v>148</v>
      </c>
      <c r="B22" s="16">
        <v>172050506</v>
      </c>
    </row>
    <row r="23" spans="1:3" s="10" customFormat="1" x14ac:dyDescent="0.2">
      <c r="A23" s="15" t="s">
        <v>149</v>
      </c>
      <c r="B23" s="16">
        <v>521993351</v>
      </c>
    </row>
    <row r="24" spans="1:3" s="10" customFormat="1" x14ac:dyDescent="0.2">
      <c r="A24" s="15" t="s">
        <v>150</v>
      </c>
      <c r="B24" s="16">
        <v>1368764713</v>
      </c>
    </row>
    <row r="25" spans="1:3" s="10" customFormat="1" x14ac:dyDescent="0.2">
      <c r="A25" s="11" t="s">
        <v>153</v>
      </c>
      <c r="B25" s="17">
        <v>14912225464</v>
      </c>
    </row>
    <row r="26" spans="1:3" s="10" customFormat="1" x14ac:dyDescent="0.2">
      <c r="A26" s="6" t="s">
        <v>13</v>
      </c>
      <c r="B26" s="6"/>
      <c r="C26" s="6"/>
    </row>
    <row r="27" spans="1:3" s="10" customFormat="1" x14ac:dyDescent="0.2"/>
    <row r="28" spans="1:3" s="10" customFormat="1" x14ac:dyDescent="0.2"/>
    <row r="29" spans="1:3" s="10" customFormat="1" x14ac:dyDescent="0.2"/>
    <row r="30" spans="1:3" s="10" customFormat="1" x14ac:dyDescent="0.2"/>
    <row r="31" spans="1:3" s="10" customFormat="1" x14ac:dyDescent="0.2"/>
    <row r="32" spans="1:3" s="10" customFormat="1" x14ac:dyDescent="0.2"/>
    <row r="33" s="10" customFormat="1" x14ac:dyDescent="0.2"/>
    <row r="34" s="10" customFormat="1" x14ac:dyDescent="0.2"/>
    <row r="35" s="10" customFormat="1" x14ac:dyDescent="0.2"/>
    <row r="36" s="10" customFormat="1" x14ac:dyDescent="0.2"/>
    <row r="37" s="10" customFormat="1" x14ac:dyDescent="0.2"/>
    <row r="38" s="10" customFormat="1" x14ac:dyDescent="0.2"/>
    <row r="39" s="10" customFormat="1" x14ac:dyDescent="0.2"/>
    <row r="40" s="10" customFormat="1" x14ac:dyDescent="0.2"/>
    <row r="41" s="10" customFormat="1" x14ac:dyDescent="0.2"/>
    <row r="42" s="10" customFormat="1" x14ac:dyDescent="0.2"/>
    <row r="43" s="10" customFormat="1" x14ac:dyDescent="0.2"/>
    <row r="44" s="10" customFormat="1" x14ac:dyDescent="0.2"/>
    <row r="45" s="10" customFormat="1" x14ac:dyDescent="0.2"/>
    <row r="46" s="10" customFormat="1" x14ac:dyDescent="0.2"/>
    <row r="47" s="10" customFormat="1" x14ac:dyDescent="0.2"/>
    <row r="48" s="10" customFormat="1" x14ac:dyDescent="0.2"/>
    <row r="49" s="10" customFormat="1" x14ac:dyDescent="0.2"/>
    <row r="50" s="10" customFormat="1" x14ac:dyDescent="0.2"/>
    <row r="51" s="10" customFormat="1" x14ac:dyDescent="0.2"/>
    <row r="52" s="10" customFormat="1" x14ac:dyDescent="0.2"/>
    <row r="53" s="10" customFormat="1" x14ac:dyDescent="0.2"/>
    <row r="54" s="10" customFormat="1" x14ac:dyDescent="0.2"/>
    <row r="55" s="10" customFormat="1" x14ac:dyDescent="0.2"/>
    <row r="56" s="10" customFormat="1" x14ac:dyDescent="0.2"/>
    <row r="57" s="10" customFormat="1" x14ac:dyDescent="0.2"/>
    <row r="58" s="10" customFormat="1" x14ac:dyDescent="0.2"/>
    <row r="59" s="10" customFormat="1" x14ac:dyDescent="0.2"/>
    <row r="60" s="10" customFormat="1" x14ac:dyDescent="0.2"/>
    <row r="61" s="10" customFormat="1" x14ac:dyDescent="0.2"/>
    <row r="62" s="10" customFormat="1" x14ac:dyDescent="0.2"/>
    <row r="63" s="10" customFormat="1" x14ac:dyDescent="0.2"/>
    <row r="64" s="10" customFormat="1" x14ac:dyDescent="0.2"/>
    <row r="65" s="10" customFormat="1" x14ac:dyDescent="0.2"/>
    <row r="66" s="10" customFormat="1" x14ac:dyDescent="0.2"/>
    <row r="67" s="10" customFormat="1" x14ac:dyDescent="0.2"/>
    <row r="68" s="10" customFormat="1" x14ac:dyDescent="0.2"/>
    <row r="69" s="10" customFormat="1" x14ac:dyDescent="0.2"/>
    <row r="70" s="10" customFormat="1" x14ac:dyDescent="0.2"/>
    <row r="71" s="10" customFormat="1" x14ac:dyDescent="0.2"/>
    <row r="72" s="10" customFormat="1" x14ac:dyDescent="0.2"/>
    <row r="73" s="10" customFormat="1" x14ac:dyDescent="0.2"/>
    <row r="74" s="10" customFormat="1" x14ac:dyDescent="0.2"/>
    <row r="75" s="10" customFormat="1" x14ac:dyDescent="0.2"/>
    <row r="76" s="10" customFormat="1" x14ac:dyDescent="0.2"/>
    <row r="77" s="10" customFormat="1" x14ac:dyDescent="0.2"/>
    <row r="78" s="10" customFormat="1" x14ac:dyDescent="0.2"/>
    <row r="79" s="10" customFormat="1" x14ac:dyDescent="0.2"/>
    <row r="80" s="10" customFormat="1" x14ac:dyDescent="0.2"/>
    <row r="81" s="10" customFormat="1" x14ac:dyDescent="0.2"/>
    <row r="82" s="10" customFormat="1" x14ac:dyDescent="0.2"/>
    <row r="83" s="10" customFormat="1" x14ac:dyDescent="0.2"/>
    <row r="84" s="10" customFormat="1" x14ac:dyDescent="0.2"/>
    <row r="85" s="10" customFormat="1" x14ac:dyDescent="0.2"/>
    <row r="86" s="10" customFormat="1" x14ac:dyDescent="0.2"/>
    <row r="87" s="10" customFormat="1" x14ac:dyDescent="0.2"/>
    <row r="88" s="10" customFormat="1" x14ac:dyDescent="0.2"/>
    <row r="89" s="10" customFormat="1" x14ac:dyDescent="0.2"/>
    <row r="90" s="10" customFormat="1" x14ac:dyDescent="0.2"/>
    <row r="91" s="10" customFormat="1" x14ac:dyDescent="0.2"/>
    <row r="92" s="10" customFormat="1" x14ac:dyDescent="0.2"/>
    <row r="93" s="10" customFormat="1" x14ac:dyDescent="0.2"/>
    <row r="94" s="10" customFormat="1" x14ac:dyDescent="0.2"/>
    <row r="95" s="10" customFormat="1" x14ac:dyDescent="0.2"/>
    <row r="96" s="10" customFormat="1" x14ac:dyDescent="0.2"/>
    <row r="97" s="10" customFormat="1" x14ac:dyDescent="0.2"/>
    <row r="98" s="10" customFormat="1" x14ac:dyDescent="0.2"/>
    <row r="99" s="10" customFormat="1" x14ac:dyDescent="0.2"/>
    <row r="100" s="10" customFormat="1" x14ac:dyDescent="0.2"/>
    <row r="101" s="10" customFormat="1" x14ac:dyDescent="0.2"/>
    <row r="102" s="10" customFormat="1" x14ac:dyDescent="0.2"/>
    <row r="103" s="10" customFormat="1" x14ac:dyDescent="0.2"/>
    <row r="104" s="10" customFormat="1" x14ac:dyDescent="0.2"/>
    <row r="105" s="10" customFormat="1" x14ac:dyDescent="0.2"/>
    <row r="106" s="10" customFormat="1" x14ac:dyDescent="0.2"/>
    <row r="107" s="10" customFormat="1" x14ac:dyDescent="0.2"/>
    <row r="108" s="10" customFormat="1" x14ac:dyDescent="0.2"/>
    <row r="109" s="10" customFormat="1" x14ac:dyDescent="0.2"/>
    <row r="110" s="10" customFormat="1" x14ac:dyDescent="0.2"/>
    <row r="111" s="10" customFormat="1" x14ac:dyDescent="0.2"/>
    <row r="112" s="10" customFormat="1" x14ac:dyDescent="0.2"/>
    <row r="113" s="10" customFormat="1" x14ac:dyDescent="0.2"/>
    <row r="114" s="10" customFormat="1" x14ac:dyDescent="0.2"/>
    <row r="115" s="10" customFormat="1" x14ac:dyDescent="0.2"/>
    <row r="116" s="10" customFormat="1" x14ac:dyDescent="0.2"/>
  </sheetData>
  <mergeCells count="1">
    <mergeCell ref="A1:B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5730-79C4-404B-8FE4-041D8582BA4D}">
  <dimension ref="A1:K24"/>
  <sheetViews>
    <sheetView showGridLines="0" workbookViewId="0">
      <selection sqref="A1:B1"/>
    </sheetView>
  </sheetViews>
  <sheetFormatPr baseColWidth="10" defaultRowHeight="15" x14ac:dyDescent="0.2"/>
  <cols>
    <col min="1" max="1" width="99" bestFit="1" customWidth="1"/>
    <col min="2" max="2" width="19.5" customWidth="1"/>
  </cols>
  <sheetData>
    <row r="1" spans="1:11" ht="16" x14ac:dyDescent="0.2">
      <c r="A1" s="72" t="s">
        <v>636</v>
      </c>
      <c r="B1" s="72"/>
      <c r="C1" s="2"/>
    </row>
    <row r="2" spans="1:11" x14ac:dyDescent="0.2">
      <c r="A2" s="24" t="s">
        <v>41</v>
      </c>
      <c r="B2" s="24" t="s">
        <v>42</v>
      </c>
      <c r="C2" s="10"/>
      <c r="D2" s="10"/>
      <c r="E2" s="10"/>
      <c r="F2" s="10"/>
      <c r="G2" s="10"/>
      <c r="H2" s="10"/>
      <c r="I2" s="10"/>
      <c r="J2" s="10"/>
      <c r="K2" s="10"/>
    </row>
    <row r="3" spans="1:11" x14ac:dyDescent="0.2">
      <c r="A3" s="1" t="s">
        <v>120</v>
      </c>
      <c r="B3" s="18">
        <v>12183900819</v>
      </c>
      <c r="C3" s="10"/>
      <c r="D3" s="10"/>
      <c r="E3" s="10"/>
      <c r="F3" s="10"/>
      <c r="G3" s="10"/>
      <c r="H3" s="10"/>
      <c r="I3" s="10"/>
      <c r="J3" s="10"/>
      <c r="K3" s="10"/>
    </row>
    <row r="4" spans="1:11" x14ac:dyDescent="0.2">
      <c r="A4" s="15" t="s">
        <v>121</v>
      </c>
      <c r="B4" s="16">
        <v>1448557428</v>
      </c>
      <c r="C4" s="10"/>
      <c r="D4" s="10"/>
      <c r="E4" s="10"/>
      <c r="F4" s="10"/>
      <c r="G4" s="10"/>
      <c r="H4" s="10"/>
      <c r="I4" s="10"/>
      <c r="J4" s="10"/>
      <c r="K4" s="10"/>
    </row>
    <row r="5" spans="1:11" x14ac:dyDescent="0.2">
      <c r="A5" s="15" t="s">
        <v>122</v>
      </c>
      <c r="B5" s="16">
        <v>1157466665</v>
      </c>
      <c r="C5" s="10"/>
      <c r="D5" s="10"/>
      <c r="E5" s="10"/>
      <c r="F5" s="10"/>
      <c r="G5" s="10"/>
      <c r="H5" s="10"/>
      <c r="I5" s="10"/>
      <c r="J5" s="10"/>
      <c r="K5" s="10"/>
    </row>
    <row r="6" spans="1:11" x14ac:dyDescent="0.2">
      <c r="A6" s="15" t="s">
        <v>123</v>
      </c>
      <c r="B6" s="16">
        <v>8157452081</v>
      </c>
      <c r="C6" s="10"/>
      <c r="D6" s="10"/>
      <c r="E6" s="10"/>
      <c r="F6" s="10"/>
      <c r="G6" s="10"/>
      <c r="H6" s="10"/>
      <c r="I6" s="10"/>
      <c r="J6" s="10"/>
      <c r="K6" s="10"/>
    </row>
    <row r="7" spans="1:11" x14ac:dyDescent="0.2">
      <c r="A7" s="15" t="s">
        <v>124</v>
      </c>
      <c r="B7" s="16">
        <v>315107243</v>
      </c>
      <c r="C7" s="10"/>
      <c r="D7" s="10"/>
      <c r="E7" s="10"/>
      <c r="F7" s="10"/>
      <c r="G7" s="10"/>
      <c r="H7" s="10"/>
      <c r="I7" s="10"/>
      <c r="J7" s="10"/>
      <c r="K7" s="10"/>
    </row>
    <row r="8" spans="1:11" x14ac:dyDescent="0.2">
      <c r="A8" s="15" t="s">
        <v>125</v>
      </c>
      <c r="B8" s="16">
        <v>1105317402</v>
      </c>
      <c r="C8" s="10"/>
      <c r="D8" s="10"/>
      <c r="E8" s="10"/>
      <c r="F8" s="10"/>
      <c r="G8" s="10"/>
      <c r="H8" s="10"/>
      <c r="I8" s="10"/>
      <c r="J8" s="10"/>
      <c r="K8" s="10"/>
    </row>
    <row r="9" spans="1:11" x14ac:dyDescent="0.2">
      <c r="A9" s="1" t="s">
        <v>126</v>
      </c>
      <c r="B9" s="18">
        <v>2728324645</v>
      </c>
      <c r="C9" s="10"/>
      <c r="D9" s="10"/>
      <c r="E9" s="10"/>
      <c r="F9" s="10"/>
      <c r="G9" s="10"/>
      <c r="H9" s="10"/>
      <c r="I9" s="10"/>
      <c r="J9" s="10"/>
      <c r="K9" s="10"/>
    </row>
    <row r="10" spans="1:11" x14ac:dyDescent="0.2">
      <c r="A10" s="15" t="s">
        <v>127</v>
      </c>
      <c r="B10" s="16">
        <v>2580887008</v>
      </c>
      <c r="C10" s="10"/>
      <c r="D10" s="10"/>
      <c r="E10" s="10"/>
      <c r="F10" s="10"/>
      <c r="G10" s="10"/>
      <c r="H10" s="10"/>
      <c r="I10" s="10"/>
      <c r="J10" s="10"/>
      <c r="K10" s="10"/>
    </row>
    <row r="11" spans="1:11" x14ac:dyDescent="0.2">
      <c r="A11" s="15" t="s">
        <v>128</v>
      </c>
      <c r="B11" s="16">
        <v>147437637</v>
      </c>
      <c r="C11" s="10"/>
      <c r="D11" s="10"/>
      <c r="E11" s="10"/>
      <c r="F11" s="10"/>
      <c r="G11" s="10"/>
      <c r="H11" s="10"/>
      <c r="I11" s="10"/>
      <c r="J11" s="10"/>
      <c r="K11" s="10"/>
    </row>
    <row r="12" spans="1:11" x14ac:dyDescent="0.2">
      <c r="A12" s="11" t="s">
        <v>8</v>
      </c>
      <c r="B12" s="17">
        <v>14912225464</v>
      </c>
      <c r="C12" s="10"/>
      <c r="D12" s="10"/>
      <c r="E12" s="10"/>
      <c r="F12" s="10"/>
      <c r="G12" s="10"/>
      <c r="H12" s="10"/>
      <c r="I12" s="10"/>
      <c r="J12" s="10"/>
      <c r="K12" s="10"/>
    </row>
    <row r="13" spans="1:11" x14ac:dyDescent="0.2">
      <c r="A13" s="78" t="s">
        <v>13</v>
      </c>
      <c r="B13" s="78"/>
      <c r="C13" s="10"/>
      <c r="D13" s="10"/>
      <c r="E13" s="10"/>
      <c r="F13" s="10"/>
      <c r="G13" s="10"/>
      <c r="H13" s="10"/>
      <c r="I13" s="10"/>
      <c r="J13" s="10"/>
      <c r="K13" s="10"/>
    </row>
    <row r="14" spans="1:11" x14ac:dyDescent="0.2">
      <c r="A14" s="10"/>
      <c r="B14" s="10"/>
      <c r="C14" s="10"/>
      <c r="D14" s="10"/>
      <c r="E14" s="10"/>
      <c r="F14" s="10"/>
      <c r="G14" s="10"/>
      <c r="H14" s="10"/>
      <c r="I14" s="10"/>
      <c r="J14" s="10"/>
      <c r="K14" s="10"/>
    </row>
    <row r="15" spans="1:11" x14ac:dyDescent="0.2">
      <c r="A15" s="10"/>
      <c r="B15" s="10"/>
      <c r="C15" s="10"/>
      <c r="D15" s="10"/>
      <c r="E15" s="10"/>
      <c r="F15" s="10"/>
      <c r="G15" s="10"/>
      <c r="H15" s="10"/>
      <c r="I15" s="10"/>
      <c r="J15" s="10"/>
      <c r="K15" s="10"/>
    </row>
    <row r="16" spans="1:11" x14ac:dyDescent="0.2">
      <c r="A16" s="10"/>
      <c r="B16" s="10"/>
      <c r="C16" s="10"/>
      <c r="D16" s="10"/>
      <c r="E16" s="10"/>
      <c r="F16" s="10"/>
      <c r="G16" s="10"/>
      <c r="H16" s="10"/>
      <c r="I16" s="10"/>
      <c r="J16" s="10"/>
      <c r="K16" s="10"/>
    </row>
    <row r="17" spans="1:11" x14ac:dyDescent="0.2">
      <c r="A17" s="10"/>
      <c r="B17" s="10"/>
      <c r="C17" s="10"/>
      <c r="D17" s="10"/>
      <c r="E17" s="10"/>
      <c r="F17" s="10"/>
      <c r="G17" s="10"/>
      <c r="H17" s="10"/>
      <c r="I17" s="10"/>
      <c r="J17" s="10"/>
      <c r="K17" s="10"/>
    </row>
    <row r="18" spans="1:11" x14ac:dyDescent="0.2">
      <c r="A18" s="10"/>
      <c r="B18" s="10"/>
      <c r="C18" s="10"/>
      <c r="D18" s="10"/>
      <c r="E18" s="10"/>
      <c r="F18" s="10"/>
      <c r="G18" s="10"/>
      <c r="H18" s="10"/>
      <c r="I18" s="10"/>
      <c r="J18" s="10"/>
      <c r="K18" s="10"/>
    </row>
    <row r="19" spans="1:11" x14ac:dyDescent="0.2">
      <c r="A19" s="10"/>
      <c r="B19" s="10"/>
      <c r="C19" s="10"/>
      <c r="D19" s="10"/>
      <c r="E19" s="10"/>
      <c r="F19" s="10"/>
      <c r="G19" s="10"/>
      <c r="H19" s="10"/>
      <c r="I19" s="10"/>
      <c r="J19" s="10"/>
      <c r="K19" s="10"/>
    </row>
    <row r="20" spans="1:11" x14ac:dyDescent="0.2">
      <c r="A20" s="10"/>
      <c r="B20" s="10"/>
      <c r="C20" s="10"/>
      <c r="D20" s="10"/>
      <c r="E20" s="10"/>
      <c r="F20" s="10"/>
      <c r="G20" s="10"/>
      <c r="H20" s="10"/>
      <c r="I20" s="10"/>
      <c r="J20" s="10"/>
      <c r="K20" s="10"/>
    </row>
    <row r="21" spans="1:11" x14ac:dyDescent="0.2">
      <c r="A21" s="10"/>
      <c r="B21" s="10"/>
      <c r="C21" s="10"/>
      <c r="D21" s="10"/>
      <c r="E21" s="10"/>
      <c r="F21" s="10"/>
      <c r="G21" s="10"/>
      <c r="H21" s="10"/>
      <c r="I21" s="10"/>
      <c r="J21" s="10"/>
      <c r="K21" s="10"/>
    </row>
    <row r="22" spans="1:11" x14ac:dyDescent="0.2">
      <c r="A22" s="10"/>
      <c r="B22" s="10"/>
      <c r="C22" s="10"/>
      <c r="D22" s="10"/>
      <c r="E22" s="10"/>
      <c r="F22" s="10"/>
      <c r="G22" s="10"/>
      <c r="H22" s="10"/>
      <c r="I22" s="10"/>
      <c r="J22" s="10"/>
      <c r="K22" s="10"/>
    </row>
    <row r="23" spans="1:11" x14ac:dyDescent="0.2">
      <c r="A23" s="10"/>
      <c r="B23" s="10"/>
      <c r="C23" s="10"/>
      <c r="D23" s="10"/>
      <c r="E23" s="10"/>
      <c r="F23" s="10"/>
      <c r="G23" s="10"/>
      <c r="H23" s="10"/>
      <c r="I23" s="10"/>
      <c r="J23" s="10"/>
      <c r="K23" s="10"/>
    </row>
    <row r="24" spans="1:11" x14ac:dyDescent="0.2">
      <c r="A24" s="10"/>
      <c r="B24" s="10"/>
      <c r="C24" s="10"/>
      <c r="D24" s="10"/>
      <c r="E24" s="10"/>
      <c r="F24" s="10"/>
      <c r="G24" s="10"/>
      <c r="H24" s="10"/>
      <c r="I24" s="10"/>
      <c r="J24" s="10"/>
      <c r="K24" s="10"/>
    </row>
  </sheetData>
  <mergeCells count="2">
    <mergeCell ref="A1:B1"/>
    <mergeCell ref="A13:B1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23F3F-1AF8-4F73-B24C-8154D889608B}">
  <dimension ref="A1:D49"/>
  <sheetViews>
    <sheetView showGridLines="0" topLeftCell="A33" zoomScaleNormal="100" workbookViewId="0">
      <selection activeCell="C2" sqref="C2"/>
    </sheetView>
  </sheetViews>
  <sheetFormatPr baseColWidth="10" defaultRowHeight="15" x14ac:dyDescent="0.2"/>
  <cols>
    <col min="1" max="1" width="9.1640625" customWidth="1"/>
    <col min="2" max="2" width="92.1640625" bestFit="1" customWidth="1"/>
    <col min="3" max="3" width="15.1640625" bestFit="1" customWidth="1"/>
  </cols>
  <sheetData>
    <row r="1" spans="1:3" ht="16" x14ac:dyDescent="0.2">
      <c r="A1" s="72" t="s">
        <v>627</v>
      </c>
      <c r="B1" s="72"/>
      <c r="C1" s="72"/>
    </row>
    <row r="2" spans="1:3" x14ac:dyDescent="0.2">
      <c r="A2" s="24" t="s">
        <v>74</v>
      </c>
      <c r="B2" s="24" t="s">
        <v>14</v>
      </c>
      <c r="C2" s="24" t="s">
        <v>42</v>
      </c>
    </row>
    <row r="3" spans="1:3" x14ac:dyDescent="0.2">
      <c r="A3" s="26" t="s">
        <v>341</v>
      </c>
      <c r="B3" s="10" t="s">
        <v>75</v>
      </c>
      <c r="C3" s="16">
        <v>112381660</v>
      </c>
    </row>
    <row r="4" spans="1:3" x14ac:dyDescent="0.2">
      <c r="A4" s="26" t="s">
        <v>342</v>
      </c>
      <c r="B4" s="10" t="s">
        <v>76</v>
      </c>
      <c r="C4" s="16">
        <v>171723421</v>
      </c>
    </row>
    <row r="5" spans="1:3" x14ac:dyDescent="0.2">
      <c r="A5" s="26" t="s">
        <v>343</v>
      </c>
      <c r="B5" s="10" t="s">
        <v>77</v>
      </c>
      <c r="C5" s="16">
        <v>340618586</v>
      </c>
    </row>
    <row r="6" spans="1:3" x14ac:dyDescent="0.2">
      <c r="A6" s="26" t="s">
        <v>344</v>
      </c>
      <c r="B6" s="10" t="s">
        <v>78</v>
      </c>
      <c r="C6" s="16">
        <v>52542930</v>
      </c>
    </row>
    <row r="7" spans="1:3" x14ac:dyDescent="0.2">
      <c r="A7" s="26" t="s">
        <v>345</v>
      </c>
      <c r="B7" s="10" t="s">
        <v>79</v>
      </c>
      <c r="C7" s="16">
        <v>60345985</v>
      </c>
    </row>
    <row r="8" spans="1:3" x14ac:dyDescent="0.2">
      <c r="A8" s="26" t="s">
        <v>346</v>
      </c>
      <c r="B8" s="10" t="s">
        <v>80</v>
      </c>
      <c r="C8" s="16">
        <v>25776835</v>
      </c>
    </row>
    <row r="9" spans="1:3" x14ac:dyDescent="0.2">
      <c r="A9" s="26" t="s">
        <v>347</v>
      </c>
      <c r="B9" s="10" t="s">
        <v>81</v>
      </c>
      <c r="C9" s="16">
        <v>19449940</v>
      </c>
    </row>
    <row r="10" spans="1:3" x14ac:dyDescent="0.2">
      <c r="A10" s="26" t="s">
        <v>348</v>
      </c>
      <c r="B10" s="10" t="s">
        <v>82</v>
      </c>
      <c r="C10" s="16">
        <v>22927325</v>
      </c>
    </row>
    <row r="11" spans="1:3" x14ac:dyDescent="0.2">
      <c r="A11" s="26" t="s">
        <v>349</v>
      </c>
      <c r="B11" s="10" t="s">
        <v>83</v>
      </c>
      <c r="C11" s="16">
        <v>8229405</v>
      </c>
    </row>
    <row r="12" spans="1:3" x14ac:dyDescent="0.2">
      <c r="A12" s="26" t="s">
        <v>350</v>
      </c>
      <c r="B12" s="10" t="s">
        <v>84</v>
      </c>
      <c r="C12" s="16">
        <v>59543589</v>
      </c>
    </row>
    <row r="13" spans="1:3" x14ac:dyDescent="0.2">
      <c r="A13" s="26" t="s">
        <v>351</v>
      </c>
      <c r="B13" s="10" t="s">
        <v>85</v>
      </c>
      <c r="C13" s="16">
        <v>9888665</v>
      </c>
    </row>
    <row r="14" spans="1:3" x14ac:dyDescent="0.2">
      <c r="A14" s="26" t="s">
        <v>352</v>
      </c>
      <c r="B14" s="10" t="s">
        <v>86</v>
      </c>
      <c r="C14" s="16">
        <v>23866189</v>
      </c>
    </row>
    <row r="15" spans="1:3" x14ac:dyDescent="0.2">
      <c r="A15" s="26" t="s">
        <v>353</v>
      </c>
      <c r="B15" s="10" t="s">
        <v>87</v>
      </c>
      <c r="C15" s="16">
        <v>14458622</v>
      </c>
    </row>
    <row r="16" spans="1:3" x14ac:dyDescent="0.2">
      <c r="A16" s="26" t="s">
        <v>354</v>
      </c>
      <c r="B16" s="10" t="s">
        <v>88</v>
      </c>
      <c r="C16" s="16">
        <v>491150752</v>
      </c>
    </row>
    <row r="17" spans="1:3" x14ac:dyDescent="0.2">
      <c r="A17" s="26" t="s">
        <v>355</v>
      </c>
      <c r="B17" s="10" t="s">
        <v>89</v>
      </c>
      <c r="C17" s="16">
        <v>330589598</v>
      </c>
    </row>
    <row r="18" spans="1:3" x14ac:dyDescent="0.2">
      <c r="A18" s="26" t="s">
        <v>356</v>
      </c>
      <c r="B18" s="10" t="s">
        <v>90</v>
      </c>
      <c r="C18" s="16">
        <v>121978210</v>
      </c>
    </row>
    <row r="19" spans="1:3" x14ac:dyDescent="0.2">
      <c r="A19" s="26" t="s">
        <v>357</v>
      </c>
      <c r="B19" s="10" t="s">
        <v>91</v>
      </c>
      <c r="C19" s="16">
        <v>13078513</v>
      </c>
    </row>
    <row r="20" spans="1:3" x14ac:dyDescent="0.2">
      <c r="A20" s="26" t="s">
        <v>358</v>
      </c>
      <c r="B20" s="10" t="s">
        <v>92</v>
      </c>
      <c r="C20" s="16">
        <v>1782866</v>
      </c>
    </row>
    <row r="21" spans="1:3" x14ac:dyDescent="0.2">
      <c r="A21" s="26" t="s">
        <v>366</v>
      </c>
      <c r="B21" s="10" t="s">
        <v>93</v>
      </c>
      <c r="C21" s="16">
        <v>168885018</v>
      </c>
    </row>
    <row r="22" spans="1:3" x14ac:dyDescent="0.2">
      <c r="A22" s="26" t="s">
        <v>359</v>
      </c>
      <c r="B22" s="10" t="s">
        <v>94</v>
      </c>
      <c r="C22" s="16">
        <v>8625163</v>
      </c>
    </row>
    <row r="23" spans="1:3" x14ac:dyDescent="0.2">
      <c r="A23" s="26" t="s">
        <v>360</v>
      </c>
      <c r="B23" s="10" t="s">
        <v>95</v>
      </c>
      <c r="C23" s="16">
        <v>9669316</v>
      </c>
    </row>
    <row r="24" spans="1:3" x14ac:dyDescent="0.2">
      <c r="A24" s="26" t="s">
        <v>361</v>
      </c>
      <c r="B24" s="10" t="s">
        <v>96</v>
      </c>
      <c r="C24" s="16">
        <v>223251107</v>
      </c>
    </row>
    <row r="25" spans="1:3" x14ac:dyDescent="0.2">
      <c r="A25" s="26" t="s">
        <v>362</v>
      </c>
      <c r="B25" s="10" t="s">
        <v>97</v>
      </c>
      <c r="C25" s="16">
        <v>28970910</v>
      </c>
    </row>
    <row r="26" spans="1:3" x14ac:dyDescent="0.2">
      <c r="A26" s="26" t="s">
        <v>363</v>
      </c>
      <c r="B26" s="10" t="s">
        <v>98</v>
      </c>
      <c r="C26" s="16">
        <v>19108386</v>
      </c>
    </row>
    <row r="27" spans="1:3" x14ac:dyDescent="0.2">
      <c r="A27" s="26" t="s">
        <v>364</v>
      </c>
      <c r="B27" s="10" t="s">
        <v>99</v>
      </c>
      <c r="C27" s="16">
        <v>6546861</v>
      </c>
    </row>
    <row r="28" spans="1:3" x14ac:dyDescent="0.2">
      <c r="A28" s="26" t="s">
        <v>365</v>
      </c>
      <c r="B28" s="10" t="s">
        <v>100</v>
      </c>
      <c r="C28" s="16">
        <v>69216835</v>
      </c>
    </row>
    <row r="29" spans="1:3" x14ac:dyDescent="0.2">
      <c r="A29" s="26" t="s">
        <v>367</v>
      </c>
      <c r="B29" s="10" t="s">
        <v>101</v>
      </c>
      <c r="C29" s="16">
        <v>30628728</v>
      </c>
    </row>
    <row r="30" spans="1:3" x14ac:dyDescent="0.2">
      <c r="A30" s="26" t="s">
        <v>368</v>
      </c>
      <c r="B30" s="10" t="s">
        <v>102</v>
      </c>
      <c r="C30" s="16">
        <v>1157992590</v>
      </c>
    </row>
    <row r="31" spans="1:3" x14ac:dyDescent="0.2">
      <c r="A31" s="26" t="s">
        <v>369</v>
      </c>
      <c r="B31" s="10" t="s">
        <v>103</v>
      </c>
      <c r="C31" s="16">
        <v>15476262</v>
      </c>
    </row>
    <row r="32" spans="1:3" x14ac:dyDescent="0.2">
      <c r="A32" s="26" t="s">
        <v>370</v>
      </c>
      <c r="B32" s="10" t="s">
        <v>104</v>
      </c>
      <c r="C32" s="16">
        <v>183205960</v>
      </c>
    </row>
    <row r="33" spans="1:3" x14ac:dyDescent="0.2">
      <c r="A33" s="26" t="s">
        <v>371</v>
      </c>
      <c r="B33" s="10" t="s">
        <v>105</v>
      </c>
      <c r="C33" s="16">
        <v>7935763</v>
      </c>
    </row>
    <row r="34" spans="1:3" x14ac:dyDescent="0.2">
      <c r="A34" s="26" t="s">
        <v>372</v>
      </c>
      <c r="B34" s="10" t="s">
        <v>106</v>
      </c>
      <c r="C34" s="16">
        <v>91970587</v>
      </c>
    </row>
    <row r="35" spans="1:3" x14ac:dyDescent="0.2">
      <c r="A35" s="26" t="s">
        <v>373</v>
      </c>
      <c r="B35" s="10" t="s">
        <v>107</v>
      </c>
      <c r="C35" s="16">
        <v>9883812</v>
      </c>
    </row>
    <row r="36" spans="1:3" x14ac:dyDescent="0.2">
      <c r="A36" s="26" t="s">
        <v>374</v>
      </c>
      <c r="B36" s="10" t="s">
        <v>108</v>
      </c>
      <c r="C36" s="16">
        <v>17818991</v>
      </c>
    </row>
    <row r="37" spans="1:3" x14ac:dyDescent="0.2">
      <c r="A37" s="26" t="s">
        <v>375</v>
      </c>
      <c r="B37" s="10" t="s">
        <v>109</v>
      </c>
      <c r="C37" s="16">
        <v>16450085</v>
      </c>
    </row>
    <row r="38" spans="1:3" x14ac:dyDescent="0.2">
      <c r="A38" s="26" t="s">
        <v>376</v>
      </c>
      <c r="B38" s="10" t="s">
        <v>110</v>
      </c>
      <c r="C38" s="16">
        <v>222057867</v>
      </c>
    </row>
    <row r="39" spans="1:3" x14ac:dyDescent="0.2">
      <c r="A39" s="26" t="s">
        <v>377</v>
      </c>
      <c r="B39" s="10" t="s">
        <v>111</v>
      </c>
      <c r="C39" s="16">
        <v>18136211</v>
      </c>
    </row>
    <row r="40" spans="1:3" x14ac:dyDescent="0.2">
      <c r="A40" s="26" t="s">
        <v>378</v>
      </c>
      <c r="B40" s="10" t="s">
        <v>112</v>
      </c>
      <c r="C40" s="16">
        <v>9245992</v>
      </c>
    </row>
    <row r="41" spans="1:3" x14ac:dyDescent="0.2">
      <c r="A41" s="26" t="s">
        <v>379</v>
      </c>
      <c r="B41" s="10" t="s">
        <v>113</v>
      </c>
      <c r="C41" s="16">
        <v>3993865</v>
      </c>
    </row>
    <row r="42" spans="1:3" x14ac:dyDescent="0.2">
      <c r="A42" s="26" t="s">
        <v>380</v>
      </c>
      <c r="B42" s="10" t="s">
        <v>114</v>
      </c>
      <c r="C42" s="16">
        <v>1397773</v>
      </c>
    </row>
    <row r="43" spans="1:3" x14ac:dyDescent="0.2">
      <c r="A43" s="26" t="s">
        <v>381</v>
      </c>
      <c r="B43" s="10" t="s">
        <v>115</v>
      </c>
      <c r="C43" s="16">
        <v>27679703</v>
      </c>
    </row>
    <row r="44" spans="1:3" x14ac:dyDescent="0.2">
      <c r="A44" s="26" t="s">
        <v>382</v>
      </c>
      <c r="B44" s="10" t="s">
        <v>116</v>
      </c>
      <c r="C44" s="16">
        <v>111983157</v>
      </c>
    </row>
    <row r="45" spans="1:3" x14ac:dyDescent="0.2">
      <c r="A45" s="26" t="s">
        <v>383</v>
      </c>
      <c r="B45" s="10" t="s">
        <v>117</v>
      </c>
      <c r="C45" s="16">
        <v>23371233</v>
      </c>
    </row>
    <row r="46" spans="1:3" x14ac:dyDescent="0.2">
      <c r="A46" s="26" t="s">
        <v>384</v>
      </c>
      <c r="B46" s="10" t="s">
        <v>118</v>
      </c>
      <c r="C46" s="16">
        <v>118666049</v>
      </c>
    </row>
    <row r="47" spans="1:3" x14ac:dyDescent="0.2">
      <c r="A47" s="26" t="s">
        <v>385</v>
      </c>
      <c r="B47" s="10" t="s">
        <v>119</v>
      </c>
      <c r="C47" s="16">
        <v>975214</v>
      </c>
    </row>
    <row r="48" spans="1:3" x14ac:dyDescent="0.2">
      <c r="A48" s="11" t="s">
        <v>8</v>
      </c>
      <c r="B48" s="11"/>
      <c r="C48" s="17">
        <v>4483476529</v>
      </c>
    </row>
    <row r="49" spans="1:4" x14ac:dyDescent="0.2">
      <c r="A49" s="87" t="s">
        <v>13</v>
      </c>
      <c r="B49" s="87"/>
      <c r="C49" s="87"/>
      <c r="D49" s="87"/>
    </row>
  </sheetData>
  <mergeCells count="2">
    <mergeCell ref="A49:D49"/>
    <mergeCell ref="A1:C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88D11-E140-458D-A370-3889063EBBB6}">
  <dimension ref="A1:D35"/>
  <sheetViews>
    <sheetView showGridLines="0" zoomScale="85" zoomScaleNormal="85" workbookViewId="0">
      <selection sqref="A1:C1"/>
    </sheetView>
  </sheetViews>
  <sheetFormatPr baseColWidth="10" defaultRowHeight="15" x14ac:dyDescent="0.2"/>
  <cols>
    <col min="1" max="1" width="9.6640625" customWidth="1"/>
    <col min="2" max="2" width="78.83203125" customWidth="1"/>
    <col min="3" max="3" width="21.6640625" customWidth="1"/>
  </cols>
  <sheetData>
    <row r="1" spans="1:4" ht="16" x14ac:dyDescent="0.2">
      <c r="A1" s="88" t="s">
        <v>638</v>
      </c>
      <c r="B1" s="88"/>
      <c r="C1" s="88"/>
      <c r="D1" s="40"/>
    </row>
    <row r="2" spans="1:4" x14ac:dyDescent="0.2">
      <c r="A2" s="24" t="s">
        <v>40</v>
      </c>
      <c r="B2" s="24" t="s">
        <v>41</v>
      </c>
      <c r="C2" s="24" t="s">
        <v>42</v>
      </c>
    </row>
    <row r="3" spans="1:4" x14ac:dyDescent="0.2">
      <c r="A3" s="26" t="s">
        <v>341</v>
      </c>
      <c r="B3" s="10" t="s">
        <v>43</v>
      </c>
      <c r="C3" s="16">
        <v>154370601</v>
      </c>
    </row>
    <row r="4" spans="1:4" x14ac:dyDescent="0.2">
      <c r="A4" s="26" t="s">
        <v>342</v>
      </c>
      <c r="B4" s="10" t="s">
        <v>44</v>
      </c>
      <c r="C4" s="16">
        <v>272220810</v>
      </c>
    </row>
    <row r="5" spans="1:4" x14ac:dyDescent="0.2">
      <c r="A5" s="26" t="s">
        <v>343</v>
      </c>
      <c r="B5" s="10" t="s">
        <v>45</v>
      </c>
      <c r="C5" s="16">
        <v>353706176</v>
      </c>
    </row>
    <row r="6" spans="1:4" x14ac:dyDescent="0.2">
      <c r="A6" s="26" t="s">
        <v>344</v>
      </c>
      <c r="B6" s="10" t="s">
        <v>46</v>
      </c>
      <c r="C6" s="16">
        <v>24975413</v>
      </c>
    </row>
    <row r="7" spans="1:4" x14ac:dyDescent="0.2">
      <c r="A7" s="26" t="s">
        <v>345</v>
      </c>
      <c r="B7" s="10" t="s">
        <v>47</v>
      </c>
      <c r="C7" s="16">
        <v>3999446605</v>
      </c>
    </row>
    <row r="8" spans="1:4" x14ac:dyDescent="0.2">
      <c r="A8" s="26" t="s">
        <v>346</v>
      </c>
      <c r="B8" s="10" t="s">
        <v>48</v>
      </c>
      <c r="C8" s="16">
        <v>147430738</v>
      </c>
    </row>
    <row r="9" spans="1:4" x14ac:dyDescent="0.2">
      <c r="A9" s="26" t="s">
        <v>347</v>
      </c>
      <c r="B9" s="10" t="s">
        <v>49</v>
      </c>
      <c r="C9" s="16">
        <v>743494200</v>
      </c>
    </row>
    <row r="10" spans="1:4" x14ac:dyDescent="0.2">
      <c r="A10" s="26" t="s">
        <v>348</v>
      </c>
      <c r="B10" s="10" t="s">
        <v>50</v>
      </c>
      <c r="C10" s="16">
        <v>48176542</v>
      </c>
    </row>
    <row r="11" spans="1:4" x14ac:dyDescent="0.2">
      <c r="A11" s="26" t="s">
        <v>349</v>
      </c>
      <c r="B11" s="10" t="s">
        <v>51</v>
      </c>
      <c r="C11" s="16">
        <v>145042578</v>
      </c>
    </row>
    <row r="12" spans="1:4" x14ac:dyDescent="0.2">
      <c r="A12" s="26" t="s">
        <v>350</v>
      </c>
      <c r="B12" s="10" t="s">
        <v>52</v>
      </c>
      <c r="C12" s="16">
        <v>161841840</v>
      </c>
    </row>
    <row r="13" spans="1:4" x14ac:dyDescent="0.2">
      <c r="A13" s="26" t="s">
        <v>351</v>
      </c>
      <c r="B13" s="10" t="s">
        <v>53</v>
      </c>
      <c r="C13" s="16">
        <v>12541169</v>
      </c>
    </row>
    <row r="14" spans="1:4" x14ac:dyDescent="0.2">
      <c r="A14" s="26" t="s">
        <v>352</v>
      </c>
      <c r="B14" s="10" t="s">
        <v>54</v>
      </c>
      <c r="C14" s="16">
        <v>98212615</v>
      </c>
    </row>
    <row r="15" spans="1:4" x14ac:dyDescent="0.2">
      <c r="A15" s="26" t="s">
        <v>353</v>
      </c>
      <c r="B15" s="10" t="s">
        <v>55</v>
      </c>
      <c r="C15" s="16">
        <v>47255907</v>
      </c>
    </row>
    <row r="16" spans="1:4" x14ac:dyDescent="0.2">
      <c r="A16" s="26" t="s">
        <v>354</v>
      </c>
      <c r="B16" s="10" t="s">
        <v>56</v>
      </c>
      <c r="C16" s="16">
        <v>615109913</v>
      </c>
    </row>
    <row r="17" spans="1:3" x14ac:dyDescent="0.2">
      <c r="A17" s="26" t="s">
        <v>355</v>
      </c>
      <c r="B17" s="10" t="s">
        <v>57</v>
      </c>
      <c r="C17" s="16">
        <v>33070505</v>
      </c>
    </row>
    <row r="18" spans="1:3" x14ac:dyDescent="0.2">
      <c r="A18" s="26" t="s">
        <v>356</v>
      </c>
      <c r="B18" s="10" t="s">
        <v>58</v>
      </c>
      <c r="C18" s="16">
        <v>61102959</v>
      </c>
    </row>
    <row r="19" spans="1:3" x14ac:dyDescent="0.2">
      <c r="A19" s="26" t="s">
        <v>357</v>
      </c>
      <c r="B19" s="10" t="s">
        <v>59</v>
      </c>
      <c r="C19" s="16">
        <v>17836241</v>
      </c>
    </row>
    <row r="20" spans="1:3" x14ac:dyDescent="0.2">
      <c r="A20" s="26" t="s">
        <v>358</v>
      </c>
      <c r="B20" s="10" t="s">
        <v>60</v>
      </c>
      <c r="C20" s="16">
        <v>237867124</v>
      </c>
    </row>
    <row r="21" spans="1:3" x14ac:dyDescent="0.2">
      <c r="A21" s="26" t="s">
        <v>359</v>
      </c>
      <c r="B21" s="10" t="s">
        <v>61</v>
      </c>
      <c r="C21" s="16">
        <v>147437637</v>
      </c>
    </row>
    <row r="22" spans="1:3" x14ac:dyDescent="0.2">
      <c r="A22" s="26" t="s">
        <v>360</v>
      </c>
      <c r="B22" s="10" t="s">
        <v>62</v>
      </c>
      <c r="C22" s="16">
        <v>131391501</v>
      </c>
    </row>
    <row r="23" spans="1:3" x14ac:dyDescent="0.2">
      <c r="A23" s="26" t="s">
        <v>361</v>
      </c>
      <c r="B23" s="10" t="s">
        <v>63</v>
      </c>
      <c r="C23" s="16">
        <v>178891414</v>
      </c>
    </row>
    <row r="24" spans="1:3" x14ac:dyDescent="0.2">
      <c r="A24" s="26" t="s">
        <v>362</v>
      </c>
      <c r="B24" s="10" t="s">
        <v>64</v>
      </c>
      <c r="C24" s="16">
        <v>135010964</v>
      </c>
    </row>
    <row r="25" spans="1:3" x14ac:dyDescent="0.2">
      <c r="A25" s="10"/>
      <c r="B25" s="15" t="s">
        <v>65</v>
      </c>
      <c r="C25" s="16">
        <v>70632514</v>
      </c>
    </row>
    <row r="26" spans="1:3" x14ac:dyDescent="0.2">
      <c r="A26" s="10"/>
      <c r="B26" s="15" t="s">
        <v>66</v>
      </c>
      <c r="C26" s="16">
        <v>18998499</v>
      </c>
    </row>
    <row r="27" spans="1:3" x14ac:dyDescent="0.2">
      <c r="A27" s="10"/>
      <c r="B27" s="15" t="s">
        <v>67</v>
      </c>
      <c r="C27" s="16">
        <v>11292913</v>
      </c>
    </row>
    <row r="28" spans="1:3" x14ac:dyDescent="0.2">
      <c r="A28" s="10"/>
      <c r="B28" s="15" t="s">
        <v>68</v>
      </c>
      <c r="C28" s="16">
        <v>15469661</v>
      </c>
    </row>
    <row r="29" spans="1:3" x14ac:dyDescent="0.2">
      <c r="A29" s="10"/>
      <c r="B29" s="15" t="s">
        <v>69</v>
      </c>
      <c r="C29" s="16">
        <v>10962173</v>
      </c>
    </row>
    <row r="30" spans="1:3" x14ac:dyDescent="0.2">
      <c r="A30" s="10"/>
      <c r="B30" s="15" t="s">
        <v>70</v>
      </c>
      <c r="C30" s="16">
        <v>7655204</v>
      </c>
    </row>
    <row r="31" spans="1:3" x14ac:dyDescent="0.2">
      <c r="A31" s="26" t="s">
        <v>363</v>
      </c>
      <c r="B31" s="10" t="s">
        <v>71</v>
      </c>
      <c r="C31" s="16">
        <v>4483476529</v>
      </c>
    </row>
    <row r="32" spans="1:3" x14ac:dyDescent="0.2">
      <c r="A32" s="26" t="s">
        <v>364</v>
      </c>
      <c r="B32" s="10" t="s">
        <v>72</v>
      </c>
      <c r="C32" s="16">
        <v>29519119</v>
      </c>
    </row>
    <row r="33" spans="1:3" x14ac:dyDescent="0.2">
      <c r="A33" s="26" t="s">
        <v>365</v>
      </c>
      <c r="B33" s="10" t="s">
        <v>73</v>
      </c>
      <c r="C33" s="16">
        <v>2632796364</v>
      </c>
    </row>
    <row r="34" spans="1:3" x14ac:dyDescent="0.2">
      <c r="A34" s="11" t="s">
        <v>8</v>
      </c>
      <c r="B34" s="11"/>
      <c r="C34" s="17">
        <v>14912225464</v>
      </c>
    </row>
    <row r="35" spans="1:3" x14ac:dyDescent="0.2">
      <c r="A35" s="78" t="s">
        <v>13</v>
      </c>
      <c r="B35" s="78"/>
      <c r="C35" s="78"/>
    </row>
  </sheetData>
  <mergeCells count="2">
    <mergeCell ref="A35:C35"/>
    <mergeCell ref="A1:C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0DA7B-A54B-4F5D-AE3E-F63A70F82F90}">
  <sheetPr>
    <tabColor rgb="FFFFFF00"/>
  </sheetPr>
  <dimension ref="A1:F19"/>
  <sheetViews>
    <sheetView showGridLines="0" workbookViewId="0">
      <selection activeCell="D5" sqref="D5:D13"/>
    </sheetView>
  </sheetViews>
  <sheetFormatPr baseColWidth="10" defaultRowHeight="15" x14ac:dyDescent="0.2"/>
  <cols>
    <col min="1" max="1" width="95.83203125" customWidth="1"/>
    <col min="2" max="4" width="20.83203125" customWidth="1"/>
    <col min="5" max="5" width="25.83203125" customWidth="1"/>
  </cols>
  <sheetData>
    <row r="1" spans="1:6" ht="16" x14ac:dyDescent="0.2">
      <c r="A1" s="72" t="s">
        <v>639</v>
      </c>
      <c r="B1" s="72"/>
      <c r="C1" s="72"/>
      <c r="D1" s="72"/>
      <c r="E1" s="72"/>
      <c r="F1" s="2"/>
    </row>
    <row r="2" spans="1:6" x14ac:dyDescent="0.2">
      <c r="A2" s="24" t="s">
        <v>14</v>
      </c>
      <c r="B2" s="24" t="s">
        <v>15</v>
      </c>
      <c r="C2" s="24" t="s">
        <v>16</v>
      </c>
      <c r="D2" s="24" t="s">
        <v>17</v>
      </c>
      <c r="E2" s="24" t="s">
        <v>18</v>
      </c>
    </row>
    <row r="3" spans="1:6" x14ac:dyDescent="0.2">
      <c r="A3" s="1" t="s">
        <v>19</v>
      </c>
      <c r="B3" s="1"/>
      <c r="C3" s="12">
        <v>2714682573</v>
      </c>
      <c r="D3" s="12">
        <v>2208113338</v>
      </c>
      <c r="E3" s="62"/>
    </row>
    <row r="4" spans="1:6" x14ac:dyDescent="0.2">
      <c r="A4" s="7" t="s">
        <v>20</v>
      </c>
      <c r="B4" s="10"/>
      <c r="C4" s="13">
        <v>2428190368</v>
      </c>
      <c r="D4" s="54">
        <v>2007541840</v>
      </c>
      <c r="E4" s="62"/>
    </row>
    <row r="5" spans="1:6" x14ac:dyDescent="0.2">
      <c r="A5" s="14" t="s">
        <v>21</v>
      </c>
      <c r="B5" s="10" t="s">
        <v>25</v>
      </c>
      <c r="C5" s="13">
        <v>537500000</v>
      </c>
      <c r="D5" s="60">
        <v>386877754</v>
      </c>
      <c r="E5" s="62" t="s">
        <v>30</v>
      </c>
    </row>
    <row r="6" spans="1:6" x14ac:dyDescent="0.2">
      <c r="A6" s="14" t="s">
        <v>21</v>
      </c>
      <c r="B6" s="10" t="s">
        <v>25</v>
      </c>
      <c r="C6" s="13">
        <v>174967270</v>
      </c>
      <c r="D6" s="60">
        <v>128820009</v>
      </c>
      <c r="E6" s="62" t="s">
        <v>31</v>
      </c>
    </row>
    <row r="7" spans="1:6" x14ac:dyDescent="0.2">
      <c r="A7" s="14" t="s">
        <v>21</v>
      </c>
      <c r="B7" s="10" t="s">
        <v>25</v>
      </c>
      <c r="C7" s="13">
        <v>109473098</v>
      </c>
      <c r="D7" s="60">
        <v>80603097</v>
      </c>
      <c r="E7" s="62" t="s">
        <v>31</v>
      </c>
    </row>
    <row r="8" spans="1:6" x14ac:dyDescent="0.2">
      <c r="A8" s="14" t="s">
        <v>21</v>
      </c>
      <c r="B8" s="10" t="s">
        <v>26</v>
      </c>
      <c r="C8" s="13">
        <v>800000000</v>
      </c>
      <c r="D8" s="60">
        <v>700087844</v>
      </c>
      <c r="E8" s="62" t="s">
        <v>32</v>
      </c>
    </row>
    <row r="9" spans="1:6" x14ac:dyDescent="0.2">
      <c r="A9" s="14" t="s">
        <v>21</v>
      </c>
      <c r="B9" s="10" t="s">
        <v>27</v>
      </c>
      <c r="C9" s="13">
        <v>806250000</v>
      </c>
      <c r="D9" s="60">
        <v>711153135</v>
      </c>
      <c r="E9" s="62" t="s">
        <v>33</v>
      </c>
    </row>
    <row r="10" spans="1:6" x14ac:dyDescent="0.2">
      <c r="A10" s="15" t="s">
        <v>22</v>
      </c>
      <c r="B10" s="10"/>
      <c r="C10" s="13">
        <v>286492205</v>
      </c>
      <c r="D10" s="13">
        <v>200571498</v>
      </c>
      <c r="E10" s="62"/>
    </row>
    <row r="11" spans="1:6" x14ac:dyDescent="0.2">
      <c r="A11" s="14" t="s">
        <v>23</v>
      </c>
      <c r="B11" s="10" t="s">
        <v>28</v>
      </c>
      <c r="C11" s="13">
        <v>3000000</v>
      </c>
      <c r="D11" s="13">
        <v>750000</v>
      </c>
      <c r="E11" s="62" t="s">
        <v>34</v>
      </c>
    </row>
    <row r="12" spans="1:6" x14ac:dyDescent="0.2">
      <c r="A12" s="14" t="s">
        <v>24</v>
      </c>
      <c r="B12" s="10" t="s">
        <v>29</v>
      </c>
      <c r="C12" s="13">
        <v>120588540</v>
      </c>
      <c r="D12" s="13">
        <v>85121035</v>
      </c>
      <c r="E12" s="62" t="s">
        <v>35</v>
      </c>
    </row>
    <row r="13" spans="1:6" x14ac:dyDescent="0.2">
      <c r="A13" s="14" t="s">
        <v>24</v>
      </c>
      <c r="B13" s="10" t="s">
        <v>29</v>
      </c>
      <c r="C13" s="13">
        <v>162903665</v>
      </c>
      <c r="D13" s="13">
        <v>114700463</v>
      </c>
      <c r="E13" s="62" t="s">
        <v>35</v>
      </c>
    </row>
    <row r="14" spans="1:6" x14ac:dyDescent="0.2">
      <c r="A14" s="42"/>
      <c r="B14" s="9"/>
      <c r="C14" s="43"/>
      <c r="D14" s="43"/>
      <c r="E14" s="44"/>
    </row>
    <row r="15" spans="1:6" x14ac:dyDescent="0.2">
      <c r="A15" s="70" t="s">
        <v>39</v>
      </c>
      <c r="B15" s="70"/>
      <c r="C15" s="70"/>
      <c r="D15" s="70"/>
      <c r="E15" s="70"/>
    </row>
    <row r="16" spans="1:6" x14ac:dyDescent="0.2">
      <c r="A16" s="89" t="s">
        <v>36</v>
      </c>
      <c r="B16" s="89"/>
      <c r="C16" s="89"/>
      <c r="D16" s="89"/>
      <c r="E16" s="89"/>
    </row>
    <row r="17" spans="1:5" x14ac:dyDescent="0.2">
      <c r="A17" s="89" t="s">
        <v>37</v>
      </c>
      <c r="B17" s="89"/>
      <c r="C17" s="89"/>
      <c r="D17" s="89"/>
      <c r="E17" s="89"/>
    </row>
    <row r="18" spans="1:5" x14ac:dyDescent="0.2">
      <c r="A18" s="89" t="s">
        <v>38</v>
      </c>
      <c r="B18" s="89"/>
      <c r="C18" s="89"/>
      <c r="D18" s="89"/>
      <c r="E18" s="89"/>
    </row>
    <row r="19" spans="1:5" x14ac:dyDescent="0.2">
      <c r="A19" s="70" t="s">
        <v>13</v>
      </c>
      <c r="B19" s="70"/>
      <c r="C19" s="70"/>
      <c r="D19" s="70"/>
      <c r="E19" s="70"/>
    </row>
  </sheetData>
  <mergeCells count="6">
    <mergeCell ref="A19:E19"/>
    <mergeCell ref="A1:E1"/>
    <mergeCell ref="A15:E15"/>
    <mergeCell ref="A16:E16"/>
    <mergeCell ref="A17:E17"/>
    <mergeCell ref="A18:E18"/>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2AAD7-B9BB-42B8-86E6-C30A3588DC84}">
  <sheetPr>
    <tabColor rgb="FFFFFF00"/>
  </sheetPr>
  <dimension ref="A1:F12"/>
  <sheetViews>
    <sheetView showGridLines="0" workbookViewId="0">
      <selection activeCell="D4" sqref="D4:D8"/>
    </sheetView>
  </sheetViews>
  <sheetFormatPr baseColWidth="10" defaultColWidth="11.5" defaultRowHeight="15" x14ac:dyDescent="0.2"/>
  <cols>
    <col min="1" max="1" width="95.83203125" style="10" customWidth="1"/>
    <col min="2" max="4" width="20.83203125" style="10" customWidth="1"/>
    <col min="5" max="5" width="25.83203125" style="10" customWidth="1"/>
    <col min="6" max="16384" width="11.5" style="10"/>
  </cols>
  <sheetData>
    <row r="1" spans="1:6" customFormat="1" ht="16" x14ac:dyDescent="0.2">
      <c r="A1" s="72" t="s">
        <v>639</v>
      </c>
      <c r="B1" s="72"/>
      <c r="C1" s="72"/>
      <c r="D1" s="72"/>
      <c r="E1" s="72"/>
      <c r="F1" s="2"/>
    </row>
    <row r="2" spans="1:6" x14ac:dyDescent="0.2">
      <c r="A2" s="24" t="s">
        <v>14</v>
      </c>
      <c r="B2" s="24" t="s">
        <v>15</v>
      </c>
      <c r="C2" s="24" t="s">
        <v>16</v>
      </c>
      <c r="D2" s="24" t="s">
        <v>17</v>
      </c>
      <c r="E2" s="24" t="s">
        <v>18</v>
      </c>
    </row>
    <row r="3" spans="1:6" x14ac:dyDescent="0.2">
      <c r="A3" s="1" t="s">
        <v>522</v>
      </c>
      <c r="B3" s="1"/>
      <c r="C3" s="34">
        <v>476222500</v>
      </c>
      <c r="D3" s="34">
        <v>476222500</v>
      </c>
      <c r="E3" s="63"/>
    </row>
    <row r="4" spans="1:6" x14ac:dyDescent="0.2">
      <c r="A4" s="15" t="s">
        <v>524</v>
      </c>
      <c r="B4" s="10" t="s">
        <v>29</v>
      </c>
      <c r="C4" s="31">
        <v>83449015</v>
      </c>
      <c r="D4" s="31">
        <v>83449015</v>
      </c>
      <c r="E4" s="63" t="s">
        <v>525</v>
      </c>
    </row>
    <row r="5" spans="1:6" x14ac:dyDescent="0.2">
      <c r="A5" s="15" t="s">
        <v>526</v>
      </c>
      <c r="B5" s="10" t="s">
        <v>29</v>
      </c>
      <c r="C5" s="31">
        <v>208708907</v>
      </c>
      <c r="D5" s="31">
        <v>208708907</v>
      </c>
      <c r="E5" s="63" t="s">
        <v>527</v>
      </c>
    </row>
    <row r="6" spans="1:6" x14ac:dyDescent="0.2">
      <c r="A6" s="15" t="s">
        <v>528</v>
      </c>
      <c r="B6" s="10" t="s">
        <v>29</v>
      </c>
      <c r="C6" s="31">
        <v>72675017</v>
      </c>
      <c r="D6" s="31">
        <v>72675017</v>
      </c>
      <c r="E6" s="63" t="s">
        <v>529</v>
      </c>
    </row>
    <row r="7" spans="1:6" x14ac:dyDescent="0.2">
      <c r="A7" s="15" t="s">
        <v>530</v>
      </c>
      <c r="B7" s="10" t="s">
        <v>29</v>
      </c>
      <c r="C7" s="31">
        <v>6854706</v>
      </c>
      <c r="D7" s="31">
        <v>6854706</v>
      </c>
      <c r="E7" s="63" t="s">
        <v>531</v>
      </c>
    </row>
    <row r="8" spans="1:6" x14ac:dyDescent="0.2">
      <c r="A8" s="15" t="s">
        <v>532</v>
      </c>
      <c r="B8" s="10" t="s">
        <v>29</v>
      </c>
      <c r="C8" s="31">
        <v>104534855</v>
      </c>
      <c r="D8" s="31">
        <v>104534855</v>
      </c>
      <c r="E8" s="63" t="s">
        <v>533</v>
      </c>
    </row>
    <row r="9" spans="1:6" x14ac:dyDescent="0.2">
      <c r="A9" s="9"/>
      <c r="B9" s="9"/>
      <c r="C9" s="32"/>
      <c r="D9" s="32"/>
      <c r="E9" s="9"/>
    </row>
    <row r="10" spans="1:6" ht="28.75" customHeight="1" x14ac:dyDescent="0.2">
      <c r="A10" s="90" t="s">
        <v>675</v>
      </c>
      <c r="B10" s="90"/>
      <c r="C10" s="90"/>
      <c r="D10" s="90"/>
      <c r="E10" s="90"/>
    </row>
    <row r="11" spans="1:6" ht="25.25" customHeight="1" x14ac:dyDescent="0.2">
      <c r="A11" s="83" t="s">
        <v>523</v>
      </c>
      <c r="B11" s="83"/>
      <c r="C11" s="83"/>
      <c r="D11" s="83"/>
      <c r="E11" s="83"/>
    </row>
    <row r="12" spans="1:6" x14ac:dyDescent="0.2">
      <c r="A12" s="70" t="s">
        <v>13</v>
      </c>
      <c r="B12" s="70"/>
      <c r="C12" s="70"/>
      <c r="D12" s="70"/>
      <c r="E12" s="70"/>
    </row>
  </sheetData>
  <mergeCells count="4">
    <mergeCell ref="A1:E1"/>
    <mergeCell ref="A10:E10"/>
    <mergeCell ref="A11:E11"/>
    <mergeCell ref="A12:E1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0E2A5-483D-4F2F-B311-EAE2CA6F9D31}">
  <dimension ref="A1:D12"/>
  <sheetViews>
    <sheetView showGridLines="0" workbookViewId="0">
      <selection sqref="A1:C1"/>
    </sheetView>
  </sheetViews>
  <sheetFormatPr baseColWidth="10" defaultColWidth="11.5" defaultRowHeight="15" x14ac:dyDescent="0.2"/>
  <cols>
    <col min="1" max="1" width="60.83203125" style="10" customWidth="1"/>
    <col min="2" max="2" width="15.33203125" style="10" bestFit="1" customWidth="1"/>
    <col min="3" max="3" width="29.6640625" style="10" bestFit="1" customWidth="1"/>
    <col min="4" max="16384" width="11.5" style="10"/>
  </cols>
  <sheetData>
    <row r="1" spans="1:4" customFormat="1" ht="16" x14ac:dyDescent="0.2">
      <c r="A1" s="72" t="s">
        <v>534</v>
      </c>
      <c r="B1" s="72"/>
      <c r="C1" s="72"/>
      <c r="D1" s="2"/>
    </row>
    <row r="2" spans="1:4" x14ac:dyDescent="0.2">
      <c r="A2" s="24" t="s">
        <v>535</v>
      </c>
      <c r="B2" s="24" t="s">
        <v>536</v>
      </c>
      <c r="C2" s="24" t="s">
        <v>537</v>
      </c>
    </row>
    <row r="3" spans="1:4" x14ac:dyDescent="0.2">
      <c r="A3" s="10" t="s">
        <v>538</v>
      </c>
      <c r="B3" s="10">
        <v>36</v>
      </c>
      <c r="C3" s="10">
        <v>906</v>
      </c>
    </row>
    <row r="4" spans="1:4" x14ac:dyDescent="0.2">
      <c r="A4" s="10" t="s">
        <v>539</v>
      </c>
      <c r="B4" s="10">
        <v>16</v>
      </c>
      <c r="C4" s="10">
        <v>511</v>
      </c>
    </row>
    <row r="5" spans="1:4" x14ac:dyDescent="0.2">
      <c r="A5" s="10" t="s">
        <v>540</v>
      </c>
      <c r="B5" s="10">
        <v>22</v>
      </c>
      <c r="C5" s="10">
        <v>510</v>
      </c>
    </row>
    <row r="6" spans="1:4" x14ac:dyDescent="0.2">
      <c r="A6" s="10" t="s">
        <v>541</v>
      </c>
      <c r="B6" s="10">
        <v>3</v>
      </c>
      <c r="C6" s="10">
        <v>91</v>
      </c>
    </row>
    <row r="7" spans="1:4" x14ac:dyDescent="0.2">
      <c r="A7" s="10" t="s">
        <v>542</v>
      </c>
      <c r="B7" s="10">
        <v>10</v>
      </c>
      <c r="C7" s="10">
        <v>249</v>
      </c>
    </row>
    <row r="8" spans="1:4" x14ac:dyDescent="0.2">
      <c r="A8" s="10" t="s">
        <v>543</v>
      </c>
      <c r="B8" s="10">
        <v>2</v>
      </c>
      <c r="C8" s="10">
        <v>86</v>
      </c>
    </row>
    <row r="9" spans="1:4" x14ac:dyDescent="0.2">
      <c r="A9" s="10" t="s">
        <v>544</v>
      </c>
      <c r="B9" s="10">
        <v>2</v>
      </c>
      <c r="C9" s="10">
        <v>49</v>
      </c>
    </row>
    <row r="10" spans="1:4" x14ac:dyDescent="0.2">
      <c r="A10" s="10" t="s">
        <v>545</v>
      </c>
      <c r="B10" s="10">
        <v>18</v>
      </c>
      <c r="C10" s="10">
        <v>604</v>
      </c>
    </row>
    <row r="11" spans="1:4" x14ac:dyDescent="0.2">
      <c r="A11" s="11" t="s">
        <v>8</v>
      </c>
      <c r="B11" s="11">
        <v>109</v>
      </c>
      <c r="C11" s="17">
        <v>3006</v>
      </c>
    </row>
    <row r="12" spans="1:4" x14ac:dyDescent="0.2">
      <c r="A12" s="70" t="s">
        <v>13</v>
      </c>
      <c r="B12" s="70"/>
      <c r="C12" s="70"/>
    </row>
  </sheetData>
  <mergeCells count="2">
    <mergeCell ref="A1:C1"/>
    <mergeCell ref="A12:C1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EAAC-1E14-47D8-96F1-7EE26EE1E366}">
  <dimension ref="A1:J9"/>
  <sheetViews>
    <sheetView showGridLines="0" workbookViewId="0">
      <selection activeCell="A8" sqref="A8:B8"/>
    </sheetView>
  </sheetViews>
  <sheetFormatPr baseColWidth="10" defaultRowHeight="15" x14ac:dyDescent="0.2"/>
  <cols>
    <col min="1" max="1" width="95.5" customWidth="1"/>
    <col min="2" max="2" width="56.6640625" customWidth="1"/>
  </cols>
  <sheetData>
    <row r="1" spans="1:10" ht="16" x14ac:dyDescent="0.2">
      <c r="A1" s="72" t="s">
        <v>546</v>
      </c>
      <c r="B1" s="72"/>
      <c r="C1" s="10"/>
      <c r="D1" s="10"/>
      <c r="E1" s="10"/>
      <c r="F1" s="10"/>
      <c r="G1" s="10"/>
      <c r="H1" s="10"/>
      <c r="I1" s="10"/>
      <c r="J1" s="10"/>
    </row>
    <row r="2" spans="1:10" x14ac:dyDescent="0.2">
      <c r="A2" s="24" t="s">
        <v>266</v>
      </c>
      <c r="B2" s="24" t="s">
        <v>547</v>
      </c>
      <c r="C2" s="10"/>
      <c r="D2" s="10"/>
      <c r="E2" s="10"/>
      <c r="F2" s="10"/>
      <c r="G2" s="10"/>
      <c r="H2" s="10"/>
      <c r="I2" s="10"/>
      <c r="J2" s="10"/>
    </row>
    <row r="3" spans="1:10" x14ac:dyDescent="0.2">
      <c r="A3" s="10" t="s">
        <v>548</v>
      </c>
      <c r="B3" s="10">
        <v>180</v>
      </c>
      <c r="C3" s="10"/>
      <c r="D3" s="10"/>
      <c r="E3" s="10"/>
      <c r="F3" s="10"/>
      <c r="G3" s="10"/>
      <c r="H3" s="10"/>
      <c r="I3" s="10"/>
      <c r="J3" s="10"/>
    </row>
    <row r="4" spans="1:10" x14ac:dyDescent="0.2">
      <c r="A4" s="10" t="s">
        <v>549</v>
      </c>
      <c r="B4" s="16">
        <v>3883</v>
      </c>
      <c r="C4" s="10"/>
      <c r="D4" s="10"/>
      <c r="E4" s="10"/>
      <c r="F4" s="10"/>
      <c r="G4" s="10"/>
      <c r="H4" s="10"/>
      <c r="I4" s="10"/>
      <c r="J4" s="10"/>
    </row>
    <row r="5" spans="1:10" x14ac:dyDescent="0.2">
      <c r="A5" s="10" t="s">
        <v>550</v>
      </c>
      <c r="B5" s="10">
        <v>863</v>
      </c>
      <c r="C5" s="10"/>
      <c r="D5" s="10"/>
      <c r="E5" s="10"/>
      <c r="F5" s="10"/>
      <c r="G5" s="10"/>
      <c r="H5" s="10"/>
      <c r="I5" s="10"/>
      <c r="J5" s="10"/>
    </row>
    <row r="6" spans="1:10" x14ac:dyDescent="0.2">
      <c r="A6" s="11" t="s">
        <v>8</v>
      </c>
      <c r="B6" s="17">
        <v>4926</v>
      </c>
      <c r="C6" s="10"/>
      <c r="D6" s="10"/>
      <c r="E6" s="10"/>
      <c r="F6" s="10"/>
      <c r="G6" s="10"/>
      <c r="H6" s="10"/>
      <c r="I6" s="10"/>
      <c r="J6" s="10"/>
    </row>
    <row r="7" spans="1:10" x14ac:dyDescent="0.2">
      <c r="A7" s="78" t="s">
        <v>558</v>
      </c>
      <c r="B7" s="78"/>
      <c r="C7" s="10"/>
      <c r="D7" s="10"/>
      <c r="E7" s="10"/>
      <c r="F7" s="10"/>
      <c r="G7" s="10"/>
      <c r="H7" s="10"/>
      <c r="I7" s="10"/>
      <c r="J7" s="10"/>
    </row>
    <row r="8" spans="1:10" x14ac:dyDescent="0.2">
      <c r="A8" s="70" t="s">
        <v>551</v>
      </c>
      <c r="B8" s="70"/>
      <c r="C8" s="10"/>
      <c r="D8" s="10"/>
      <c r="E8" s="10"/>
      <c r="F8" s="10"/>
      <c r="G8" s="10"/>
      <c r="H8" s="10"/>
      <c r="I8" s="10"/>
      <c r="J8" s="10"/>
    </row>
    <row r="9" spans="1:10" x14ac:dyDescent="0.2">
      <c r="B9" s="6"/>
      <c r="C9" s="10"/>
      <c r="D9" s="10"/>
      <c r="E9" s="10"/>
      <c r="F9" s="10"/>
      <c r="G9" s="10"/>
      <c r="H9" s="10"/>
      <c r="I9" s="10"/>
      <c r="J9" s="10"/>
    </row>
  </sheetData>
  <mergeCells count="3">
    <mergeCell ref="A1:B1"/>
    <mergeCell ref="A8:B8"/>
    <mergeCell ref="A7:B7"/>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B68B0-28F7-4E57-9649-1C63EDF00A52}">
  <dimension ref="A1:B9"/>
  <sheetViews>
    <sheetView showGridLines="0" workbookViewId="0">
      <selection sqref="A1:B1"/>
    </sheetView>
  </sheetViews>
  <sheetFormatPr baseColWidth="10" defaultColWidth="11.5" defaultRowHeight="15" x14ac:dyDescent="0.2"/>
  <cols>
    <col min="1" max="1" width="111.83203125" style="10" customWidth="1"/>
    <col min="2" max="2" width="21.6640625" style="10" customWidth="1"/>
    <col min="3" max="16384" width="11.5" style="10"/>
  </cols>
  <sheetData>
    <row r="1" spans="1:2" ht="16" x14ac:dyDescent="0.2">
      <c r="A1" s="72" t="s">
        <v>552</v>
      </c>
      <c r="B1" s="72"/>
    </row>
    <row r="2" spans="1:2" x14ac:dyDescent="0.2">
      <c r="A2" s="24" t="s">
        <v>574</v>
      </c>
      <c r="B2" s="24" t="s">
        <v>74</v>
      </c>
    </row>
    <row r="3" spans="1:2" x14ac:dyDescent="0.2">
      <c r="A3" s="10" t="s">
        <v>553</v>
      </c>
      <c r="B3" s="10">
        <v>6</v>
      </c>
    </row>
    <row r="4" spans="1:2" x14ac:dyDescent="0.2">
      <c r="A4" s="10" t="s">
        <v>554</v>
      </c>
      <c r="B4" s="10">
        <v>4</v>
      </c>
    </row>
    <row r="5" spans="1:2" x14ac:dyDescent="0.2">
      <c r="A5" s="10" t="s">
        <v>555</v>
      </c>
      <c r="B5" s="10">
        <v>4</v>
      </c>
    </row>
    <row r="6" spans="1:2" x14ac:dyDescent="0.2">
      <c r="A6" s="10" t="s">
        <v>556</v>
      </c>
      <c r="B6" s="10">
        <v>2</v>
      </c>
    </row>
    <row r="7" spans="1:2" x14ac:dyDescent="0.2">
      <c r="A7" s="10" t="s">
        <v>557</v>
      </c>
      <c r="B7" s="10">
        <v>4</v>
      </c>
    </row>
    <row r="8" spans="1:2" x14ac:dyDescent="0.2">
      <c r="A8" s="11" t="s">
        <v>8</v>
      </c>
      <c r="B8" s="11">
        <v>20</v>
      </c>
    </row>
    <row r="9" spans="1:2" x14ac:dyDescent="0.2">
      <c r="A9" s="78" t="s">
        <v>551</v>
      </c>
      <c r="B9" s="78"/>
    </row>
  </sheetData>
  <mergeCells count="2">
    <mergeCell ref="A9:B9"/>
    <mergeCell ref="A1:B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605EB-087C-4CA3-9FF4-F7CDC46BB3E0}">
  <sheetPr>
    <tabColor rgb="FFFFFF00"/>
  </sheetPr>
  <dimension ref="A1:D9"/>
  <sheetViews>
    <sheetView showGridLines="0" workbookViewId="0">
      <selection activeCell="A17" sqref="A17"/>
    </sheetView>
  </sheetViews>
  <sheetFormatPr baseColWidth="10" defaultRowHeight="15" x14ac:dyDescent="0.2"/>
  <cols>
    <col min="1" max="1" width="109.1640625" customWidth="1"/>
    <col min="2" max="2" width="26.1640625" customWidth="1"/>
    <col min="3" max="3" width="33.5" customWidth="1"/>
  </cols>
  <sheetData>
    <row r="1" spans="1:4" ht="16" x14ac:dyDescent="0.2">
      <c r="A1" s="72" t="s">
        <v>152</v>
      </c>
      <c r="B1" s="72"/>
      <c r="C1" s="72"/>
    </row>
    <row r="2" spans="1:4" x14ac:dyDescent="0.2">
      <c r="A2" s="24" t="s">
        <v>10</v>
      </c>
      <c r="B2" s="24" t="s">
        <v>11</v>
      </c>
      <c r="C2" s="24" t="s">
        <v>12</v>
      </c>
    </row>
    <row r="3" spans="1:4" x14ac:dyDescent="0.2">
      <c r="A3" s="8" t="s">
        <v>676</v>
      </c>
      <c r="B3" s="8">
        <v>0</v>
      </c>
      <c r="C3" s="8">
        <v>0</v>
      </c>
    </row>
    <row r="4" spans="1:4" x14ac:dyDescent="0.2">
      <c r="A4" s="8" t="s">
        <v>677</v>
      </c>
      <c r="B4" s="8">
        <v>0</v>
      </c>
      <c r="C4" s="8">
        <v>0</v>
      </c>
    </row>
    <row r="5" spans="1:4" x14ac:dyDescent="0.2">
      <c r="A5" s="8" t="s">
        <v>678</v>
      </c>
      <c r="B5" s="8">
        <v>0</v>
      </c>
      <c r="C5" s="8">
        <v>0</v>
      </c>
    </row>
    <row r="6" spans="1:4" x14ac:dyDescent="0.2">
      <c r="A6" s="8" t="s">
        <v>679</v>
      </c>
      <c r="B6" s="8">
        <v>0</v>
      </c>
      <c r="C6" s="8">
        <v>0</v>
      </c>
    </row>
    <row r="7" spans="1:4" x14ac:dyDescent="0.2">
      <c r="A7" s="5" t="s">
        <v>8</v>
      </c>
      <c r="B7" s="11"/>
      <c r="C7" s="11">
        <v>0</v>
      </c>
    </row>
    <row r="8" spans="1:4" x14ac:dyDescent="0.2">
      <c r="A8" s="91" t="s">
        <v>569</v>
      </c>
      <c r="B8" s="91"/>
      <c r="C8" s="91"/>
    </row>
    <row r="9" spans="1:4" x14ac:dyDescent="0.2">
      <c r="A9" s="6" t="s">
        <v>13</v>
      </c>
      <c r="B9" s="6"/>
      <c r="C9" s="6"/>
      <c r="D9" s="6"/>
    </row>
  </sheetData>
  <mergeCells count="2">
    <mergeCell ref="A1:C1"/>
    <mergeCell ref="A8:C8"/>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2B9D2-33B3-4705-A83A-1A6B73BC933B}">
  <dimension ref="A1:L9"/>
  <sheetViews>
    <sheetView showGridLines="0" workbookViewId="0">
      <selection activeCell="C16" sqref="C16"/>
    </sheetView>
  </sheetViews>
  <sheetFormatPr baseColWidth="10" defaultRowHeight="15" x14ac:dyDescent="0.2"/>
  <cols>
    <col min="1" max="1" width="18.6640625" customWidth="1"/>
    <col min="2" max="2" width="16.5" customWidth="1"/>
    <col min="3" max="3" width="17.83203125" bestFit="1" customWidth="1"/>
    <col min="4" max="4" width="18" customWidth="1"/>
    <col min="5" max="5" width="2.1640625" customWidth="1"/>
    <col min="6" max="6" width="16.5" customWidth="1"/>
    <col min="7" max="8" width="24.6640625" customWidth="1"/>
  </cols>
  <sheetData>
    <row r="1" spans="1:12" ht="16" x14ac:dyDescent="0.2">
      <c r="A1" s="72" t="s">
        <v>559</v>
      </c>
      <c r="B1" s="72"/>
      <c r="C1" s="72"/>
      <c r="D1" s="72"/>
      <c r="E1" s="72"/>
      <c r="F1" s="72"/>
      <c r="G1" s="72"/>
      <c r="H1" s="72"/>
      <c r="I1" s="10"/>
      <c r="J1" s="10"/>
      <c r="K1" s="10"/>
      <c r="L1" s="10"/>
    </row>
    <row r="2" spans="1:12" ht="15.5" customHeight="1" x14ac:dyDescent="0.2">
      <c r="A2" s="73" t="s">
        <v>560</v>
      </c>
      <c r="B2" s="73" t="s">
        <v>561</v>
      </c>
      <c r="C2" s="71" t="s">
        <v>565</v>
      </c>
      <c r="D2" s="71"/>
      <c r="E2" s="46"/>
      <c r="F2" s="71" t="s">
        <v>567</v>
      </c>
      <c r="G2" s="71"/>
      <c r="H2" s="84" t="s">
        <v>562</v>
      </c>
      <c r="I2" s="10"/>
      <c r="J2" s="10"/>
      <c r="K2" s="10"/>
      <c r="L2" s="10"/>
    </row>
    <row r="3" spans="1:12" ht="31.75" customHeight="1" x14ac:dyDescent="0.2">
      <c r="A3" s="74"/>
      <c r="B3" s="74"/>
      <c r="C3" s="27" t="s">
        <v>566</v>
      </c>
      <c r="D3" s="37" t="s">
        <v>564</v>
      </c>
      <c r="E3" s="27"/>
      <c r="F3" s="37" t="s">
        <v>566</v>
      </c>
      <c r="G3" s="37" t="s">
        <v>568</v>
      </c>
      <c r="H3" s="85"/>
      <c r="I3" s="10"/>
      <c r="J3" s="10"/>
      <c r="K3" s="10"/>
      <c r="L3" s="10"/>
    </row>
    <row r="4" spans="1:12" x14ac:dyDescent="0.2">
      <c r="A4" s="84">
        <v>2025</v>
      </c>
      <c r="B4" s="84" t="s">
        <v>563</v>
      </c>
      <c r="C4" s="97">
        <v>74185</v>
      </c>
      <c r="D4" s="93">
        <v>2322171134.8400002</v>
      </c>
      <c r="E4" s="49"/>
      <c r="F4" s="97">
        <v>1039</v>
      </c>
      <c r="G4" s="93">
        <v>4731330195.71</v>
      </c>
      <c r="H4" s="95">
        <v>7053501330.5500002</v>
      </c>
      <c r="I4" s="10"/>
      <c r="J4" s="10"/>
      <c r="K4" s="10"/>
      <c r="L4" s="10"/>
    </row>
    <row r="5" spans="1:12" x14ac:dyDescent="0.2">
      <c r="A5" s="86"/>
      <c r="B5" s="86"/>
      <c r="C5" s="98"/>
      <c r="D5" s="94"/>
      <c r="E5" s="49"/>
      <c r="F5" s="98"/>
      <c r="G5" s="94"/>
      <c r="H5" s="96"/>
      <c r="I5" s="10"/>
      <c r="J5" s="10"/>
      <c r="K5" s="10"/>
      <c r="L5" s="10"/>
    </row>
    <row r="6" spans="1:12" x14ac:dyDescent="0.2">
      <c r="A6" s="92"/>
      <c r="B6" s="92"/>
      <c r="C6" s="92"/>
      <c r="D6" s="92"/>
      <c r="E6" s="92"/>
      <c r="F6" s="92"/>
      <c r="G6" s="92"/>
      <c r="H6" s="92"/>
      <c r="I6" s="10"/>
      <c r="J6" s="10"/>
      <c r="K6" s="10"/>
      <c r="L6" s="10"/>
    </row>
    <row r="7" spans="1:12" x14ac:dyDescent="0.2">
      <c r="A7" s="78" t="s">
        <v>13</v>
      </c>
      <c r="B7" s="78"/>
      <c r="C7" s="78"/>
      <c r="D7" s="78"/>
      <c r="E7" s="78"/>
      <c r="F7" s="78"/>
      <c r="G7" s="78"/>
      <c r="H7" s="78"/>
      <c r="I7" s="10"/>
      <c r="J7" s="10"/>
      <c r="K7" s="10"/>
      <c r="L7" s="10"/>
    </row>
    <row r="8" spans="1:12" x14ac:dyDescent="0.2">
      <c r="A8" s="45"/>
      <c r="B8" s="10"/>
      <c r="C8" s="10"/>
      <c r="D8" s="10"/>
      <c r="E8" s="10"/>
      <c r="F8" s="10"/>
      <c r="G8" s="10"/>
      <c r="H8" s="10"/>
      <c r="I8" s="10"/>
      <c r="J8" s="10"/>
      <c r="K8" s="10"/>
      <c r="L8" s="10"/>
    </row>
    <row r="9" spans="1:12" x14ac:dyDescent="0.2">
      <c r="A9" s="10"/>
      <c r="B9" s="10"/>
      <c r="C9" s="10"/>
      <c r="D9" s="10"/>
      <c r="E9" s="10"/>
      <c r="F9" s="10"/>
      <c r="G9" s="10"/>
      <c r="H9" s="10"/>
      <c r="I9" s="10"/>
      <c r="J9" s="10"/>
      <c r="K9" s="10"/>
      <c r="L9" s="10"/>
    </row>
  </sheetData>
  <mergeCells count="15">
    <mergeCell ref="A6:H6"/>
    <mergeCell ref="A7:H7"/>
    <mergeCell ref="C2:D2"/>
    <mergeCell ref="F2:G2"/>
    <mergeCell ref="A1:H1"/>
    <mergeCell ref="A2:A3"/>
    <mergeCell ref="B2:B3"/>
    <mergeCell ref="H2:H3"/>
    <mergeCell ref="G4:G5"/>
    <mergeCell ref="H4:H5"/>
    <mergeCell ref="A4:A5"/>
    <mergeCell ref="B4:B5"/>
    <mergeCell ref="C4:C5"/>
    <mergeCell ref="D4:D5"/>
    <mergeCell ref="F4:F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9E99-10EF-4E8B-9CD8-1978A958F2C5}">
  <dimension ref="A1:E13"/>
  <sheetViews>
    <sheetView showGridLines="0" zoomScaleNormal="100" workbookViewId="0">
      <selection activeCell="A10" sqref="A10:E10"/>
    </sheetView>
  </sheetViews>
  <sheetFormatPr baseColWidth="10" defaultRowHeight="15" x14ac:dyDescent="0.2"/>
  <cols>
    <col min="1" max="1" width="101.5" bestFit="1" customWidth="1"/>
    <col min="2" max="2" width="14.5" customWidth="1"/>
    <col min="3" max="3" width="20.5" customWidth="1"/>
    <col min="4" max="4" width="19.5" customWidth="1"/>
  </cols>
  <sheetData>
    <row r="1" spans="1:5" ht="16" x14ac:dyDescent="0.2">
      <c r="A1" s="72" t="s">
        <v>151</v>
      </c>
      <c r="B1" s="72"/>
      <c r="C1" s="72"/>
      <c r="D1" s="72"/>
    </row>
    <row r="2" spans="1:5" ht="39" customHeight="1" x14ac:dyDescent="0.2">
      <c r="A2" s="39" t="s">
        <v>0</v>
      </c>
      <c r="B2" s="39" t="s">
        <v>1</v>
      </c>
      <c r="C2" s="38" t="s">
        <v>2</v>
      </c>
      <c r="D2" s="38" t="s">
        <v>3</v>
      </c>
    </row>
    <row r="3" spans="1:5" x14ac:dyDescent="0.2">
      <c r="A3" s="3" t="s">
        <v>4</v>
      </c>
      <c r="B3" s="3">
        <v>64</v>
      </c>
      <c r="C3" s="3">
        <v>256</v>
      </c>
      <c r="D3" s="3">
        <v>136</v>
      </c>
    </row>
    <row r="4" spans="1:5" x14ac:dyDescent="0.2">
      <c r="A4" s="7" t="s">
        <v>5</v>
      </c>
      <c r="B4" s="8">
        <v>12</v>
      </c>
      <c r="C4" s="8">
        <v>72</v>
      </c>
      <c r="D4" s="8">
        <v>28</v>
      </c>
    </row>
    <row r="5" spans="1:5" x14ac:dyDescent="0.2">
      <c r="A5" s="7" t="s">
        <v>6</v>
      </c>
      <c r="B5" s="8">
        <v>52</v>
      </c>
      <c r="C5" s="8">
        <v>184</v>
      </c>
      <c r="D5" s="8">
        <v>108</v>
      </c>
    </row>
    <row r="6" spans="1:5" x14ac:dyDescent="0.2">
      <c r="A6" s="3" t="s">
        <v>9</v>
      </c>
      <c r="B6" s="3">
        <v>0</v>
      </c>
      <c r="C6" s="3">
        <v>0</v>
      </c>
      <c r="D6" s="3">
        <v>0</v>
      </c>
    </row>
    <row r="7" spans="1:5" x14ac:dyDescent="0.2">
      <c r="A7" s="7" t="s">
        <v>5</v>
      </c>
      <c r="B7" s="8">
        <v>0</v>
      </c>
      <c r="C7" s="8">
        <v>0</v>
      </c>
      <c r="D7" s="8">
        <v>0</v>
      </c>
    </row>
    <row r="8" spans="1:5" x14ac:dyDescent="0.2">
      <c r="A8" s="7" t="s">
        <v>7</v>
      </c>
      <c r="B8" s="8">
        <v>0</v>
      </c>
      <c r="C8" s="8">
        <v>0</v>
      </c>
      <c r="D8" s="8">
        <v>0</v>
      </c>
    </row>
    <row r="9" spans="1:5" x14ac:dyDescent="0.2">
      <c r="A9" s="4" t="s">
        <v>8</v>
      </c>
      <c r="B9" s="11">
        <f>B4+B5</f>
        <v>64</v>
      </c>
      <c r="C9" s="11">
        <f t="shared" ref="C9:D9" si="0">C4+C5</f>
        <v>256</v>
      </c>
      <c r="D9" s="11">
        <f t="shared" si="0"/>
        <v>136</v>
      </c>
    </row>
    <row r="10" spans="1:5" x14ac:dyDescent="0.2">
      <c r="A10" s="87" t="s">
        <v>13</v>
      </c>
      <c r="B10" s="87"/>
      <c r="C10" s="87"/>
      <c r="D10" s="87"/>
      <c r="E10" s="87"/>
    </row>
    <row r="11" spans="1:5" ht="14.5" customHeight="1" x14ac:dyDescent="0.2">
      <c r="A11" s="53"/>
      <c r="B11" s="53"/>
      <c r="C11" s="53"/>
      <c r="D11" s="53"/>
    </row>
    <row r="12" spans="1:5" x14ac:dyDescent="0.2">
      <c r="A12" s="53"/>
      <c r="B12" s="53"/>
      <c r="C12" s="53"/>
      <c r="D12" s="53"/>
    </row>
    <row r="13" spans="1:5" x14ac:dyDescent="0.2">
      <c r="A13" s="53"/>
      <c r="B13" s="53"/>
      <c r="C13" s="53"/>
      <c r="D13" s="53"/>
    </row>
  </sheetData>
  <mergeCells count="2">
    <mergeCell ref="A10:E10"/>
    <mergeCell ref="A1:D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F319-DC98-40E9-97BF-135D8C6E92C9}">
  <dimension ref="A1:E29"/>
  <sheetViews>
    <sheetView showGridLines="0" topLeftCell="A6" workbookViewId="0">
      <selection activeCell="D29" sqref="D29"/>
    </sheetView>
  </sheetViews>
  <sheetFormatPr baseColWidth="10" defaultRowHeight="15" x14ac:dyDescent="0.2"/>
  <cols>
    <col min="1" max="1" width="46" customWidth="1"/>
    <col min="2" max="2" width="25.1640625" bestFit="1" customWidth="1"/>
    <col min="3" max="3" width="27.1640625" bestFit="1" customWidth="1"/>
  </cols>
  <sheetData>
    <row r="1" spans="1:4" ht="16" x14ac:dyDescent="0.2">
      <c r="A1" s="72" t="s">
        <v>570</v>
      </c>
      <c r="B1" s="72"/>
      <c r="C1" s="72"/>
      <c r="D1" s="2"/>
    </row>
    <row r="2" spans="1:4" s="10" customFormat="1" x14ac:dyDescent="0.2">
      <c r="A2" s="24" t="s">
        <v>228</v>
      </c>
      <c r="B2" s="24" t="s">
        <v>229</v>
      </c>
      <c r="C2" s="24" t="s">
        <v>230</v>
      </c>
    </row>
    <row r="3" spans="1:4" s="10" customFormat="1" x14ac:dyDescent="0.2">
      <c r="A3" s="1" t="s">
        <v>231</v>
      </c>
      <c r="B3" s="1">
        <v>74</v>
      </c>
      <c r="C3" s="1">
        <v>61</v>
      </c>
    </row>
    <row r="4" spans="1:4" s="10" customFormat="1" x14ac:dyDescent="0.2">
      <c r="A4" s="15" t="s">
        <v>232</v>
      </c>
      <c r="B4" s="10">
        <v>74</v>
      </c>
      <c r="C4" s="10">
        <v>0</v>
      </c>
    </row>
    <row r="5" spans="1:4" s="10" customFormat="1" x14ac:dyDescent="0.2">
      <c r="A5" s="1" t="s">
        <v>233</v>
      </c>
      <c r="B5" s="1">
        <v>47</v>
      </c>
      <c r="C5" s="1">
        <v>39</v>
      </c>
    </row>
    <row r="6" spans="1:4" s="10" customFormat="1" x14ac:dyDescent="0.2">
      <c r="A6" s="15" t="s">
        <v>234</v>
      </c>
      <c r="B6" s="10">
        <v>1</v>
      </c>
      <c r="C6" s="10">
        <v>0</v>
      </c>
    </row>
    <row r="7" spans="1:4" s="10" customFormat="1" x14ac:dyDescent="0.2">
      <c r="A7" s="15" t="s">
        <v>235</v>
      </c>
      <c r="B7" s="10">
        <v>20</v>
      </c>
      <c r="C7" s="10">
        <v>0</v>
      </c>
    </row>
    <row r="8" spans="1:4" s="10" customFormat="1" x14ac:dyDescent="0.2">
      <c r="A8" s="15" t="s">
        <v>236</v>
      </c>
      <c r="B8" s="10">
        <v>1</v>
      </c>
      <c r="C8" s="10">
        <v>0</v>
      </c>
    </row>
    <row r="9" spans="1:4" s="10" customFormat="1" x14ac:dyDescent="0.2">
      <c r="A9" s="15" t="s">
        <v>237</v>
      </c>
      <c r="B9" s="10">
        <v>3</v>
      </c>
      <c r="C9" s="10">
        <v>0</v>
      </c>
    </row>
    <row r="10" spans="1:4" s="10" customFormat="1" x14ac:dyDescent="0.2">
      <c r="A10" s="15" t="s">
        <v>238</v>
      </c>
      <c r="B10" s="10">
        <v>4</v>
      </c>
      <c r="C10" s="10">
        <v>0</v>
      </c>
    </row>
    <row r="11" spans="1:4" s="10" customFormat="1" x14ac:dyDescent="0.2">
      <c r="A11" s="15" t="s">
        <v>239</v>
      </c>
      <c r="B11" s="10">
        <v>4</v>
      </c>
      <c r="C11" s="10">
        <v>0</v>
      </c>
    </row>
    <row r="12" spans="1:4" s="10" customFormat="1" x14ac:dyDescent="0.2">
      <c r="A12" s="15" t="s">
        <v>240</v>
      </c>
      <c r="B12" s="10">
        <v>1</v>
      </c>
      <c r="C12" s="10">
        <v>0</v>
      </c>
    </row>
    <row r="13" spans="1:4" s="10" customFormat="1" x14ac:dyDescent="0.2">
      <c r="A13" s="15" t="s">
        <v>241</v>
      </c>
      <c r="B13" s="10">
        <v>1</v>
      </c>
      <c r="C13" s="10">
        <v>0</v>
      </c>
    </row>
    <row r="14" spans="1:4" s="10" customFormat="1" x14ac:dyDescent="0.2">
      <c r="A14" s="15" t="s">
        <v>242</v>
      </c>
      <c r="B14" s="10">
        <v>1</v>
      </c>
      <c r="C14" s="10">
        <v>0</v>
      </c>
    </row>
    <row r="15" spans="1:4" s="10" customFormat="1" x14ac:dyDescent="0.2">
      <c r="A15" s="15" t="s">
        <v>243</v>
      </c>
      <c r="B15" s="10">
        <v>4</v>
      </c>
      <c r="C15" s="10">
        <v>0</v>
      </c>
    </row>
    <row r="16" spans="1:4" s="10" customFormat="1" x14ac:dyDescent="0.2">
      <c r="A16" s="15" t="s">
        <v>244</v>
      </c>
      <c r="B16" s="10">
        <v>7</v>
      </c>
      <c r="C16" s="10">
        <v>0</v>
      </c>
    </row>
    <row r="17" spans="1:5" s="10" customFormat="1" x14ac:dyDescent="0.2">
      <c r="A17" s="11" t="s">
        <v>153</v>
      </c>
      <c r="B17" s="11">
        <v>121</v>
      </c>
      <c r="C17" s="11">
        <v>100</v>
      </c>
    </row>
    <row r="18" spans="1:5" s="10" customFormat="1" x14ac:dyDescent="0.2">
      <c r="A18" s="78" t="s">
        <v>13</v>
      </c>
      <c r="B18" s="78"/>
      <c r="C18" s="78"/>
      <c r="D18" s="6"/>
    </row>
    <row r="19" spans="1:5" s="10" customFormat="1" x14ac:dyDescent="0.2"/>
    <row r="20" spans="1:5" s="10" customFormat="1" x14ac:dyDescent="0.2">
      <c r="D20" s="1" t="s">
        <v>231</v>
      </c>
      <c r="E20" s="61">
        <f>74/121*100</f>
        <v>61.157024793388423</v>
      </c>
    </row>
    <row r="21" spans="1:5" s="10" customFormat="1" x14ac:dyDescent="0.2">
      <c r="D21" s="1" t="s">
        <v>233</v>
      </c>
      <c r="E21" s="61">
        <f>47/121*100</f>
        <v>38.84297520661157</v>
      </c>
    </row>
    <row r="22" spans="1:5" s="10" customFormat="1" x14ac:dyDescent="0.2"/>
    <row r="23" spans="1:5" s="10" customFormat="1" x14ac:dyDescent="0.2"/>
    <row r="24" spans="1:5" s="10" customFormat="1" x14ac:dyDescent="0.2"/>
    <row r="25" spans="1:5" s="10" customFormat="1" x14ac:dyDescent="0.2"/>
    <row r="26" spans="1:5" s="10" customFormat="1" x14ac:dyDescent="0.2"/>
    <row r="27" spans="1:5" s="10" customFormat="1" x14ac:dyDescent="0.2"/>
    <row r="28" spans="1:5" s="10" customFormat="1" x14ac:dyDescent="0.2"/>
    <row r="29" spans="1:5" s="10" customFormat="1" x14ac:dyDescent="0.2"/>
  </sheetData>
  <mergeCells count="2">
    <mergeCell ref="A1:C1"/>
    <mergeCell ref="A18:C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45</vt:i4>
      </vt:variant>
    </vt:vector>
  </HeadingPairs>
  <TitlesOfParts>
    <vt:vector size="45" baseType="lpstr">
      <vt:lpstr>Índice</vt:lpstr>
      <vt:lpstr>Índice II M1-001 a M1-043</vt:lpstr>
      <vt:lpstr>M1-001 - Acciones y beneficiar</vt:lpstr>
      <vt:lpstr>M1-002 - Acciones realizadas  1</vt:lpstr>
      <vt:lpstr>M1-003 - Acciones en materia  1</vt:lpstr>
      <vt:lpstr>M1-004 - Acciones en materia  1</vt:lpstr>
      <vt:lpstr>M1-005 - Acciones para verifi 1</vt:lpstr>
      <vt:lpstr>M1-006 - Actas emitidas por m 1</vt:lpstr>
      <vt:lpstr>M1-007 - Actas interestatales 1</vt:lpstr>
      <vt:lpstr>M1-008 - Acciones de rectific 1</vt:lpstr>
      <vt:lpstr>M1-009 - Actos del Registro P 1</vt:lpstr>
      <vt:lpstr>M1-010 - Notarías Públicas en 1</vt:lpstr>
      <vt:lpstr>M1-018 - Número de peticiones 1</vt:lpstr>
      <vt:lpstr>M1-019 - Número de peticiones 1</vt:lpstr>
      <vt:lpstr>M1-020 - Número de peticiones 1</vt:lpstr>
      <vt:lpstr>M1-021 - Número de peticiones 1</vt:lpstr>
      <vt:lpstr>M1-011 - Programa de niños y n</vt:lpstr>
      <vt:lpstr>M1-012 - Sesiones de capacitaci</vt:lpstr>
      <vt:lpstr>M1-014 - Recepción de declaraci</vt:lpstr>
      <vt:lpstr>M1-013 - Denuncias y sugerencia</vt:lpstr>
      <vt:lpstr>M1-015 - Procedimientos de resp</vt:lpstr>
      <vt:lpstr>M1-016 - Verificaciones financi</vt:lpstr>
      <vt:lpstr>M1-017 - Participación en los p</vt:lpstr>
      <vt:lpstr>M1-022 - Número de trámites yo.</vt:lpstr>
      <vt:lpstr>M1-044 Análisis de Impacto Reg </vt:lpstr>
      <vt:lpstr>M1-023 - Histórico de superfici</vt:lpstr>
      <vt:lpstr>M1-024 - Número de asistentes a</vt:lpstr>
      <vt:lpstr>M1-025 - Número de comprobantes</vt:lpstr>
      <vt:lpstr>M1-026 - Acciones de capacitaci</vt:lpstr>
      <vt:lpstr>M1-027 - Acciones de capacitaci</vt:lpstr>
      <vt:lpstr>M1-030 - Desglose de Ingresos d</vt:lpstr>
      <vt:lpstr>M1-031 - Importe de las partici</vt:lpstr>
      <vt:lpstr>M1-032 - Desglose de Egresos de</vt:lpstr>
      <vt:lpstr>M1-033 - Desglose de Egresos de</vt:lpstr>
      <vt:lpstr>M1-034 - Desglose de Egresos po</vt:lpstr>
      <vt:lpstr>M1-035 - Desglose de Egresos po</vt:lpstr>
      <vt:lpstr>M1-036 - Informe de deuda p I</vt:lpstr>
      <vt:lpstr>M1-036 - Informe de deuda pú II</vt:lpstr>
      <vt:lpstr>M1-037 - Número de capacitacion</vt:lpstr>
      <vt:lpstr>M1-038 - Personas pensionadas 1</vt:lpstr>
      <vt:lpstr>M1-039 - Servicios y talleres 1</vt:lpstr>
      <vt:lpstr>M1-040 - Contrato de donación P</vt:lpstr>
      <vt:lpstr>M1-041 - Bienes del Patrimonio.</vt:lpstr>
      <vt:lpstr>M1-042 - Adjudicaciones a prove</vt:lpstr>
      <vt:lpstr>M1-043 - Empresas participante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Rasa Martinez Dzul</dc:creator>
  <cp:lastModifiedBy>Microsoft Office User</cp:lastModifiedBy>
  <dcterms:created xsi:type="dcterms:W3CDTF">2026-04-23T15:43:16Z</dcterms:created>
  <dcterms:modified xsi:type="dcterms:W3CDTF">2026-05-08T01:22:19Z</dcterms:modified>
</cp:coreProperties>
</file>